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theme/themeOverride1.xml" ContentType="application/vnd.openxmlformats-officedocument.themeOverride+xml"/>
  <Override PartName="/xl/charts/chart15.xml" ContentType="application/vnd.openxmlformats-officedocument.drawingml.chart+xml"/>
  <Override PartName="/xl/theme/themeOverride2.xml" ContentType="application/vnd.openxmlformats-officedocument.themeOverride+xml"/>
  <Override PartName="/xl/charts/chart16.xml" ContentType="application/vnd.openxmlformats-officedocument.drawingml.chart+xml"/>
  <Override PartName="/xl/theme/themeOverride3.xml" ContentType="application/vnd.openxmlformats-officedocument.themeOverrid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theme/themeOverride6.xml" ContentType="application/vnd.openxmlformats-officedocument.themeOverride+xml"/>
  <Override PartName="/xl/charts/chart21.xml" ContentType="application/vnd.openxmlformats-officedocument.drawingml.chart+xml"/>
  <Override PartName="/xl/theme/themeOverride7.xml" ContentType="application/vnd.openxmlformats-officedocument.themeOverride+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8.xml" ContentType="application/vnd.openxmlformats-officedocument.themeOverrid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9.xml" ContentType="application/vnd.openxmlformats-officedocument.themeOverrid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0.xml" ContentType="application/vnd.openxmlformats-officedocument.themeOverrid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1.xml" ContentType="application/vnd.openxmlformats-officedocument.themeOverride+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2.xml" ContentType="application/vnd.openxmlformats-officedocument.themeOverrid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992c8cb467967127/Documents/05. IMPROVEMENT DOZER/"/>
    </mc:Choice>
  </mc:AlternateContent>
  <xr:revisionPtr revIDLastSave="365" documentId="8_{95734794-29C8-4E2F-8757-9C11068AE723}" xr6:coauthVersionLast="47" xr6:coauthVersionMax="47" xr10:uidLastSave="{9736FF05-D673-4701-8520-FACE59158EE3}"/>
  <bookViews>
    <workbookView xWindow="-110" yWindow="-110" windowWidth="19420" windowHeight="10300" xr2:uid="{892F936F-0E58-4D20-BF5C-F200E3D46AEA}"/>
  </bookViews>
  <sheets>
    <sheet name="Activity Plan" sheetId="4" r:id="rId1"/>
    <sheet name="DATA" sheetId="7" r:id="rId2"/>
    <sheet name="PIVOT" sheetId="8" r:id="rId3"/>
    <sheet name="DASHBOARD" sheetId="9" r:id="rId4"/>
  </sheets>
  <externalReferences>
    <externalReference r:id="rId5"/>
  </externalReferences>
  <definedNames>
    <definedName name="_xlnm._FilterDatabase" localSheetId="0" hidden="1">'Activity Plan'!$C$6:$I$29</definedName>
    <definedName name="_xlnm._FilterDatabase" localSheetId="2" hidden="1">PIVOT!$I$36:$P$51</definedName>
    <definedName name="ExternalData_1" localSheetId="1" hidden="1">DATA!$CF$3:$CJ$787</definedName>
    <definedName name="_xlnm.Print_Area" localSheetId="3">DASHBOARD!$D$4:$AC$63,DASHBOARD!$D$65:$AC$124,DASHBOARD!$D$126:$AC$185</definedName>
    <definedName name="Slicer_5_FACTOR">#N/A</definedName>
    <definedName name="Slicer_CATEGORY">#N/A</definedName>
    <definedName name="Slicer_PARAMETER">#N/A</definedName>
    <definedName name="Slicer_PARAMETER1">#N/A</definedName>
    <definedName name="Slicer_PIC">#N/A</definedName>
  </definedNames>
  <calcPr calcId="191029"/>
  <pivotCaches>
    <pivotCache cacheId="9" r:id="rId6"/>
    <pivotCache cacheId="10" r:id="rId7"/>
    <pivotCache cacheId="11" r:id="rId8"/>
    <pivotCache cacheId="12" r:id="rId9"/>
    <pivotCache cacheId="13" r:id="rId10"/>
    <pivotCache cacheId="14" r:id="rId11"/>
    <pivotCache cacheId="15" r:id="rId12"/>
    <pivotCache cacheId="16" r:id="rId13"/>
    <pivotCache cacheId="17"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H33" i="4" l="1"/>
  <c r="DI33" i="4"/>
  <c r="DJ33" i="4"/>
  <c r="DK33" i="4"/>
  <c r="DL33" i="4"/>
  <c r="DM33" i="4"/>
  <c r="DN33" i="4"/>
  <c r="DO33" i="4"/>
  <c r="DP33" i="4"/>
  <c r="DQ33" i="4"/>
  <c r="DR33" i="4"/>
  <c r="DS33" i="4"/>
  <c r="DT33" i="4"/>
  <c r="DU33" i="4"/>
  <c r="DV33" i="4"/>
  <c r="DW33" i="4"/>
  <c r="DX33" i="4"/>
  <c r="DY33" i="4"/>
  <c r="DZ33" i="4"/>
  <c r="EA33" i="4"/>
  <c r="EB33" i="4"/>
  <c r="EC33" i="4"/>
  <c r="ED33" i="4"/>
  <c r="EE33" i="4"/>
  <c r="EF33" i="4"/>
  <c r="EG33" i="4"/>
  <c r="EH33" i="4"/>
  <c r="EI33" i="4"/>
  <c r="EJ33" i="4"/>
  <c r="EK33" i="4"/>
  <c r="EL33" i="4"/>
  <c r="EM33" i="4"/>
  <c r="EN33" i="4"/>
  <c r="EO33" i="4"/>
  <c r="EP33" i="4"/>
  <c r="EQ33" i="4"/>
  <c r="ER33" i="4"/>
  <c r="ES33" i="4"/>
  <c r="ET33" i="4"/>
  <c r="EU33" i="4"/>
  <c r="EV33" i="4"/>
  <c r="EW33" i="4"/>
  <c r="EX33" i="4"/>
  <c r="EY33" i="4"/>
  <c r="EZ33" i="4"/>
  <c r="FA33" i="4"/>
  <c r="FB33" i="4"/>
  <c r="FC33" i="4"/>
  <c r="FD33" i="4"/>
  <c r="FE33" i="4"/>
  <c r="FF33" i="4"/>
  <c r="FG33" i="4"/>
  <c r="FH33" i="4"/>
  <c r="FI33" i="4"/>
  <c r="FJ33" i="4"/>
  <c r="FK33" i="4"/>
  <c r="FL33" i="4"/>
  <c r="FM33" i="4"/>
  <c r="FN33" i="4"/>
  <c r="FO33" i="4"/>
  <c r="FP33" i="4"/>
  <c r="FQ33" i="4"/>
  <c r="FR33" i="4"/>
  <c r="FS33" i="4"/>
  <c r="FT33" i="4"/>
  <c r="FU33" i="4"/>
  <c r="FV33" i="4"/>
  <c r="FW33" i="4"/>
  <c r="FX33" i="4"/>
  <c r="FY33" i="4"/>
  <c r="FZ33" i="4"/>
  <c r="GA33" i="4"/>
  <c r="GB33" i="4"/>
  <c r="GC33" i="4"/>
  <c r="GD33" i="4"/>
  <c r="GE33" i="4"/>
  <c r="GF33" i="4"/>
  <c r="GG33" i="4"/>
  <c r="GH33" i="4"/>
  <c r="GI33" i="4"/>
  <c r="GJ33" i="4"/>
  <c r="GK33" i="4"/>
  <c r="GL33" i="4"/>
  <c r="GM33" i="4"/>
  <c r="GN33" i="4"/>
  <c r="GO33" i="4"/>
  <c r="GP33" i="4"/>
  <c r="GQ33" i="4"/>
  <c r="GR33" i="4"/>
  <c r="GS33" i="4"/>
  <c r="DG33" i="4"/>
  <c r="J8" i="4"/>
  <c r="T33" i="4"/>
  <c r="U33" i="4"/>
  <c r="V33" i="4"/>
  <c r="W33" i="4"/>
  <c r="X33" i="4"/>
  <c r="Y33" i="4"/>
  <c r="Z33" i="4"/>
  <c r="AA33" i="4"/>
  <c r="AB33" i="4"/>
  <c r="AC33" i="4"/>
  <c r="AD33" i="4"/>
  <c r="AE33" i="4"/>
  <c r="AF33" i="4"/>
  <c r="AG33" i="4"/>
  <c r="AH33" i="4"/>
  <c r="AI33" i="4"/>
  <c r="AJ33" i="4"/>
  <c r="AK33" i="4"/>
  <c r="AL33" i="4"/>
  <c r="AM33" i="4"/>
  <c r="AN33" i="4"/>
  <c r="AO33" i="4"/>
  <c r="AP33" i="4"/>
  <c r="AQ33" i="4"/>
  <c r="AR33" i="4"/>
  <c r="AS33" i="4"/>
  <c r="AT33" i="4"/>
  <c r="AU33" i="4"/>
  <c r="AV33" i="4"/>
  <c r="AW33" i="4"/>
  <c r="AX33" i="4"/>
  <c r="AY33" i="4"/>
  <c r="AZ33" i="4"/>
  <c r="BA33" i="4"/>
  <c r="BB33" i="4"/>
  <c r="BC33" i="4"/>
  <c r="BD33" i="4"/>
  <c r="BE33" i="4"/>
  <c r="BF33" i="4"/>
  <c r="BG33" i="4"/>
  <c r="BH33" i="4"/>
  <c r="BI33" i="4"/>
  <c r="BJ33" i="4"/>
  <c r="BK33" i="4"/>
  <c r="BL33" i="4"/>
  <c r="BM33" i="4"/>
  <c r="BN33" i="4"/>
  <c r="BO33" i="4"/>
  <c r="BP33" i="4"/>
  <c r="BQ33" i="4"/>
  <c r="BR33" i="4"/>
  <c r="BS33" i="4"/>
  <c r="BT33" i="4"/>
  <c r="BU33" i="4"/>
  <c r="BV33" i="4"/>
  <c r="BW33" i="4"/>
  <c r="BX33" i="4"/>
  <c r="BY33" i="4"/>
  <c r="BZ33" i="4"/>
  <c r="CA33" i="4"/>
  <c r="CB33" i="4"/>
  <c r="CC33" i="4"/>
  <c r="CD33" i="4"/>
  <c r="CE33" i="4"/>
  <c r="CF33" i="4"/>
  <c r="CG33" i="4"/>
  <c r="CH33" i="4"/>
  <c r="CI33" i="4"/>
  <c r="CJ33" i="4"/>
  <c r="CK33" i="4"/>
  <c r="CL33" i="4"/>
  <c r="CM33" i="4"/>
  <c r="CN33" i="4"/>
  <c r="CO33" i="4"/>
  <c r="CP33" i="4"/>
  <c r="CQ33" i="4"/>
  <c r="CR33" i="4"/>
  <c r="CS33" i="4"/>
  <c r="CT33" i="4"/>
  <c r="CU33" i="4"/>
  <c r="CV33" i="4"/>
  <c r="CW33" i="4"/>
  <c r="CX33" i="4"/>
  <c r="CY33" i="4"/>
  <c r="CZ33" i="4"/>
  <c r="DA33" i="4"/>
  <c r="DB33" i="4"/>
  <c r="DC33" i="4"/>
  <c r="DD33" i="4"/>
  <c r="DE33" i="4"/>
  <c r="S33" i="4"/>
  <c r="GU30" i="4"/>
  <c r="GV30" i="4"/>
  <c r="GW30" i="4"/>
  <c r="GX30" i="4"/>
  <c r="GY30" i="4"/>
  <c r="GZ30" i="4"/>
  <c r="HA30" i="4"/>
  <c r="HB30" i="4"/>
  <c r="HC30" i="4"/>
  <c r="HD30" i="4"/>
  <c r="HE30" i="4"/>
  <c r="HF30" i="4"/>
  <c r="HG30" i="4"/>
  <c r="HH30" i="4"/>
  <c r="HI30" i="4"/>
  <c r="HJ30" i="4"/>
  <c r="HK30" i="4"/>
  <c r="HL30" i="4"/>
  <c r="HM30" i="4"/>
  <c r="HN30" i="4"/>
  <c r="HO30" i="4"/>
  <c r="HP30" i="4"/>
  <c r="HQ30" i="4"/>
  <c r="HR30" i="4"/>
  <c r="HS30" i="4"/>
  <c r="HT30" i="4"/>
  <c r="HU30" i="4"/>
  <c r="HV30" i="4"/>
  <c r="HW30" i="4"/>
  <c r="HX30" i="4"/>
  <c r="HY30" i="4"/>
  <c r="HZ30" i="4"/>
  <c r="IA30" i="4"/>
  <c r="IB30" i="4"/>
  <c r="IC30" i="4"/>
  <c r="ID30" i="4"/>
  <c r="IE30" i="4"/>
  <c r="IF30" i="4"/>
  <c r="IG30" i="4"/>
  <c r="IH30" i="4"/>
  <c r="II30" i="4"/>
  <c r="IJ30" i="4"/>
  <c r="IK30" i="4"/>
  <c r="IL30" i="4"/>
  <c r="IM30" i="4"/>
  <c r="IN30" i="4"/>
  <c r="IO30" i="4"/>
  <c r="IP30" i="4"/>
  <c r="IQ30" i="4"/>
  <c r="IR30" i="4"/>
  <c r="IS30" i="4"/>
  <c r="IT30" i="4"/>
  <c r="IU30" i="4"/>
  <c r="IV30" i="4"/>
  <c r="IW30" i="4"/>
  <c r="IX30" i="4"/>
  <c r="IY30" i="4"/>
  <c r="IZ30" i="4"/>
  <c r="JA30" i="4"/>
  <c r="JB30" i="4"/>
  <c r="JC30" i="4"/>
  <c r="JD30" i="4"/>
  <c r="JE30" i="4"/>
  <c r="JF30" i="4"/>
  <c r="JG30" i="4"/>
  <c r="JH30" i="4"/>
  <c r="JI30" i="4"/>
  <c r="JJ30" i="4"/>
  <c r="JK30" i="4"/>
  <c r="JL30" i="4"/>
  <c r="JM30" i="4"/>
  <c r="JN30" i="4"/>
  <c r="JO30" i="4"/>
  <c r="JP30" i="4"/>
  <c r="JQ30" i="4"/>
  <c r="JR30" i="4"/>
  <c r="JS30" i="4"/>
  <c r="JT30" i="4"/>
  <c r="JU30" i="4"/>
  <c r="JV30" i="4"/>
  <c r="JW30" i="4"/>
  <c r="JX30" i="4"/>
  <c r="JY30" i="4"/>
  <c r="JZ30" i="4"/>
  <c r="KA30" i="4"/>
  <c r="KB30" i="4"/>
  <c r="KC30" i="4"/>
  <c r="KD30" i="4"/>
  <c r="KE30" i="4"/>
  <c r="KF30" i="4"/>
  <c r="KG30" i="4"/>
  <c r="GU31" i="4"/>
  <c r="GV31" i="4"/>
  <c r="GW31" i="4"/>
  <c r="GX31" i="4"/>
  <c r="GY31" i="4"/>
  <c r="GZ31" i="4"/>
  <c r="HA31" i="4"/>
  <c r="HB31" i="4"/>
  <c r="HC31" i="4"/>
  <c r="HD31" i="4"/>
  <c r="HE31" i="4"/>
  <c r="HF31" i="4"/>
  <c r="HG31" i="4"/>
  <c r="HH31" i="4"/>
  <c r="HI31" i="4"/>
  <c r="HJ31" i="4"/>
  <c r="HK31" i="4"/>
  <c r="HL31" i="4"/>
  <c r="HM31" i="4"/>
  <c r="HN31" i="4"/>
  <c r="HO31" i="4"/>
  <c r="HP31" i="4"/>
  <c r="HQ31" i="4"/>
  <c r="HR31" i="4"/>
  <c r="HS31" i="4"/>
  <c r="HT31" i="4"/>
  <c r="HU31" i="4"/>
  <c r="HV31" i="4"/>
  <c r="HW31" i="4"/>
  <c r="HX31" i="4"/>
  <c r="HY31" i="4"/>
  <c r="HZ31" i="4"/>
  <c r="IA31" i="4"/>
  <c r="IB31" i="4"/>
  <c r="IC31" i="4"/>
  <c r="ID31" i="4"/>
  <c r="IE31" i="4"/>
  <c r="IF31" i="4"/>
  <c r="IG31" i="4"/>
  <c r="IH31" i="4"/>
  <c r="II31" i="4"/>
  <c r="IJ31" i="4"/>
  <c r="IK31" i="4"/>
  <c r="IL31" i="4"/>
  <c r="IM31" i="4"/>
  <c r="IN31" i="4"/>
  <c r="IO31" i="4"/>
  <c r="IP31" i="4"/>
  <c r="IQ31" i="4"/>
  <c r="IR31" i="4"/>
  <c r="IS31" i="4"/>
  <c r="IT31" i="4"/>
  <c r="IU31" i="4"/>
  <c r="IV31" i="4"/>
  <c r="IW31" i="4"/>
  <c r="IX31" i="4"/>
  <c r="IY31" i="4"/>
  <c r="IZ31" i="4"/>
  <c r="JA31" i="4"/>
  <c r="JB31" i="4"/>
  <c r="JC31" i="4"/>
  <c r="JD31" i="4"/>
  <c r="JE31" i="4"/>
  <c r="JF31" i="4"/>
  <c r="JG31" i="4"/>
  <c r="JH31" i="4"/>
  <c r="JI31" i="4"/>
  <c r="JJ31" i="4"/>
  <c r="JK31" i="4"/>
  <c r="JL31" i="4"/>
  <c r="JM31" i="4"/>
  <c r="JN31" i="4"/>
  <c r="JO31" i="4"/>
  <c r="JP31" i="4"/>
  <c r="JQ31" i="4"/>
  <c r="JR31" i="4"/>
  <c r="JS31" i="4"/>
  <c r="JT31" i="4"/>
  <c r="JU31" i="4"/>
  <c r="JV31" i="4"/>
  <c r="JW31" i="4"/>
  <c r="JX31" i="4"/>
  <c r="JY31" i="4"/>
  <c r="JZ31" i="4"/>
  <c r="KA31" i="4"/>
  <c r="KB31" i="4"/>
  <c r="KC31" i="4"/>
  <c r="KD31" i="4"/>
  <c r="KE31" i="4"/>
  <c r="KF31" i="4"/>
  <c r="KG31" i="4"/>
  <c r="J30" i="4"/>
  <c r="M30" i="4"/>
  <c r="N30" i="4"/>
  <c r="Q30" i="4" s="1"/>
  <c r="O30" i="4"/>
  <c r="P30" i="4"/>
  <c r="J31" i="4"/>
  <c r="M31" i="4"/>
  <c r="N31" i="4"/>
  <c r="Q31" i="4" s="1"/>
  <c r="O31" i="4"/>
  <c r="P31" i="4"/>
  <c r="GX8" i="4"/>
  <c r="GX9" i="4"/>
  <c r="IK33" i="4" l="1"/>
  <c r="IL33" i="4"/>
  <c r="IW33" i="4"/>
  <c r="IX33" i="4"/>
  <c r="JI33" i="4"/>
  <c r="JJ33" i="4"/>
  <c r="JU33" i="4"/>
  <c r="JV33" i="4"/>
  <c r="KG33" i="4"/>
  <c r="KG29" i="4"/>
  <c r="KF29" i="4"/>
  <c r="KE29" i="4"/>
  <c r="KD29" i="4"/>
  <c r="KC29" i="4"/>
  <c r="KB29" i="4"/>
  <c r="KA29" i="4"/>
  <c r="JZ29" i="4"/>
  <c r="JY29" i="4"/>
  <c r="JX29" i="4"/>
  <c r="JW29" i="4"/>
  <c r="JV29" i="4"/>
  <c r="JU29" i="4"/>
  <c r="JT29" i="4"/>
  <c r="JS29" i="4"/>
  <c r="JR29" i="4"/>
  <c r="JQ29" i="4"/>
  <c r="JP29" i="4"/>
  <c r="JO29" i="4"/>
  <c r="JN29" i="4"/>
  <c r="JM29" i="4"/>
  <c r="JL29" i="4"/>
  <c r="JK29" i="4"/>
  <c r="JJ29" i="4"/>
  <c r="JI29" i="4"/>
  <c r="JH29" i="4"/>
  <c r="JG29" i="4"/>
  <c r="JF29" i="4"/>
  <c r="JE29" i="4"/>
  <c r="KG28" i="4"/>
  <c r="KF28" i="4"/>
  <c r="KE28" i="4"/>
  <c r="KD28" i="4"/>
  <c r="KC28" i="4"/>
  <c r="KB28" i="4"/>
  <c r="KA28" i="4"/>
  <c r="JZ28" i="4"/>
  <c r="JY28" i="4"/>
  <c r="JX28" i="4"/>
  <c r="JW28" i="4"/>
  <c r="JV28" i="4"/>
  <c r="JU28" i="4"/>
  <c r="JT28" i="4"/>
  <c r="JS28" i="4"/>
  <c r="JR28" i="4"/>
  <c r="JQ28" i="4"/>
  <c r="JP28" i="4"/>
  <c r="JO28" i="4"/>
  <c r="JN28" i="4"/>
  <c r="JM28" i="4"/>
  <c r="JL28" i="4"/>
  <c r="JK28" i="4"/>
  <c r="JJ28" i="4"/>
  <c r="JI28" i="4"/>
  <c r="JH28" i="4"/>
  <c r="JG28" i="4"/>
  <c r="JF28" i="4"/>
  <c r="JE28" i="4"/>
  <c r="KG27" i="4"/>
  <c r="KF27" i="4"/>
  <c r="KE27" i="4"/>
  <c r="KD27" i="4"/>
  <c r="KC27" i="4"/>
  <c r="KB27" i="4"/>
  <c r="KA27" i="4"/>
  <c r="JZ27" i="4"/>
  <c r="JY27" i="4"/>
  <c r="JX27" i="4"/>
  <c r="JW27" i="4"/>
  <c r="JV27" i="4"/>
  <c r="JU27" i="4"/>
  <c r="JT27" i="4"/>
  <c r="JS27" i="4"/>
  <c r="JR27" i="4"/>
  <c r="JQ27" i="4"/>
  <c r="JP27" i="4"/>
  <c r="JO27" i="4"/>
  <c r="JN27" i="4"/>
  <c r="JM27" i="4"/>
  <c r="JL27" i="4"/>
  <c r="JK27" i="4"/>
  <c r="JJ27" i="4"/>
  <c r="JI27" i="4"/>
  <c r="JH27" i="4"/>
  <c r="JG27" i="4"/>
  <c r="JF27" i="4"/>
  <c r="JE27" i="4"/>
  <c r="KG26" i="4"/>
  <c r="KF26" i="4"/>
  <c r="KE26" i="4"/>
  <c r="KD26" i="4"/>
  <c r="KC26" i="4"/>
  <c r="KB26" i="4"/>
  <c r="KA26" i="4"/>
  <c r="JZ26" i="4"/>
  <c r="JY26" i="4"/>
  <c r="JX26" i="4"/>
  <c r="JW26" i="4"/>
  <c r="JV26" i="4"/>
  <c r="JU26" i="4"/>
  <c r="JT26" i="4"/>
  <c r="JS26" i="4"/>
  <c r="JR26" i="4"/>
  <c r="JQ26" i="4"/>
  <c r="JP26" i="4"/>
  <c r="JO26" i="4"/>
  <c r="JN26" i="4"/>
  <c r="JM26" i="4"/>
  <c r="JL26" i="4"/>
  <c r="JK26" i="4"/>
  <c r="JJ26" i="4"/>
  <c r="JI26" i="4"/>
  <c r="JH26" i="4"/>
  <c r="JG26" i="4"/>
  <c r="JF26" i="4"/>
  <c r="JE26" i="4"/>
  <c r="KG25" i="4"/>
  <c r="KF25" i="4"/>
  <c r="KE25" i="4"/>
  <c r="KD25" i="4"/>
  <c r="KC25" i="4"/>
  <c r="KB25" i="4"/>
  <c r="KA25" i="4"/>
  <c r="JZ25" i="4"/>
  <c r="JY25" i="4"/>
  <c r="JX25" i="4"/>
  <c r="JW25" i="4"/>
  <c r="JV25" i="4"/>
  <c r="JU25" i="4"/>
  <c r="JT25" i="4"/>
  <c r="JS25" i="4"/>
  <c r="JR25" i="4"/>
  <c r="JQ25" i="4"/>
  <c r="JP25" i="4"/>
  <c r="JO25" i="4"/>
  <c r="JN25" i="4"/>
  <c r="JM25" i="4"/>
  <c r="JL25" i="4"/>
  <c r="JK25" i="4"/>
  <c r="JJ25" i="4"/>
  <c r="JI25" i="4"/>
  <c r="JH25" i="4"/>
  <c r="JG25" i="4"/>
  <c r="JF25" i="4"/>
  <c r="JE25" i="4"/>
  <c r="KG24" i="4"/>
  <c r="KF24" i="4"/>
  <c r="KE24" i="4"/>
  <c r="KD24" i="4"/>
  <c r="KC24" i="4"/>
  <c r="KB24" i="4"/>
  <c r="KA24" i="4"/>
  <c r="JZ24" i="4"/>
  <c r="JY24" i="4"/>
  <c r="JX24" i="4"/>
  <c r="JW24" i="4"/>
  <c r="JV24" i="4"/>
  <c r="JU24" i="4"/>
  <c r="JT24" i="4"/>
  <c r="JS24" i="4"/>
  <c r="JR24" i="4"/>
  <c r="JQ24" i="4"/>
  <c r="JP24" i="4"/>
  <c r="JO24" i="4"/>
  <c r="JN24" i="4"/>
  <c r="JM24" i="4"/>
  <c r="JL24" i="4"/>
  <c r="JK24" i="4"/>
  <c r="JJ24" i="4"/>
  <c r="JI24" i="4"/>
  <c r="JH24" i="4"/>
  <c r="JG24" i="4"/>
  <c r="JF24" i="4"/>
  <c r="JE24" i="4"/>
  <c r="KG23" i="4"/>
  <c r="KF23" i="4"/>
  <c r="KE23" i="4"/>
  <c r="KD23" i="4"/>
  <c r="KC23" i="4"/>
  <c r="KB23" i="4"/>
  <c r="KA23" i="4"/>
  <c r="JZ23" i="4"/>
  <c r="JY23" i="4"/>
  <c r="JX23" i="4"/>
  <c r="JW23" i="4"/>
  <c r="JV23" i="4"/>
  <c r="JU23" i="4"/>
  <c r="JT23" i="4"/>
  <c r="JS23" i="4"/>
  <c r="JR23" i="4"/>
  <c r="JQ23" i="4"/>
  <c r="JP23" i="4"/>
  <c r="JO23" i="4"/>
  <c r="JN23" i="4"/>
  <c r="JM23" i="4"/>
  <c r="JL23" i="4"/>
  <c r="JK23" i="4"/>
  <c r="JJ23" i="4"/>
  <c r="JI23" i="4"/>
  <c r="JH23" i="4"/>
  <c r="JG23" i="4"/>
  <c r="JF23" i="4"/>
  <c r="JE23" i="4"/>
  <c r="KG22" i="4"/>
  <c r="KF22" i="4"/>
  <c r="KE22" i="4"/>
  <c r="KD22" i="4"/>
  <c r="KC22" i="4"/>
  <c r="KB22" i="4"/>
  <c r="KA22" i="4"/>
  <c r="JZ22" i="4"/>
  <c r="JY22" i="4"/>
  <c r="JX22" i="4"/>
  <c r="JW22" i="4"/>
  <c r="JV22" i="4"/>
  <c r="JU22" i="4"/>
  <c r="JT22" i="4"/>
  <c r="JS22" i="4"/>
  <c r="JR22" i="4"/>
  <c r="JQ22" i="4"/>
  <c r="JP22" i="4"/>
  <c r="JO22" i="4"/>
  <c r="JN22" i="4"/>
  <c r="JM22" i="4"/>
  <c r="JL22" i="4"/>
  <c r="JK22" i="4"/>
  <c r="JJ22" i="4"/>
  <c r="JI22" i="4"/>
  <c r="JH22" i="4"/>
  <c r="JG22" i="4"/>
  <c r="JF22" i="4"/>
  <c r="JE22" i="4"/>
  <c r="KG21" i="4"/>
  <c r="KF21" i="4"/>
  <c r="KE21" i="4"/>
  <c r="KD21" i="4"/>
  <c r="KC21" i="4"/>
  <c r="KB21" i="4"/>
  <c r="KA21" i="4"/>
  <c r="JZ21" i="4"/>
  <c r="JY21" i="4"/>
  <c r="JX21" i="4"/>
  <c r="JW21" i="4"/>
  <c r="JV21" i="4"/>
  <c r="JU21" i="4"/>
  <c r="JT21" i="4"/>
  <c r="JS21" i="4"/>
  <c r="JR21" i="4"/>
  <c r="JQ21" i="4"/>
  <c r="JP21" i="4"/>
  <c r="JO21" i="4"/>
  <c r="JN21" i="4"/>
  <c r="JM21" i="4"/>
  <c r="JL21" i="4"/>
  <c r="JK21" i="4"/>
  <c r="JJ21" i="4"/>
  <c r="JI21" i="4"/>
  <c r="JH21" i="4"/>
  <c r="JG21" i="4"/>
  <c r="JF21" i="4"/>
  <c r="JE21" i="4"/>
  <c r="KG20" i="4"/>
  <c r="KF20" i="4"/>
  <c r="KE20" i="4"/>
  <c r="KD20" i="4"/>
  <c r="KC20" i="4"/>
  <c r="KB20" i="4"/>
  <c r="KA20" i="4"/>
  <c r="JZ20" i="4"/>
  <c r="JY20" i="4"/>
  <c r="JX20" i="4"/>
  <c r="JW20" i="4"/>
  <c r="JV20" i="4"/>
  <c r="JU20" i="4"/>
  <c r="JT20" i="4"/>
  <c r="JS20" i="4"/>
  <c r="JR20" i="4"/>
  <c r="JQ20" i="4"/>
  <c r="JP20" i="4"/>
  <c r="JO20" i="4"/>
  <c r="JN20" i="4"/>
  <c r="JM20" i="4"/>
  <c r="JL20" i="4"/>
  <c r="JK20" i="4"/>
  <c r="JJ20" i="4"/>
  <c r="JI20" i="4"/>
  <c r="JH20" i="4"/>
  <c r="JG20" i="4"/>
  <c r="JF20" i="4"/>
  <c r="JE20" i="4"/>
  <c r="KG19" i="4"/>
  <c r="KF19" i="4"/>
  <c r="KE19" i="4"/>
  <c r="KD19" i="4"/>
  <c r="KC19" i="4"/>
  <c r="KB19" i="4"/>
  <c r="KA19" i="4"/>
  <c r="JZ19" i="4"/>
  <c r="JY19" i="4"/>
  <c r="JX19" i="4"/>
  <c r="JW19" i="4"/>
  <c r="JV19" i="4"/>
  <c r="JU19" i="4"/>
  <c r="JT19" i="4"/>
  <c r="JS19" i="4"/>
  <c r="JR19" i="4"/>
  <c r="JQ19" i="4"/>
  <c r="JP19" i="4"/>
  <c r="JO19" i="4"/>
  <c r="JN19" i="4"/>
  <c r="JM19" i="4"/>
  <c r="JL19" i="4"/>
  <c r="JK19" i="4"/>
  <c r="JJ19" i="4"/>
  <c r="JI19" i="4"/>
  <c r="JH19" i="4"/>
  <c r="JG19" i="4"/>
  <c r="JF19" i="4"/>
  <c r="JE19" i="4"/>
  <c r="KG18" i="4"/>
  <c r="KF18" i="4"/>
  <c r="KE18" i="4"/>
  <c r="KD18" i="4"/>
  <c r="KC18" i="4"/>
  <c r="KB18" i="4"/>
  <c r="KA18" i="4"/>
  <c r="JZ18" i="4"/>
  <c r="JY18" i="4"/>
  <c r="JX18" i="4"/>
  <c r="JW18" i="4"/>
  <c r="JV18" i="4"/>
  <c r="JU18" i="4"/>
  <c r="JT18" i="4"/>
  <c r="JS18" i="4"/>
  <c r="JR18" i="4"/>
  <c r="JQ18" i="4"/>
  <c r="JP18" i="4"/>
  <c r="JO18" i="4"/>
  <c r="JN18" i="4"/>
  <c r="JM18" i="4"/>
  <c r="JL18" i="4"/>
  <c r="JK18" i="4"/>
  <c r="JJ18" i="4"/>
  <c r="JI18" i="4"/>
  <c r="JH18" i="4"/>
  <c r="JG18" i="4"/>
  <c r="JF18" i="4"/>
  <c r="JE18" i="4"/>
  <c r="KG17" i="4"/>
  <c r="KF17" i="4"/>
  <c r="KE17" i="4"/>
  <c r="KD17" i="4"/>
  <c r="KC17" i="4"/>
  <c r="KB17" i="4"/>
  <c r="KA17" i="4"/>
  <c r="JZ17" i="4"/>
  <c r="JY17" i="4"/>
  <c r="JX17" i="4"/>
  <c r="JW17" i="4"/>
  <c r="JV17" i="4"/>
  <c r="JU17" i="4"/>
  <c r="JT17" i="4"/>
  <c r="JS17" i="4"/>
  <c r="JR17" i="4"/>
  <c r="JQ17" i="4"/>
  <c r="JP17" i="4"/>
  <c r="JO17" i="4"/>
  <c r="JN17" i="4"/>
  <c r="JM17" i="4"/>
  <c r="JL17" i="4"/>
  <c r="JK17" i="4"/>
  <c r="JJ17" i="4"/>
  <c r="JI17" i="4"/>
  <c r="JH17" i="4"/>
  <c r="JG17" i="4"/>
  <c r="JF17" i="4"/>
  <c r="JE17" i="4"/>
  <c r="KG16" i="4"/>
  <c r="KF16" i="4"/>
  <c r="KE16" i="4"/>
  <c r="KD16" i="4"/>
  <c r="KC16" i="4"/>
  <c r="KB16" i="4"/>
  <c r="KA16" i="4"/>
  <c r="JZ16" i="4"/>
  <c r="JY16" i="4"/>
  <c r="JX16" i="4"/>
  <c r="JW16" i="4"/>
  <c r="JV16" i="4"/>
  <c r="JU16" i="4"/>
  <c r="JT16" i="4"/>
  <c r="JS16" i="4"/>
  <c r="JR16" i="4"/>
  <c r="JQ16" i="4"/>
  <c r="JP16" i="4"/>
  <c r="JO16" i="4"/>
  <c r="JN16" i="4"/>
  <c r="JM16" i="4"/>
  <c r="JL16" i="4"/>
  <c r="JK16" i="4"/>
  <c r="JJ16" i="4"/>
  <c r="JI16" i="4"/>
  <c r="JH16" i="4"/>
  <c r="JG16" i="4"/>
  <c r="JF16" i="4"/>
  <c r="JE16" i="4"/>
  <c r="KG15" i="4"/>
  <c r="KF15" i="4"/>
  <c r="KE15" i="4"/>
  <c r="KD15" i="4"/>
  <c r="KC15" i="4"/>
  <c r="KB15" i="4"/>
  <c r="KA15" i="4"/>
  <c r="JZ15" i="4"/>
  <c r="JY15" i="4"/>
  <c r="JX15" i="4"/>
  <c r="JW15" i="4"/>
  <c r="JV15" i="4"/>
  <c r="JU15" i="4"/>
  <c r="JT15" i="4"/>
  <c r="JS15" i="4"/>
  <c r="JR15" i="4"/>
  <c r="JQ15" i="4"/>
  <c r="JP15" i="4"/>
  <c r="JO15" i="4"/>
  <c r="JN15" i="4"/>
  <c r="JM15" i="4"/>
  <c r="JL15" i="4"/>
  <c r="JK15" i="4"/>
  <c r="JJ15" i="4"/>
  <c r="JI15" i="4"/>
  <c r="JH15" i="4"/>
  <c r="JG15" i="4"/>
  <c r="JF15" i="4"/>
  <c r="JE15" i="4"/>
  <c r="KG14" i="4"/>
  <c r="KF14" i="4"/>
  <c r="KE14" i="4"/>
  <c r="KD14" i="4"/>
  <c r="KC14" i="4"/>
  <c r="KB14" i="4"/>
  <c r="KA14" i="4"/>
  <c r="JZ14" i="4"/>
  <c r="JY14" i="4"/>
  <c r="JX14" i="4"/>
  <c r="JW14" i="4"/>
  <c r="JV14" i="4"/>
  <c r="JU14" i="4"/>
  <c r="JT14" i="4"/>
  <c r="JS14" i="4"/>
  <c r="JR14" i="4"/>
  <c r="JQ14" i="4"/>
  <c r="JP14" i="4"/>
  <c r="JO14" i="4"/>
  <c r="JN14" i="4"/>
  <c r="JM14" i="4"/>
  <c r="JL14" i="4"/>
  <c r="JK14" i="4"/>
  <c r="JJ14" i="4"/>
  <c r="JI14" i="4"/>
  <c r="JH14" i="4"/>
  <c r="JG14" i="4"/>
  <c r="JF14" i="4"/>
  <c r="JE14" i="4"/>
  <c r="KG13" i="4"/>
  <c r="KF13" i="4"/>
  <c r="KE13" i="4"/>
  <c r="KD13" i="4"/>
  <c r="KC13" i="4"/>
  <c r="KB13" i="4"/>
  <c r="KA13" i="4"/>
  <c r="JZ13" i="4"/>
  <c r="JY13" i="4"/>
  <c r="JX13" i="4"/>
  <c r="JW13" i="4"/>
  <c r="JV13" i="4"/>
  <c r="JU13" i="4"/>
  <c r="JT13" i="4"/>
  <c r="JS13" i="4"/>
  <c r="JR13" i="4"/>
  <c r="JQ13" i="4"/>
  <c r="JP13" i="4"/>
  <c r="JO13" i="4"/>
  <c r="JN13" i="4"/>
  <c r="JM13" i="4"/>
  <c r="JL13" i="4"/>
  <c r="JK13" i="4"/>
  <c r="JJ13" i="4"/>
  <c r="JI13" i="4"/>
  <c r="JH13" i="4"/>
  <c r="JG13" i="4"/>
  <c r="JF13" i="4"/>
  <c r="JE13" i="4"/>
  <c r="KG12" i="4"/>
  <c r="KF12" i="4"/>
  <c r="KE12" i="4"/>
  <c r="KD12" i="4"/>
  <c r="KC12" i="4"/>
  <c r="KB12" i="4"/>
  <c r="KA12" i="4"/>
  <c r="JZ12" i="4"/>
  <c r="JY12" i="4"/>
  <c r="JX12" i="4"/>
  <c r="JW12" i="4"/>
  <c r="JV12" i="4"/>
  <c r="JU12" i="4"/>
  <c r="JT12" i="4"/>
  <c r="JS12" i="4"/>
  <c r="JR12" i="4"/>
  <c r="JQ12" i="4"/>
  <c r="JP12" i="4"/>
  <c r="JO12" i="4"/>
  <c r="JN12" i="4"/>
  <c r="JM12" i="4"/>
  <c r="JL12" i="4"/>
  <c r="JK12" i="4"/>
  <c r="JJ12" i="4"/>
  <c r="JI12" i="4"/>
  <c r="JH12" i="4"/>
  <c r="JG12" i="4"/>
  <c r="JF12" i="4"/>
  <c r="JE12" i="4"/>
  <c r="KG11" i="4"/>
  <c r="KF11" i="4"/>
  <c r="KE11" i="4"/>
  <c r="KD11" i="4"/>
  <c r="KC11" i="4"/>
  <c r="KB11" i="4"/>
  <c r="KA11" i="4"/>
  <c r="JZ11" i="4"/>
  <c r="JY11" i="4"/>
  <c r="JX11" i="4"/>
  <c r="JW11" i="4"/>
  <c r="JV11" i="4"/>
  <c r="JU11" i="4"/>
  <c r="JT11" i="4"/>
  <c r="JS11" i="4"/>
  <c r="JR11" i="4"/>
  <c r="JQ11" i="4"/>
  <c r="JP11" i="4"/>
  <c r="JO11" i="4"/>
  <c r="JN11" i="4"/>
  <c r="JM11" i="4"/>
  <c r="JL11" i="4"/>
  <c r="JK11" i="4"/>
  <c r="JJ11" i="4"/>
  <c r="JI11" i="4"/>
  <c r="JH11" i="4"/>
  <c r="JG11" i="4"/>
  <c r="JF11" i="4"/>
  <c r="JE11" i="4"/>
  <c r="KG10" i="4"/>
  <c r="KF10" i="4"/>
  <c r="KE10" i="4"/>
  <c r="KD10" i="4"/>
  <c r="KC10" i="4"/>
  <c r="KB10" i="4"/>
  <c r="KA10" i="4"/>
  <c r="JZ10" i="4"/>
  <c r="JY10" i="4"/>
  <c r="JX10" i="4"/>
  <c r="JW10" i="4"/>
  <c r="JV10" i="4"/>
  <c r="JU10" i="4"/>
  <c r="JT10" i="4"/>
  <c r="JS10" i="4"/>
  <c r="JR10" i="4"/>
  <c r="JQ10" i="4"/>
  <c r="JP10" i="4"/>
  <c r="JO10" i="4"/>
  <c r="JN10" i="4"/>
  <c r="JM10" i="4"/>
  <c r="JL10" i="4"/>
  <c r="JK10" i="4"/>
  <c r="JJ10" i="4"/>
  <c r="JI10" i="4"/>
  <c r="JH10" i="4"/>
  <c r="JG10" i="4"/>
  <c r="JF10" i="4"/>
  <c r="JE10" i="4"/>
  <c r="KG9" i="4"/>
  <c r="KF9" i="4"/>
  <c r="KE9" i="4"/>
  <c r="KD9" i="4"/>
  <c r="KC9" i="4"/>
  <c r="KB9" i="4"/>
  <c r="KA9" i="4"/>
  <c r="JZ9" i="4"/>
  <c r="JY9" i="4"/>
  <c r="JX9" i="4"/>
  <c r="JW9" i="4"/>
  <c r="JV9" i="4"/>
  <c r="JU9" i="4"/>
  <c r="JT9" i="4"/>
  <c r="JS9" i="4"/>
  <c r="JR9" i="4"/>
  <c r="JQ9" i="4"/>
  <c r="JP9" i="4"/>
  <c r="JO9" i="4"/>
  <c r="JN9" i="4"/>
  <c r="JM9" i="4"/>
  <c r="JL9" i="4"/>
  <c r="JK9" i="4"/>
  <c r="JJ9" i="4"/>
  <c r="JI9" i="4"/>
  <c r="JH9" i="4"/>
  <c r="JG9" i="4"/>
  <c r="JF9" i="4"/>
  <c r="JE9" i="4"/>
  <c r="KG8" i="4"/>
  <c r="KF8" i="4"/>
  <c r="KE8" i="4"/>
  <c r="KD8" i="4"/>
  <c r="KC8" i="4"/>
  <c r="KB8" i="4"/>
  <c r="KA8" i="4"/>
  <c r="JZ8" i="4"/>
  <c r="JY8" i="4"/>
  <c r="JX8" i="4"/>
  <c r="JW8" i="4"/>
  <c r="JV8" i="4"/>
  <c r="JU8" i="4"/>
  <c r="JT8" i="4"/>
  <c r="JS8" i="4"/>
  <c r="JR8" i="4"/>
  <c r="JQ8" i="4"/>
  <c r="JP8" i="4"/>
  <c r="JO8" i="4"/>
  <c r="JN8" i="4"/>
  <c r="JM8" i="4"/>
  <c r="JL8" i="4"/>
  <c r="JK8" i="4"/>
  <c r="JJ8" i="4"/>
  <c r="JI8" i="4"/>
  <c r="JH8" i="4"/>
  <c r="JG8" i="4"/>
  <c r="JF8" i="4"/>
  <c r="JE8" i="4"/>
  <c r="JD29" i="4"/>
  <c r="JC29" i="4"/>
  <c r="JB29" i="4"/>
  <c r="JA29" i="4"/>
  <c r="IZ29" i="4"/>
  <c r="IY29" i="4"/>
  <c r="IX29" i="4"/>
  <c r="IW29" i="4"/>
  <c r="IV29" i="4"/>
  <c r="IU29" i="4"/>
  <c r="IT29" i="4"/>
  <c r="IS29" i="4"/>
  <c r="IR29" i="4"/>
  <c r="IQ29" i="4"/>
  <c r="IP29" i="4"/>
  <c r="IO29" i="4"/>
  <c r="IN29" i="4"/>
  <c r="IM29" i="4"/>
  <c r="IL29" i="4"/>
  <c r="IK29" i="4"/>
  <c r="IJ29" i="4"/>
  <c r="II29" i="4"/>
  <c r="IH29" i="4"/>
  <c r="IG29" i="4"/>
  <c r="IF29" i="4"/>
  <c r="IE29" i="4"/>
  <c r="ID29" i="4"/>
  <c r="IC29" i="4"/>
  <c r="IB29" i="4"/>
  <c r="IA29" i="4"/>
  <c r="HZ29" i="4"/>
  <c r="JD28" i="4"/>
  <c r="JC28" i="4"/>
  <c r="JB28" i="4"/>
  <c r="JA28" i="4"/>
  <c r="IZ28" i="4"/>
  <c r="IY28" i="4"/>
  <c r="IX28" i="4"/>
  <c r="IW28" i="4"/>
  <c r="IV28" i="4"/>
  <c r="IU28" i="4"/>
  <c r="IT28" i="4"/>
  <c r="IS28" i="4"/>
  <c r="IR28" i="4"/>
  <c r="IQ28" i="4"/>
  <c r="IP28" i="4"/>
  <c r="IO28" i="4"/>
  <c r="IN28" i="4"/>
  <c r="IM28" i="4"/>
  <c r="IL28" i="4"/>
  <c r="IK28" i="4"/>
  <c r="IJ28" i="4"/>
  <c r="II28" i="4"/>
  <c r="IH28" i="4"/>
  <c r="IG28" i="4"/>
  <c r="IF28" i="4"/>
  <c r="IE28" i="4"/>
  <c r="ID28" i="4"/>
  <c r="IC28" i="4"/>
  <c r="IB28" i="4"/>
  <c r="IA28" i="4"/>
  <c r="HZ28" i="4"/>
  <c r="JD27" i="4"/>
  <c r="JC27" i="4"/>
  <c r="JB27" i="4"/>
  <c r="JA27" i="4"/>
  <c r="IZ27" i="4"/>
  <c r="IY27" i="4"/>
  <c r="IX27" i="4"/>
  <c r="IW27" i="4"/>
  <c r="IV27" i="4"/>
  <c r="IU27" i="4"/>
  <c r="IT27" i="4"/>
  <c r="IS27" i="4"/>
  <c r="IR27" i="4"/>
  <c r="IQ27" i="4"/>
  <c r="IP27" i="4"/>
  <c r="IO27" i="4"/>
  <c r="IN27" i="4"/>
  <c r="IM27" i="4"/>
  <c r="IL27" i="4"/>
  <c r="IK27" i="4"/>
  <c r="IJ27" i="4"/>
  <c r="II27" i="4"/>
  <c r="IH27" i="4"/>
  <c r="IG27" i="4"/>
  <c r="IF27" i="4"/>
  <c r="IE27" i="4"/>
  <c r="ID27" i="4"/>
  <c r="IC27" i="4"/>
  <c r="IB27" i="4"/>
  <c r="IA27" i="4"/>
  <c r="HZ27" i="4"/>
  <c r="JD26" i="4"/>
  <c r="JC26" i="4"/>
  <c r="JB26" i="4"/>
  <c r="JA26" i="4"/>
  <c r="IZ26" i="4"/>
  <c r="IY26" i="4"/>
  <c r="IX26" i="4"/>
  <c r="IW26" i="4"/>
  <c r="IV26" i="4"/>
  <c r="IU26" i="4"/>
  <c r="IT26" i="4"/>
  <c r="IS26" i="4"/>
  <c r="IR26" i="4"/>
  <c r="IQ26" i="4"/>
  <c r="IP26" i="4"/>
  <c r="IO26" i="4"/>
  <c r="IN26" i="4"/>
  <c r="IM26" i="4"/>
  <c r="IL26" i="4"/>
  <c r="IK26" i="4"/>
  <c r="IJ26" i="4"/>
  <c r="II26" i="4"/>
  <c r="IH26" i="4"/>
  <c r="IG26" i="4"/>
  <c r="IF26" i="4"/>
  <c r="IE26" i="4"/>
  <c r="ID26" i="4"/>
  <c r="IC26" i="4"/>
  <c r="IB26" i="4"/>
  <c r="IA26" i="4"/>
  <c r="HZ26" i="4"/>
  <c r="JD25" i="4"/>
  <c r="JC25" i="4"/>
  <c r="JB25" i="4"/>
  <c r="JA25" i="4"/>
  <c r="IZ25" i="4"/>
  <c r="IY25" i="4"/>
  <c r="IX25" i="4"/>
  <c r="IW25" i="4"/>
  <c r="IV25" i="4"/>
  <c r="IU25" i="4"/>
  <c r="IT25" i="4"/>
  <c r="IS25" i="4"/>
  <c r="IR25" i="4"/>
  <c r="IQ25" i="4"/>
  <c r="IP25" i="4"/>
  <c r="IO25" i="4"/>
  <c r="IN25" i="4"/>
  <c r="IM25" i="4"/>
  <c r="IL25" i="4"/>
  <c r="IK25" i="4"/>
  <c r="IJ25" i="4"/>
  <c r="II25" i="4"/>
  <c r="IH25" i="4"/>
  <c r="IG25" i="4"/>
  <c r="IF25" i="4"/>
  <c r="IE25" i="4"/>
  <c r="ID25" i="4"/>
  <c r="IC25" i="4"/>
  <c r="IB25" i="4"/>
  <c r="IA25" i="4"/>
  <c r="HZ25" i="4"/>
  <c r="JD24" i="4"/>
  <c r="JC24" i="4"/>
  <c r="JB24" i="4"/>
  <c r="JA24" i="4"/>
  <c r="IZ24" i="4"/>
  <c r="IY24" i="4"/>
  <c r="IX24" i="4"/>
  <c r="IW24" i="4"/>
  <c r="IV24" i="4"/>
  <c r="IU24" i="4"/>
  <c r="IT24" i="4"/>
  <c r="IS24" i="4"/>
  <c r="IR24" i="4"/>
  <c r="IQ24" i="4"/>
  <c r="IP24" i="4"/>
  <c r="IO24" i="4"/>
  <c r="IN24" i="4"/>
  <c r="IM24" i="4"/>
  <c r="IL24" i="4"/>
  <c r="IK24" i="4"/>
  <c r="IJ24" i="4"/>
  <c r="II24" i="4"/>
  <c r="IH24" i="4"/>
  <c r="IG24" i="4"/>
  <c r="IF24" i="4"/>
  <c r="IE24" i="4"/>
  <c r="ID24" i="4"/>
  <c r="IC24" i="4"/>
  <c r="IB24" i="4"/>
  <c r="IA24" i="4"/>
  <c r="HZ24" i="4"/>
  <c r="JD23" i="4"/>
  <c r="JC23" i="4"/>
  <c r="JB23" i="4"/>
  <c r="JA23" i="4"/>
  <c r="IZ23" i="4"/>
  <c r="IY23" i="4"/>
  <c r="IX23" i="4"/>
  <c r="IW23" i="4"/>
  <c r="IV23" i="4"/>
  <c r="IU23" i="4"/>
  <c r="IT23" i="4"/>
  <c r="IS23" i="4"/>
  <c r="IR23" i="4"/>
  <c r="IQ23" i="4"/>
  <c r="IP23" i="4"/>
  <c r="IO23" i="4"/>
  <c r="IN23" i="4"/>
  <c r="IM23" i="4"/>
  <c r="IL23" i="4"/>
  <c r="IK23" i="4"/>
  <c r="IJ23" i="4"/>
  <c r="II23" i="4"/>
  <c r="IH23" i="4"/>
  <c r="IG23" i="4"/>
  <c r="IF23" i="4"/>
  <c r="IE23" i="4"/>
  <c r="ID23" i="4"/>
  <c r="IC23" i="4"/>
  <c r="IB23" i="4"/>
  <c r="IA23" i="4"/>
  <c r="HZ23" i="4"/>
  <c r="JD22" i="4"/>
  <c r="JC22" i="4"/>
  <c r="JB22" i="4"/>
  <c r="JA22" i="4"/>
  <c r="IZ22" i="4"/>
  <c r="IY22" i="4"/>
  <c r="IX22" i="4"/>
  <c r="IW22" i="4"/>
  <c r="IV22" i="4"/>
  <c r="IU22" i="4"/>
  <c r="IT22" i="4"/>
  <c r="IS22" i="4"/>
  <c r="IR22" i="4"/>
  <c r="IQ22" i="4"/>
  <c r="IP22" i="4"/>
  <c r="IO22" i="4"/>
  <c r="IN22" i="4"/>
  <c r="IM22" i="4"/>
  <c r="IL22" i="4"/>
  <c r="IK22" i="4"/>
  <c r="IJ22" i="4"/>
  <c r="II22" i="4"/>
  <c r="IH22" i="4"/>
  <c r="IG22" i="4"/>
  <c r="IF22" i="4"/>
  <c r="IE22" i="4"/>
  <c r="ID22" i="4"/>
  <c r="IC22" i="4"/>
  <c r="IB22" i="4"/>
  <c r="IA22" i="4"/>
  <c r="HZ22" i="4"/>
  <c r="JD21" i="4"/>
  <c r="JC21" i="4"/>
  <c r="JB21" i="4"/>
  <c r="JA21" i="4"/>
  <c r="IZ21" i="4"/>
  <c r="IY21" i="4"/>
  <c r="IX21" i="4"/>
  <c r="IW21" i="4"/>
  <c r="IV21" i="4"/>
  <c r="IU21" i="4"/>
  <c r="IT21" i="4"/>
  <c r="IS21" i="4"/>
  <c r="IR21" i="4"/>
  <c r="IQ21" i="4"/>
  <c r="IP21" i="4"/>
  <c r="IO21" i="4"/>
  <c r="IN21" i="4"/>
  <c r="IM21" i="4"/>
  <c r="IL21" i="4"/>
  <c r="IK21" i="4"/>
  <c r="IJ21" i="4"/>
  <c r="II21" i="4"/>
  <c r="IH21" i="4"/>
  <c r="IG21" i="4"/>
  <c r="IF21" i="4"/>
  <c r="IE21" i="4"/>
  <c r="ID21" i="4"/>
  <c r="IC21" i="4"/>
  <c r="IB21" i="4"/>
  <c r="IA21" i="4"/>
  <c r="HZ21" i="4"/>
  <c r="JD20" i="4"/>
  <c r="JC20" i="4"/>
  <c r="JB20" i="4"/>
  <c r="JA20" i="4"/>
  <c r="IZ20" i="4"/>
  <c r="IY20" i="4"/>
  <c r="IX20" i="4"/>
  <c r="IW20" i="4"/>
  <c r="IV20" i="4"/>
  <c r="IU20" i="4"/>
  <c r="IT20" i="4"/>
  <c r="IS20" i="4"/>
  <c r="IR20" i="4"/>
  <c r="IQ20" i="4"/>
  <c r="IP20" i="4"/>
  <c r="IO20" i="4"/>
  <c r="IN20" i="4"/>
  <c r="IM20" i="4"/>
  <c r="IL20" i="4"/>
  <c r="IK20" i="4"/>
  <c r="IJ20" i="4"/>
  <c r="II20" i="4"/>
  <c r="IH20" i="4"/>
  <c r="IG20" i="4"/>
  <c r="IF20" i="4"/>
  <c r="IE20" i="4"/>
  <c r="ID20" i="4"/>
  <c r="IC20" i="4"/>
  <c r="IB20" i="4"/>
  <c r="IA20" i="4"/>
  <c r="HZ20" i="4"/>
  <c r="JD19" i="4"/>
  <c r="JC19" i="4"/>
  <c r="JB19" i="4"/>
  <c r="JA19" i="4"/>
  <c r="IZ19" i="4"/>
  <c r="IY19" i="4"/>
  <c r="IX19" i="4"/>
  <c r="IW19" i="4"/>
  <c r="IV19" i="4"/>
  <c r="IU19" i="4"/>
  <c r="IT19" i="4"/>
  <c r="IS19" i="4"/>
  <c r="IR19" i="4"/>
  <c r="IQ19" i="4"/>
  <c r="IP19" i="4"/>
  <c r="IO19" i="4"/>
  <c r="IN19" i="4"/>
  <c r="IM19" i="4"/>
  <c r="IL19" i="4"/>
  <c r="IK19" i="4"/>
  <c r="IJ19" i="4"/>
  <c r="II19" i="4"/>
  <c r="IH19" i="4"/>
  <c r="IG19" i="4"/>
  <c r="IF19" i="4"/>
  <c r="IE19" i="4"/>
  <c r="ID19" i="4"/>
  <c r="IC19" i="4"/>
  <c r="IB19" i="4"/>
  <c r="IA19" i="4"/>
  <c r="HZ19" i="4"/>
  <c r="JD18" i="4"/>
  <c r="JC18" i="4"/>
  <c r="JB18" i="4"/>
  <c r="JA18" i="4"/>
  <c r="IZ18" i="4"/>
  <c r="IY18" i="4"/>
  <c r="IX18" i="4"/>
  <c r="IW18" i="4"/>
  <c r="IV18" i="4"/>
  <c r="IU18" i="4"/>
  <c r="IT18" i="4"/>
  <c r="IS18" i="4"/>
  <c r="IR18" i="4"/>
  <c r="IQ18" i="4"/>
  <c r="IP18" i="4"/>
  <c r="IO18" i="4"/>
  <c r="IN18" i="4"/>
  <c r="IM18" i="4"/>
  <c r="IL18" i="4"/>
  <c r="IK18" i="4"/>
  <c r="IJ18" i="4"/>
  <c r="II18" i="4"/>
  <c r="IH18" i="4"/>
  <c r="IG18" i="4"/>
  <c r="IF18" i="4"/>
  <c r="IE18" i="4"/>
  <c r="ID18" i="4"/>
  <c r="IC18" i="4"/>
  <c r="IB18" i="4"/>
  <c r="IA18" i="4"/>
  <c r="HZ18" i="4"/>
  <c r="JD17" i="4"/>
  <c r="JC17" i="4"/>
  <c r="JB17" i="4"/>
  <c r="JA17" i="4"/>
  <c r="IZ17" i="4"/>
  <c r="IY17" i="4"/>
  <c r="IX17" i="4"/>
  <c r="IW17" i="4"/>
  <c r="IV17" i="4"/>
  <c r="IU17" i="4"/>
  <c r="IT17" i="4"/>
  <c r="IS17" i="4"/>
  <c r="IR17" i="4"/>
  <c r="IQ17" i="4"/>
  <c r="IP17" i="4"/>
  <c r="IO17" i="4"/>
  <c r="IN17" i="4"/>
  <c r="IM17" i="4"/>
  <c r="IL17" i="4"/>
  <c r="IK17" i="4"/>
  <c r="IJ17" i="4"/>
  <c r="II17" i="4"/>
  <c r="IH17" i="4"/>
  <c r="IG17" i="4"/>
  <c r="IF17" i="4"/>
  <c r="IE17" i="4"/>
  <c r="ID17" i="4"/>
  <c r="IC17" i="4"/>
  <c r="IB17" i="4"/>
  <c r="IA17" i="4"/>
  <c r="HZ17" i="4"/>
  <c r="JD16" i="4"/>
  <c r="JC16" i="4"/>
  <c r="JB16" i="4"/>
  <c r="JA16" i="4"/>
  <c r="IZ16" i="4"/>
  <c r="IY16" i="4"/>
  <c r="IX16" i="4"/>
  <c r="IW16" i="4"/>
  <c r="IV16" i="4"/>
  <c r="IU16" i="4"/>
  <c r="IT16" i="4"/>
  <c r="IS16" i="4"/>
  <c r="IR16" i="4"/>
  <c r="IQ16" i="4"/>
  <c r="IP16" i="4"/>
  <c r="IO16" i="4"/>
  <c r="IN16" i="4"/>
  <c r="IM16" i="4"/>
  <c r="IL16" i="4"/>
  <c r="IK16" i="4"/>
  <c r="IJ16" i="4"/>
  <c r="II16" i="4"/>
  <c r="IH16" i="4"/>
  <c r="IG16" i="4"/>
  <c r="IF16" i="4"/>
  <c r="IE16" i="4"/>
  <c r="ID16" i="4"/>
  <c r="IC16" i="4"/>
  <c r="IB16" i="4"/>
  <c r="IA16" i="4"/>
  <c r="HZ16" i="4"/>
  <c r="JD15" i="4"/>
  <c r="JC15" i="4"/>
  <c r="JB15" i="4"/>
  <c r="JA15" i="4"/>
  <c r="IZ15" i="4"/>
  <c r="IY15" i="4"/>
  <c r="IX15" i="4"/>
  <c r="IW15" i="4"/>
  <c r="IV15" i="4"/>
  <c r="IU15" i="4"/>
  <c r="IT15" i="4"/>
  <c r="IS15" i="4"/>
  <c r="IR15" i="4"/>
  <c r="IQ15" i="4"/>
  <c r="IP15" i="4"/>
  <c r="IO15" i="4"/>
  <c r="IN15" i="4"/>
  <c r="IM15" i="4"/>
  <c r="IL15" i="4"/>
  <c r="IK15" i="4"/>
  <c r="IJ15" i="4"/>
  <c r="II15" i="4"/>
  <c r="IH15" i="4"/>
  <c r="IG15" i="4"/>
  <c r="IF15" i="4"/>
  <c r="IE15" i="4"/>
  <c r="ID15" i="4"/>
  <c r="IC15" i="4"/>
  <c r="IB15" i="4"/>
  <c r="IA15" i="4"/>
  <c r="HZ15" i="4"/>
  <c r="JD14" i="4"/>
  <c r="JC14" i="4"/>
  <c r="JB14" i="4"/>
  <c r="JA14" i="4"/>
  <c r="IZ14" i="4"/>
  <c r="IY14" i="4"/>
  <c r="IX14" i="4"/>
  <c r="IW14" i="4"/>
  <c r="IV14" i="4"/>
  <c r="IU14" i="4"/>
  <c r="IT14" i="4"/>
  <c r="IS14" i="4"/>
  <c r="IR14" i="4"/>
  <c r="IQ14" i="4"/>
  <c r="IP14" i="4"/>
  <c r="IO14" i="4"/>
  <c r="IN14" i="4"/>
  <c r="IM14" i="4"/>
  <c r="IL14" i="4"/>
  <c r="IK14" i="4"/>
  <c r="IJ14" i="4"/>
  <c r="II14" i="4"/>
  <c r="IH14" i="4"/>
  <c r="IG14" i="4"/>
  <c r="IF14" i="4"/>
  <c r="IE14" i="4"/>
  <c r="ID14" i="4"/>
  <c r="IC14" i="4"/>
  <c r="IB14" i="4"/>
  <c r="IA14" i="4"/>
  <c r="HZ14" i="4"/>
  <c r="JD13" i="4"/>
  <c r="JC13" i="4"/>
  <c r="JB13" i="4"/>
  <c r="JA13" i="4"/>
  <c r="IZ13" i="4"/>
  <c r="IY13" i="4"/>
  <c r="IX13" i="4"/>
  <c r="IW13" i="4"/>
  <c r="IV13" i="4"/>
  <c r="IU13" i="4"/>
  <c r="IT13" i="4"/>
  <c r="IS13" i="4"/>
  <c r="IR13" i="4"/>
  <c r="IQ13" i="4"/>
  <c r="IP13" i="4"/>
  <c r="IO13" i="4"/>
  <c r="IN13" i="4"/>
  <c r="IM13" i="4"/>
  <c r="IL13" i="4"/>
  <c r="IK13" i="4"/>
  <c r="IJ13" i="4"/>
  <c r="II13" i="4"/>
  <c r="IH13" i="4"/>
  <c r="IG13" i="4"/>
  <c r="IF13" i="4"/>
  <c r="IE13" i="4"/>
  <c r="ID13" i="4"/>
  <c r="IC13" i="4"/>
  <c r="IB13" i="4"/>
  <c r="IA13" i="4"/>
  <c r="HZ13" i="4"/>
  <c r="JD12" i="4"/>
  <c r="JC12" i="4"/>
  <c r="JB12" i="4"/>
  <c r="JA12" i="4"/>
  <c r="IZ12" i="4"/>
  <c r="IY12" i="4"/>
  <c r="IX12" i="4"/>
  <c r="IW12" i="4"/>
  <c r="IV12" i="4"/>
  <c r="IU12" i="4"/>
  <c r="IT12" i="4"/>
  <c r="IS12" i="4"/>
  <c r="IR12" i="4"/>
  <c r="IQ12" i="4"/>
  <c r="IP12" i="4"/>
  <c r="IO12" i="4"/>
  <c r="IN12" i="4"/>
  <c r="IM12" i="4"/>
  <c r="IL12" i="4"/>
  <c r="IK12" i="4"/>
  <c r="IJ12" i="4"/>
  <c r="II12" i="4"/>
  <c r="IH12" i="4"/>
  <c r="IG12" i="4"/>
  <c r="IF12" i="4"/>
  <c r="IE12" i="4"/>
  <c r="ID12" i="4"/>
  <c r="IC12" i="4"/>
  <c r="IB12" i="4"/>
  <c r="IA12" i="4"/>
  <c r="HZ12" i="4"/>
  <c r="JD11" i="4"/>
  <c r="JC11" i="4"/>
  <c r="JB11" i="4"/>
  <c r="JA11" i="4"/>
  <c r="IZ11" i="4"/>
  <c r="IY11" i="4"/>
  <c r="IX11" i="4"/>
  <c r="IW11" i="4"/>
  <c r="IV11" i="4"/>
  <c r="IU11" i="4"/>
  <c r="IT11" i="4"/>
  <c r="IS11" i="4"/>
  <c r="IR11" i="4"/>
  <c r="IQ11" i="4"/>
  <c r="IP11" i="4"/>
  <c r="IO11" i="4"/>
  <c r="IN11" i="4"/>
  <c r="IM11" i="4"/>
  <c r="IL11" i="4"/>
  <c r="IK11" i="4"/>
  <c r="IJ11" i="4"/>
  <c r="II11" i="4"/>
  <c r="IH11" i="4"/>
  <c r="IG11" i="4"/>
  <c r="IF11" i="4"/>
  <c r="IE11" i="4"/>
  <c r="ID11" i="4"/>
  <c r="IC11" i="4"/>
  <c r="IB11" i="4"/>
  <c r="IA11" i="4"/>
  <c r="HZ11" i="4"/>
  <c r="JD10" i="4"/>
  <c r="JC10" i="4"/>
  <c r="JB10" i="4"/>
  <c r="JA10" i="4"/>
  <c r="IZ10" i="4"/>
  <c r="IY10" i="4"/>
  <c r="IX10" i="4"/>
  <c r="IW10" i="4"/>
  <c r="IV10" i="4"/>
  <c r="IU10" i="4"/>
  <c r="IT10" i="4"/>
  <c r="IS10" i="4"/>
  <c r="IR10" i="4"/>
  <c r="IQ10" i="4"/>
  <c r="IP10" i="4"/>
  <c r="IO10" i="4"/>
  <c r="IN10" i="4"/>
  <c r="IM10" i="4"/>
  <c r="IL10" i="4"/>
  <c r="IK10" i="4"/>
  <c r="IJ10" i="4"/>
  <c r="II10" i="4"/>
  <c r="IH10" i="4"/>
  <c r="IG10" i="4"/>
  <c r="IF10" i="4"/>
  <c r="IE10" i="4"/>
  <c r="ID10" i="4"/>
  <c r="IC10" i="4"/>
  <c r="IB10" i="4"/>
  <c r="IA10" i="4"/>
  <c r="HZ10" i="4"/>
  <c r="JD9" i="4"/>
  <c r="JC9" i="4"/>
  <c r="JB9" i="4"/>
  <c r="JA9" i="4"/>
  <c r="IZ9" i="4"/>
  <c r="IY9" i="4"/>
  <c r="IX9" i="4"/>
  <c r="IW9" i="4"/>
  <c r="IV9" i="4"/>
  <c r="IU9" i="4"/>
  <c r="IT9" i="4"/>
  <c r="IS9" i="4"/>
  <c r="IR9" i="4"/>
  <c r="IQ9" i="4"/>
  <c r="IP9" i="4"/>
  <c r="IO9" i="4"/>
  <c r="IN9" i="4"/>
  <c r="IM9" i="4"/>
  <c r="IL9" i="4"/>
  <c r="IK9" i="4"/>
  <c r="IJ9" i="4"/>
  <c r="II9" i="4"/>
  <c r="IH9" i="4"/>
  <c r="IG9" i="4"/>
  <c r="IF9" i="4"/>
  <c r="IE9" i="4"/>
  <c r="ID9" i="4"/>
  <c r="IC9" i="4"/>
  <c r="IB9" i="4"/>
  <c r="IA9" i="4"/>
  <c r="HZ9" i="4"/>
  <c r="JD8" i="4"/>
  <c r="JC8" i="4"/>
  <c r="JB8" i="4"/>
  <c r="JA8" i="4"/>
  <c r="IZ8" i="4"/>
  <c r="IY8" i="4"/>
  <c r="IX8" i="4"/>
  <c r="IW8" i="4"/>
  <c r="IV8" i="4"/>
  <c r="IU8" i="4"/>
  <c r="IT8" i="4"/>
  <c r="IS8" i="4"/>
  <c r="IR8" i="4"/>
  <c r="IQ8" i="4"/>
  <c r="IP8" i="4"/>
  <c r="IO8" i="4"/>
  <c r="IN8" i="4"/>
  <c r="IM8" i="4"/>
  <c r="IL8" i="4"/>
  <c r="IK8" i="4"/>
  <c r="IJ8" i="4"/>
  <c r="II8" i="4"/>
  <c r="IH8" i="4"/>
  <c r="IG8" i="4"/>
  <c r="IF8" i="4"/>
  <c r="IE8" i="4"/>
  <c r="ID8" i="4"/>
  <c r="IC8" i="4"/>
  <c r="IB8" i="4"/>
  <c r="IA8" i="4"/>
  <c r="HZ8" i="4"/>
  <c r="S3" i="4"/>
  <c r="J9" i="4"/>
  <c r="J10" i="4"/>
  <c r="J11" i="4"/>
  <c r="J12" i="4"/>
  <c r="J13" i="4"/>
  <c r="J14" i="4"/>
  <c r="J15" i="4"/>
  <c r="J16" i="4"/>
  <c r="J17" i="4"/>
  <c r="J18" i="4"/>
  <c r="J19" i="4"/>
  <c r="J20" i="4"/>
  <c r="J21" i="4"/>
  <c r="J22" i="4"/>
  <c r="J23" i="4"/>
  <c r="J24" i="4"/>
  <c r="J25" i="4"/>
  <c r="J26" i="4"/>
  <c r="J27" i="4"/>
  <c r="J28" i="4"/>
  <c r="J29" i="4"/>
  <c r="KD33" i="4" l="1"/>
  <c r="JR33" i="4"/>
  <c r="JF33" i="4"/>
  <c r="IT33" i="4"/>
  <c r="IH33" i="4"/>
  <c r="KC33" i="4"/>
  <c r="JQ33" i="4"/>
  <c r="JE33" i="4"/>
  <c r="IS33" i="4"/>
  <c r="IG33" i="4"/>
  <c r="S7" i="4"/>
  <c r="DG7" i="4"/>
  <c r="GU7" i="4"/>
  <c r="HZ33" i="4"/>
  <c r="KB33" i="4"/>
  <c r="JP33" i="4"/>
  <c r="JD33" i="4"/>
  <c r="IR33" i="4"/>
  <c r="IF33" i="4"/>
  <c r="KA33" i="4"/>
  <c r="JO33" i="4"/>
  <c r="JC33" i="4"/>
  <c r="IQ33" i="4"/>
  <c r="IE33" i="4"/>
  <c r="JZ33" i="4"/>
  <c r="JN33" i="4"/>
  <c r="JB33" i="4"/>
  <c r="IP33" i="4"/>
  <c r="ID33" i="4"/>
  <c r="IC33" i="4"/>
  <c r="JY33" i="4"/>
  <c r="JM33" i="4"/>
  <c r="JA33" i="4"/>
  <c r="IO33" i="4"/>
  <c r="IB33" i="4"/>
  <c r="JX33" i="4"/>
  <c r="JL33" i="4"/>
  <c r="IZ33" i="4"/>
  <c r="IN33" i="4"/>
  <c r="IA33" i="4"/>
  <c r="JW33" i="4"/>
  <c r="JK33" i="4"/>
  <c r="IY33" i="4"/>
  <c r="IM33" i="4"/>
  <c r="KF33" i="4"/>
  <c r="JT33" i="4"/>
  <c r="JH33" i="4"/>
  <c r="IV33" i="4"/>
  <c r="IJ33" i="4"/>
  <c r="KE33" i="4"/>
  <c r="JS33" i="4"/>
  <c r="JG33" i="4"/>
  <c r="IU33" i="4"/>
  <c r="II33" i="4"/>
  <c r="T7" i="4" l="1"/>
  <c r="S6" i="4"/>
  <c r="DG6" i="4"/>
  <c r="DH7" i="4"/>
  <c r="GU6" i="4"/>
  <c r="GV7" i="4"/>
  <c r="GU9" i="4"/>
  <c r="GV9" i="4"/>
  <c r="GW9" i="4"/>
  <c r="GY9" i="4"/>
  <c r="GZ9" i="4"/>
  <c r="HA9" i="4"/>
  <c r="HB9" i="4"/>
  <c r="HC9" i="4"/>
  <c r="HD9" i="4"/>
  <c r="HE9" i="4"/>
  <c r="HF9" i="4"/>
  <c r="HG9" i="4"/>
  <c r="HH9" i="4"/>
  <c r="HI9" i="4"/>
  <c r="HJ9" i="4"/>
  <c r="HK9" i="4"/>
  <c r="HL9" i="4"/>
  <c r="HM9" i="4"/>
  <c r="HN9" i="4"/>
  <c r="HO9" i="4"/>
  <c r="HP9" i="4"/>
  <c r="HQ9" i="4"/>
  <c r="HR9" i="4"/>
  <c r="HS9" i="4"/>
  <c r="HT9" i="4"/>
  <c r="HU9" i="4"/>
  <c r="HV9" i="4"/>
  <c r="HW9" i="4"/>
  <c r="HX9" i="4"/>
  <c r="HY9"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GU11" i="4"/>
  <c r="GV11" i="4"/>
  <c r="GW11" i="4"/>
  <c r="GX11" i="4"/>
  <c r="GY11" i="4"/>
  <c r="GZ11" i="4"/>
  <c r="HA11" i="4"/>
  <c r="HB11" i="4"/>
  <c r="HC11" i="4"/>
  <c r="HD11" i="4"/>
  <c r="HE11" i="4"/>
  <c r="HF11" i="4"/>
  <c r="HG11" i="4"/>
  <c r="HH11" i="4"/>
  <c r="HI11" i="4"/>
  <c r="HJ11" i="4"/>
  <c r="HK11" i="4"/>
  <c r="HL11" i="4"/>
  <c r="HM11" i="4"/>
  <c r="HN11" i="4"/>
  <c r="HO11" i="4"/>
  <c r="HP11" i="4"/>
  <c r="HQ11" i="4"/>
  <c r="HR11" i="4"/>
  <c r="HS11" i="4"/>
  <c r="HT11" i="4"/>
  <c r="HU11" i="4"/>
  <c r="HV11" i="4"/>
  <c r="HW11" i="4"/>
  <c r="HX11" i="4"/>
  <c r="HY11" i="4"/>
  <c r="GU12" i="4"/>
  <c r="GV12" i="4"/>
  <c r="GW12" i="4"/>
  <c r="GX12" i="4"/>
  <c r="GY12" i="4"/>
  <c r="GZ12" i="4"/>
  <c r="HA12" i="4"/>
  <c r="HB12" i="4"/>
  <c r="HC12" i="4"/>
  <c r="HD12" i="4"/>
  <c r="HE12" i="4"/>
  <c r="HF12" i="4"/>
  <c r="HG12" i="4"/>
  <c r="HH12" i="4"/>
  <c r="HI12" i="4"/>
  <c r="HJ12" i="4"/>
  <c r="HK12" i="4"/>
  <c r="HL12" i="4"/>
  <c r="HM12" i="4"/>
  <c r="HN12" i="4"/>
  <c r="HO12" i="4"/>
  <c r="HP12" i="4"/>
  <c r="HQ12" i="4"/>
  <c r="HR12" i="4"/>
  <c r="HS12" i="4"/>
  <c r="HT12" i="4"/>
  <c r="HU12" i="4"/>
  <c r="HV12" i="4"/>
  <c r="HW12" i="4"/>
  <c r="HX12" i="4"/>
  <c r="HY12" i="4"/>
  <c r="GU13" i="4"/>
  <c r="GV13" i="4"/>
  <c r="GW13" i="4"/>
  <c r="GX13" i="4"/>
  <c r="GY13" i="4"/>
  <c r="GZ13" i="4"/>
  <c r="HA13" i="4"/>
  <c r="HB13" i="4"/>
  <c r="HC13" i="4"/>
  <c r="HD13" i="4"/>
  <c r="HE13" i="4"/>
  <c r="HF13" i="4"/>
  <c r="HG13" i="4"/>
  <c r="HH13" i="4"/>
  <c r="HI13" i="4"/>
  <c r="HJ13" i="4"/>
  <c r="HK13" i="4"/>
  <c r="HL13" i="4"/>
  <c r="HM13" i="4"/>
  <c r="HN13" i="4"/>
  <c r="HO13" i="4"/>
  <c r="HP13" i="4"/>
  <c r="HQ13" i="4"/>
  <c r="HR13" i="4"/>
  <c r="HS13" i="4"/>
  <c r="HT13" i="4"/>
  <c r="HU13" i="4"/>
  <c r="HV13" i="4"/>
  <c r="HW13" i="4"/>
  <c r="HX13" i="4"/>
  <c r="HY13" i="4"/>
  <c r="GU14" i="4"/>
  <c r="GV14" i="4"/>
  <c r="GW14" i="4"/>
  <c r="GX14" i="4"/>
  <c r="GY14" i="4"/>
  <c r="GZ14" i="4"/>
  <c r="HA14" i="4"/>
  <c r="HB14" i="4"/>
  <c r="HC14" i="4"/>
  <c r="HD14" i="4"/>
  <c r="HE14" i="4"/>
  <c r="HF14" i="4"/>
  <c r="HG14" i="4"/>
  <c r="HH14" i="4"/>
  <c r="HI14" i="4"/>
  <c r="HJ14" i="4"/>
  <c r="HK14" i="4"/>
  <c r="HL14" i="4"/>
  <c r="HM14" i="4"/>
  <c r="HN14" i="4"/>
  <c r="HO14" i="4"/>
  <c r="HP14" i="4"/>
  <c r="HQ14" i="4"/>
  <c r="HR14" i="4"/>
  <c r="HS14" i="4"/>
  <c r="HT14" i="4"/>
  <c r="HU14" i="4"/>
  <c r="HV14" i="4"/>
  <c r="HW14" i="4"/>
  <c r="HX14" i="4"/>
  <c r="HY14" i="4"/>
  <c r="GU15" i="4"/>
  <c r="GV15" i="4"/>
  <c r="GW15" i="4"/>
  <c r="GX15" i="4"/>
  <c r="GY15" i="4"/>
  <c r="GZ15" i="4"/>
  <c r="HA15" i="4"/>
  <c r="HB15" i="4"/>
  <c r="HC15" i="4"/>
  <c r="HD15" i="4"/>
  <c r="HE15" i="4"/>
  <c r="HF15" i="4"/>
  <c r="HG15" i="4"/>
  <c r="HH15" i="4"/>
  <c r="HI15" i="4"/>
  <c r="HJ15" i="4"/>
  <c r="HK15" i="4"/>
  <c r="HL15" i="4"/>
  <c r="HM15" i="4"/>
  <c r="HN15" i="4"/>
  <c r="HO15" i="4"/>
  <c r="HP15" i="4"/>
  <c r="HQ15" i="4"/>
  <c r="HR15" i="4"/>
  <c r="HS15" i="4"/>
  <c r="HT15" i="4"/>
  <c r="HU15" i="4"/>
  <c r="HV15" i="4"/>
  <c r="HW15" i="4"/>
  <c r="HX15" i="4"/>
  <c r="HY15" i="4"/>
  <c r="GU16" i="4"/>
  <c r="GV16" i="4"/>
  <c r="GW16" i="4"/>
  <c r="GX16" i="4"/>
  <c r="GY16" i="4"/>
  <c r="GZ16" i="4"/>
  <c r="HA16" i="4"/>
  <c r="HB16" i="4"/>
  <c r="HC16" i="4"/>
  <c r="HD16" i="4"/>
  <c r="HE16" i="4"/>
  <c r="HF16" i="4"/>
  <c r="HG16" i="4"/>
  <c r="HH16" i="4"/>
  <c r="HI16" i="4"/>
  <c r="HJ16" i="4"/>
  <c r="HK16" i="4"/>
  <c r="HL16" i="4"/>
  <c r="HM16" i="4"/>
  <c r="HN16" i="4"/>
  <c r="HO16" i="4"/>
  <c r="HP16" i="4"/>
  <c r="HQ16" i="4"/>
  <c r="HR16" i="4"/>
  <c r="HS16" i="4"/>
  <c r="HT16" i="4"/>
  <c r="HU16" i="4"/>
  <c r="HV16" i="4"/>
  <c r="HW16" i="4"/>
  <c r="HX16" i="4"/>
  <c r="HY16" i="4"/>
  <c r="GU17" i="4"/>
  <c r="GV17" i="4"/>
  <c r="GW17" i="4"/>
  <c r="GX17" i="4"/>
  <c r="GY17" i="4"/>
  <c r="GZ17" i="4"/>
  <c r="HA17" i="4"/>
  <c r="HB17" i="4"/>
  <c r="HC17" i="4"/>
  <c r="HD17" i="4"/>
  <c r="HE17" i="4"/>
  <c r="HF17" i="4"/>
  <c r="HG17" i="4"/>
  <c r="HH17" i="4"/>
  <c r="HI17" i="4"/>
  <c r="HJ17" i="4"/>
  <c r="HK17" i="4"/>
  <c r="HL17" i="4"/>
  <c r="HM17" i="4"/>
  <c r="HN17" i="4"/>
  <c r="HO17" i="4"/>
  <c r="HP17" i="4"/>
  <c r="HQ17" i="4"/>
  <c r="HR17" i="4"/>
  <c r="HS17" i="4"/>
  <c r="HT17" i="4"/>
  <c r="HU17" i="4"/>
  <c r="HV17" i="4"/>
  <c r="HW17" i="4"/>
  <c r="HX17" i="4"/>
  <c r="HY17" i="4"/>
  <c r="GU18" i="4"/>
  <c r="GV18" i="4"/>
  <c r="GW18" i="4"/>
  <c r="GX18" i="4"/>
  <c r="GY18" i="4"/>
  <c r="GZ18" i="4"/>
  <c r="HA18" i="4"/>
  <c r="HB18" i="4"/>
  <c r="HC18" i="4"/>
  <c r="HD18" i="4"/>
  <c r="HE18" i="4"/>
  <c r="HF18" i="4"/>
  <c r="HG18" i="4"/>
  <c r="HH18" i="4"/>
  <c r="HI18" i="4"/>
  <c r="HJ18" i="4"/>
  <c r="HK18" i="4"/>
  <c r="HL18" i="4"/>
  <c r="HM18" i="4"/>
  <c r="HN18" i="4"/>
  <c r="HO18" i="4"/>
  <c r="HP18" i="4"/>
  <c r="HQ18" i="4"/>
  <c r="HR18" i="4"/>
  <c r="HS18" i="4"/>
  <c r="HT18" i="4"/>
  <c r="HU18" i="4"/>
  <c r="HV18" i="4"/>
  <c r="HW18" i="4"/>
  <c r="HX18" i="4"/>
  <c r="HY18" i="4"/>
  <c r="GU19" i="4"/>
  <c r="GV19" i="4"/>
  <c r="GW19" i="4"/>
  <c r="GX19" i="4"/>
  <c r="GY19" i="4"/>
  <c r="GZ19" i="4"/>
  <c r="HA19" i="4"/>
  <c r="HB19" i="4"/>
  <c r="HC19" i="4"/>
  <c r="HD19" i="4"/>
  <c r="HE19" i="4"/>
  <c r="HF19" i="4"/>
  <c r="HG19" i="4"/>
  <c r="HH19" i="4"/>
  <c r="HI19" i="4"/>
  <c r="HJ19" i="4"/>
  <c r="HK19" i="4"/>
  <c r="HL19" i="4"/>
  <c r="HM19" i="4"/>
  <c r="HN19" i="4"/>
  <c r="HO19" i="4"/>
  <c r="HP19" i="4"/>
  <c r="HQ19" i="4"/>
  <c r="HR19" i="4"/>
  <c r="HS19" i="4"/>
  <c r="HT19" i="4"/>
  <c r="HU19" i="4"/>
  <c r="HV19" i="4"/>
  <c r="HW19" i="4"/>
  <c r="HX19" i="4"/>
  <c r="HY19" i="4"/>
  <c r="GU20" i="4"/>
  <c r="GV20" i="4"/>
  <c r="GW20" i="4"/>
  <c r="GX20" i="4"/>
  <c r="GY20" i="4"/>
  <c r="GZ20" i="4"/>
  <c r="HA20" i="4"/>
  <c r="HB20" i="4"/>
  <c r="HC20" i="4"/>
  <c r="HD20" i="4"/>
  <c r="HE20" i="4"/>
  <c r="HF20" i="4"/>
  <c r="HG20" i="4"/>
  <c r="HH20" i="4"/>
  <c r="HI20" i="4"/>
  <c r="HJ20" i="4"/>
  <c r="HK20" i="4"/>
  <c r="HL20" i="4"/>
  <c r="HM20" i="4"/>
  <c r="HN20" i="4"/>
  <c r="HO20" i="4"/>
  <c r="HP20" i="4"/>
  <c r="HQ20" i="4"/>
  <c r="HR20" i="4"/>
  <c r="HS20" i="4"/>
  <c r="HT20" i="4"/>
  <c r="HU20" i="4"/>
  <c r="HV20" i="4"/>
  <c r="HW20" i="4"/>
  <c r="HX20" i="4"/>
  <c r="HY20" i="4"/>
  <c r="GU21" i="4"/>
  <c r="GV21" i="4"/>
  <c r="GW21" i="4"/>
  <c r="GX21" i="4"/>
  <c r="GY21" i="4"/>
  <c r="GZ21" i="4"/>
  <c r="HA21" i="4"/>
  <c r="HB21" i="4"/>
  <c r="HC21" i="4"/>
  <c r="HD21" i="4"/>
  <c r="HE21" i="4"/>
  <c r="HF21" i="4"/>
  <c r="HG21" i="4"/>
  <c r="HH21" i="4"/>
  <c r="HI21" i="4"/>
  <c r="HJ21" i="4"/>
  <c r="HK21" i="4"/>
  <c r="HL21" i="4"/>
  <c r="HM21" i="4"/>
  <c r="HN21" i="4"/>
  <c r="HO21" i="4"/>
  <c r="HP21" i="4"/>
  <c r="HQ21" i="4"/>
  <c r="HR21" i="4"/>
  <c r="HS21" i="4"/>
  <c r="HT21" i="4"/>
  <c r="HU21" i="4"/>
  <c r="HV21" i="4"/>
  <c r="HW21" i="4"/>
  <c r="HX21" i="4"/>
  <c r="HY21" i="4"/>
  <c r="GU22" i="4"/>
  <c r="GV22" i="4"/>
  <c r="GW22" i="4"/>
  <c r="GX22" i="4"/>
  <c r="GY22" i="4"/>
  <c r="GZ22" i="4"/>
  <c r="HA22" i="4"/>
  <c r="HB22" i="4"/>
  <c r="HC22" i="4"/>
  <c r="HD22" i="4"/>
  <c r="HE22" i="4"/>
  <c r="HF22" i="4"/>
  <c r="HG22" i="4"/>
  <c r="HH22" i="4"/>
  <c r="HI22" i="4"/>
  <c r="HJ22" i="4"/>
  <c r="HK22" i="4"/>
  <c r="HL22" i="4"/>
  <c r="HM22" i="4"/>
  <c r="HN22" i="4"/>
  <c r="HO22" i="4"/>
  <c r="HP22" i="4"/>
  <c r="HQ22" i="4"/>
  <c r="HR22" i="4"/>
  <c r="HS22" i="4"/>
  <c r="HT22" i="4"/>
  <c r="HU22" i="4"/>
  <c r="HV22" i="4"/>
  <c r="HW22" i="4"/>
  <c r="HX22" i="4"/>
  <c r="HY22" i="4"/>
  <c r="GU23" i="4"/>
  <c r="GV23" i="4"/>
  <c r="GW23" i="4"/>
  <c r="GX23" i="4"/>
  <c r="GY23" i="4"/>
  <c r="GZ23" i="4"/>
  <c r="HA23" i="4"/>
  <c r="HB23" i="4"/>
  <c r="HC23" i="4"/>
  <c r="HD23" i="4"/>
  <c r="HE23" i="4"/>
  <c r="HF23" i="4"/>
  <c r="HG23" i="4"/>
  <c r="HH23" i="4"/>
  <c r="HI23" i="4"/>
  <c r="HJ23" i="4"/>
  <c r="HK23" i="4"/>
  <c r="HL23" i="4"/>
  <c r="HM23" i="4"/>
  <c r="HN23" i="4"/>
  <c r="HO23" i="4"/>
  <c r="HP23" i="4"/>
  <c r="HQ23" i="4"/>
  <c r="HR23" i="4"/>
  <c r="HS23" i="4"/>
  <c r="HT23" i="4"/>
  <c r="HU23" i="4"/>
  <c r="HV23" i="4"/>
  <c r="HW23" i="4"/>
  <c r="HX23" i="4"/>
  <c r="HY23" i="4"/>
  <c r="GU24" i="4"/>
  <c r="GV24" i="4"/>
  <c r="GW24" i="4"/>
  <c r="GX24" i="4"/>
  <c r="GY24" i="4"/>
  <c r="GZ24" i="4"/>
  <c r="HA24" i="4"/>
  <c r="HB24" i="4"/>
  <c r="HC24" i="4"/>
  <c r="HD24" i="4"/>
  <c r="HE24" i="4"/>
  <c r="HF24" i="4"/>
  <c r="HG24" i="4"/>
  <c r="HH24" i="4"/>
  <c r="HI24" i="4"/>
  <c r="HJ24" i="4"/>
  <c r="HK24" i="4"/>
  <c r="HL24" i="4"/>
  <c r="HM24" i="4"/>
  <c r="HN24" i="4"/>
  <c r="HO24" i="4"/>
  <c r="HP24" i="4"/>
  <c r="HQ24" i="4"/>
  <c r="HR24" i="4"/>
  <c r="HS24" i="4"/>
  <c r="HT24" i="4"/>
  <c r="HU24" i="4"/>
  <c r="HV24" i="4"/>
  <c r="HW24" i="4"/>
  <c r="HX24" i="4"/>
  <c r="HY24" i="4"/>
  <c r="GU25" i="4"/>
  <c r="GV25" i="4"/>
  <c r="GW25" i="4"/>
  <c r="GX25" i="4"/>
  <c r="GY25" i="4"/>
  <c r="GZ25" i="4"/>
  <c r="HA25" i="4"/>
  <c r="HB25" i="4"/>
  <c r="HC25" i="4"/>
  <c r="HD25" i="4"/>
  <c r="HE25" i="4"/>
  <c r="HF25" i="4"/>
  <c r="HG25" i="4"/>
  <c r="HH25" i="4"/>
  <c r="HI25" i="4"/>
  <c r="HJ25" i="4"/>
  <c r="HK25" i="4"/>
  <c r="HL25" i="4"/>
  <c r="HM25" i="4"/>
  <c r="HN25" i="4"/>
  <c r="HO25" i="4"/>
  <c r="HP25" i="4"/>
  <c r="HQ25" i="4"/>
  <c r="HR25" i="4"/>
  <c r="HS25" i="4"/>
  <c r="HT25" i="4"/>
  <c r="HU25" i="4"/>
  <c r="HV25" i="4"/>
  <c r="HW25" i="4"/>
  <c r="HX25" i="4"/>
  <c r="HY25" i="4"/>
  <c r="GU26" i="4"/>
  <c r="GV26" i="4"/>
  <c r="GW26" i="4"/>
  <c r="GX26" i="4"/>
  <c r="GY26" i="4"/>
  <c r="GZ26" i="4"/>
  <c r="HA26" i="4"/>
  <c r="HB26" i="4"/>
  <c r="HC26" i="4"/>
  <c r="HD26" i="4"/>
  <c r="HE26" i="4"/>
  <c r="HF26" i="4"/>
  <c r="HG26" i="4"/>
  <c r="HH26" i="4"/>
  <c r="HI26" i="4"/>
  <c r="HJ26" i="4"/>
  <c r="HK26" i="4"/>
  <c r="HL26" i="4"/>
  <c r="HM26" i="4"/>
  <c r="HN26" i="4"/>
  <c r="HO26" i="4"/>
  <c r="HP26" i="4"/>
  <c r="HQ26" i="4"/>
  <c r="HR26" i="4"/>
  <c r="HS26" i="4"/>
  <c r="HT26" i="4"/>
  <c r="HU26" i="4"/>
  <c r="HV26" i="4"/>
  <c r="HW26" i="4"/>
  <c r="HX26" i="4"/>
  <c r="HY26" i="4"/>
  <c r="GU27" i="4"/>
  <c r="GV27" i="4"/>
  <c r="GW27" i="4"/>
  <c r="GX27" i="4"/>
  <c r="GY27" i="4"/>
  <c r="GZ27" i="4"/>
  <c r="HA27" i="4"/>
  <c r="HB27" i="4"/>
  <c r="HC27" i="4"/>
  <c r="HD27" i="4"/>
  <c r="HE27" i="4"/>
  <c r="HF27" i="4"/>
  <c r="HG27" i="4"/>
  <c r="HH27" i="4"/>
  <c r="HI27" i="4"/>
  <c r="HJ27" i="4"/>
  <c r="HK27" i="4"/>
  <c r="HL27" i="4"/>
  <c r="HM27" i="4"/>
  <c r="HN27" i="4"/>
  <c r="HO27" i="4"/>
  <c r="HP27" i="4"/>
  <c r="HQ27" i="4"/>
  <c r="HR27" i="4"/>
  <c r="HS27" i="4"/>
  <c r="HT27" i="4"/>
  <c r="HU27" i="4"/>
  <c r="HV27" i="4"/>
  <c r="HW27" i="4"/>
  <c r="HX27" i="4"/>
  <c r="HY27" i="4"/>
  <c r="GU28" i="4"/>
  <c r="GV28" i="4"/>
  <c r="GW28" i="4"/>
  <c r="GX28" i="4"/>
  <c r="GY28" i="4"/>
  <c r="GZ28" i="4"/>
  <c r="HA28" i="4"/>
  <c r="HB28" i="4"/>
  <c r="HC28" i="4"/>
  <c r="HD28" i="4"/>
  <c r="HE28" i="4"/>
  <c r="HF28" i="4"/>
  <c r="HG28" i="4"/>
  <c r="HH28" i="4"/>
  <c r="HI28" i="4"/>
  <c r="HJ28" i="4"/>
  <c r="HK28" i="4"/>
  <c r="HL28" i="4"/>
  <c r="HM28" i="4"/>
  <c r="HN28" i="4"/>
  <c r="HO28" i="4"/>
  <c r="HP28" i="4"/>
  <c r="HQ28" i="4"/>
  <c r="HR28" i="4"/>
  <c r="HS28" i="4"/>
  <c r="HT28" i="4"/>
  <c r="HU28" i="4"/>
  <c r="HV28" i="4"/>
  <c r="HW28" i="4"/>
  <c r="HX28" i="4"/>
  <c r="HY28" i="4"/>
  <c r="GU29" i="4"/>
  <c r="GV29" i="4"/>
  <c r="GW29" i="4"/>
  <c r="GX29" i="4"/>
  <c r="GY29" i="4"/>
  <c r="GZ29" i="4"/>
  <c r="HA29" i="4"/>
  <c r="HB29" i="4"/>
  <c r="HC29" i="4"/>
  <c r="HD29" i="4"/>
  <c r="HE29" i="4"/>
  <c r="HF29" i="4"/>
  <c r="HG29" i="4"/>
  <c r="HH29" i="4"/>
  <c r="HI29" i="4"/>
  <c r="HJ29" i="4"/>
  <c r="HK29" i="4"/>
  <c r="HL29" i="4"/>
  <c r="HM29" i="4"/>
  <c r="HN29" i="4"/>
  <c r="HO29" i="4"/>
  <c r="HP29" i="4"/>
  <c r="HQ29" i="4"/>
  <c r="HR29" i="4"/>
  <c r="HS29" i="4"/>
  <c r="HT29" i="4"/>
  <c r="HU29" i="4"/>
  <c r="HV29" i="4"/>
  <c r="HW29" i="4"/>
  <c r="HX29" i="4"/>
  <c r="HY29" i="4"/>
  <c r="GV8" i="4"/>
  <c r="GW8" i="4"/>
  <c r="GY8" i="4"/>
  <c r="GZ8" i="4"/>
  <c r="HA8" i="4"/>
  <c r="HB8" i="4"/>
  <c r="HC8" i="4"/>
  <c r="HD8" i="4"/>
  <c r="HE8" i="4"/>
  <c r="HF8" i="4"/>
  <c r="HG8" i="4"/>
  <c r="HH8" i="4"/>
  <c r="HI8" i="4"/>
  <c r="HJ8" i="4"/>
  <c r="HK8" i="4"/>
  <c r="HL8" i="4"/>
  <c r="HM8" i="4"/>
  <c r="HN8" i="4"/>
  <c r="HO8" i="4"/>
  <c r="HP8" i="4"/>
  <c r="HQ8" i="4"/>
  <c r="HR8" i="4"/>
  <c r="HS8" i="4"/>
  <c r="HT8" i="4"/>
  <c r="HU8" i="4"/>
  <c r="HV8" i="4"/>
  <c r="HW8" i="4"/>
  <c r="HX8" i="4"/>
  <c r="HY8" i="4"/>
  <c r="GU8" i="4"/>
  <c r="N8" i="4"/>
  <c r="N9" i="4"/>
  <c r="N10" i="4"/>
  <c r="N11" i="4"/>
  <c r="N12" i="4"/>
  <c r="N13" i="4"/>
  <c r="N14" i="4"/>
  <c r="N15" i="4"/>
  <c r="N16" i="4"/>
  <c r="N17" i="4"/>
  <c r="N18" i="4"/>
  <c r="N19" i="4"/>
  <c r="N20" i="4"/>
  <c r="N21" i="4"/>
  <c r="N22" i="4"/>
  <c r="N23" i="4"/>
  <c r="N24" i="4"/>
  <c r="N25" i="4"/>
  <c r="N26" i="4"/>
  <c r="N27" i="4"/>
  <c r="N28" i="4"/>
  <c r="N29" i="4"/>
  <c r="CZ5" i="7"/>
  <c r="CZ6" i="7" s="1"/>
  <c r="CZ7" i="7" s="1"/>
  <c r="CZ8" i="7" s="1"/>
  <c r="CZ9" i="7" s="1"/>
  <c r="CZ10" i="7" s="1"/>
  <c r="CZ11" i="7" s="1"/>
  <c r="CZ12" i="7" s="1"/>
  <c r="CZ13" i="7" s="1"/>
  <c r="CZ14" i="7" s="1"/>
  <c r="CZ15" i="7" s="1"/>
  <c r="CZ16" i="7" s="1"/>
  <c r="CZ17" i="7" s="1"/>
  <c r="CZ18" i="7" s="1"/>
  <c r="CZ19" i="7" s="1"/>
  <c r="CZ20" i="7" s="1"/>
  <c r="CZ21" i="7" s="1"/>
  <c r="CZ22" i="7" s="1"/>
  <c r="CZ23" i="7" s="1"/>
  <c r="CZ24" i="7" s="1"/>
  <c r="CZ25" i="7" s="1"/>
  <c r="CZ26" i="7" s="1"/>
  <c r="CZ27" i="7" s="1"/>
  <c r="CZ28" i="7" s="1"/>
  <c r="CZ29" i="7" s="1"/>
  <c r="CZ30" i="7" s="1"/>
  <c r="CZ31" i="7" s="1"/>
  <c r="CZ32" i="7" s="1"/>
  <c r="CZ33" i="7" s="1"/>
  <c r="CZ34" i="7" s="1"/>
  <c r="G21" i="8"/>
  <c r="G20" i="8"/>
  <c r="G23" i="8"/>
  <c r="G22" i="8"/>
  <c r="GW7" i="4" l="1"/>
  <c r="GV6" i="4"/>
  <c r="DH6" i="4"/>
  <c r="DI7" i="4"/>
  <c r="U7" i="4"/>
  <c r="T6" i="4"/>
  <c r="J48" i="8"/>
  <c r="J49" i="8"/>
  <c r="J50" i="8"/>
  <c r="J51" i="8"/>
  <c r="V45" i="4"/>
  <c r="X45" i="4"/>
  <c r="AK45" i="4"/>
  <c r="AM45" i="4"/>
  <c r="AO45" i="4"/>
  <c r="AV45" i="4"/>
  <c r="Y45" i="4"/>
  <c r="Z45" i="4"/>
  <c r="AA45" i="4"/>
  <c r="AC45" i="4"/>
  <c r="W45" i="4"/>
  <c r="P9" i="4"/>
  <c r="P10" i="4"/>
  <c r="P11" i="4"/>
  <c r="P12" i="4"/>
  <c r="P13" i="4"/>
  <c r="P14" i="4"/>
  <c r="P15" i="4"/>
  <c r="P16" i="4"/>
  <c r="P17" i="4"/>
  <c r="P18" i="4"/>
  <c r="P19" i="4"/>
  <c r="P20" i="4"/>
  <c r="P21" i="4"/>
  <c r="P22" i="4"/>
  <c r="P23" i="4"/>
  <c r="P24" i="4"/>
  <c r="P25" i="4"/>
  <c r="P26" i="4"/>
  <c r="P27" i="4"/>
  <c r="P28" i="4"/>
  <c r="P29" i="4"/>
  <c r="P8" i="4"/>
  <c r="AT45" i="4"/>
  <c r="AS45" i="4"/>
  <c r="AR45" i="4"/>
  <c r="AQ45" i="4"/>
  <c r="AJ45" i="4"/>
  <c r="AH45" i="4"/>
  <c r="AG45" i="4"/>
  <c r="AF45" i="4"/>
  <c r="AE45" i="4"/>
  <c r="U45" i="4"/>
  <c r="T45" i="4"/>
  <c r="S45" i="4"/>
  <c r="DI6" i="4" l="1"/>
  <c r="DJ7" i="4"/>
  <c r="V7" i="4"/>
  <c r="U6" i="4"/>
  <c r="GX7" i="4"/>
  <c r="GW6" i="4"/>
  <c r="AW45" i="4"/>
  <c r="AB45" i="4"/>
  <c r="AN45" i="4"/>
  <c r="AL45" i="4"/>
  <c r="AD45" i="4"/>
  <c r="AI45" i="4"/>
  <c r="AU45" i="4"/>
  <c r="AP45" i="4"/>
  <c r="GX6" i="4" l="1"/>
  <c r="GY7" i="4"/>
  <c r="W7" i="4"/>
  <c r="V6" i="4"/>
  <c r="DJ6" i="4"/>
  <c r="DK7" i="4"/>
  <c r="GU33" i="4"/>
  <c r="DK6" i="4" l="1"/>
  <c r="DL7" i="4"/>
  <c r="X7" i="4"/>
  <c r="W6" i="4"/>
  <c r="GZ7" i="4"/>
  <c r="GY6" i="4"/>
  <c r="AD4" i="7"/>
  <c r="DA4" i="7" s="1"/>
  <c r="CW4" i="7"/>
  <c r="HA7" i="4" l="1"/>
  <c r="GZ6" i="4"/>
  <c r="X6" i="4"/>
  <c r="Y7" i="4"/>
  <c r="Y103" i="7" s="1" a="1"/>
  <c r="Y103" i="7" s="1"/>
  <c r="DM7" i="4"/>
  <c r="DL6" i="4"/>
  <c r="CU13" i="7"/>
  <c r="CU12" i="7"/>
  <c r="CU15" i="7"/>
  <c r="CU14" i="7"/>
  <c r="CU9" i="7"/>
  <c r="CU8" i="7"/>
  <c r="CU11" i="7"/>
  <c r="CU10" i="7"/>
  <c r="CU4" i="7"/>
  <c r="CU5" i="7"/>
  <c r="Y102" i="7" a="1"/>
  <c r="Y102" i="7" s="1"/>
  <c r="Y101" i="7" a="1"/>
  <c r="Y101" i="7" s="1"/>
  <c r="Y100" i="7" a="1"/>
  <c r="Y100" i="7" s="1"/>
  <c r="Y98" i="7" a="1"/>
  <c r="Y98" i="7" s="1"/>
  <c r="Y97" i="7" a="1"/>
  <c r="Y97" i="7" s="1"/>
  <c r="Y99" i="7" a="1"/>
  <c r="Y99" i="7" s="1"/>
  <c r="CU7" i="7"/>
  <c r="CU6" i="7"/>
  <c r="T10" i="7" a="1"/>
  <c r="T10" i="7" s="1"/>
  <c r="CP258" i="7" s="1"/>
  <c r="T15" i="7" a="1"/>
  <c r="T15" i="7" s="1"/>
  <c r="T13" i="7" a="1"/>
  <c r="T13" i="7" s="1"/>
  <c r="T12" i="7" a="1"/>
  <c r="T12" i="7" s="1"/>
  <c r="CP260" i="7" s="1"/>
  <c r="T9" i="7" a="1"/>
  <c r="T9" i="7" s="1"/>
  <c r="T8" i="7" a="1"/>
  <c r="T8" i="7" s="1"/>
  <c r="CP256" i="7" s="1"/>
  <c r="T7" i="7" a="1"/>
  <c r="T7" i="7" s="1"/>
  <c r="T6" i="7" a="1"/>
  <c r="T6" i="7" s="1"/>
  <c r="CP254" i="7" s="1"/>
  <c r="T5" i="7" a="1"/>
  <c r="T5" i="7" s="1"/>
  <c r="T4" i="7" a="1"/>
  <c r="T4" i="7" s="1"/>
  <c r="CP252" i="7" s="1"/>
  <c r="T11" i="7" a="1"/>
  <c r="T11" i="7" s="1"/>
  <c r="T14" i="7" a="1"/>
  <c r="T14" i="7" s="1"/>
  <c r="CP262" i="7" s="1"/>
  <c r="AF4" i="7"/>
  <c r="AJ4" i="7" s="1"/>
  <c r="AF5" i="7"/>
  <c r="AI5" i="7" s="1"/>
  <c r="AF6" i="7"/>
  <c r="AI6" i="7" s="1"/>
  <c r="AF7" i="7"/>
  <c r="AI7" i="7" s="1"/>
  <c r="AF8" i="7"/>
  <c r="AK8" i="7" s="1"/>
  <c r="AF9" i="7"/>
  <c r="AK9" i="7" s="1"/>
  <c r="AF10" i="7"/>
  <c r="AI10" i="7" s="1"/>
  <c r="AF11" i="7"/>
  <c r="AG11" i="7" s="1"/>
  <c r="AF12" i="7"/>
  <c r="AM12" i="7" s="1"/>
  <c r="AF13" i="7"/>
  <c r="AF14" i="7"/>
  <c r="AJ14" i="7" s="1"/>
  <c r="AF15" i="7"/>
  <c r="AF16" i="7"/>
  <c r="AF17" i="7"/>
  <c r="AN17" i="7" s="1"/>
  <c r="AF18" i="7"/>
  <c r="AN18" i="7" s="1"/>
  <c r="AF19" i="7"/>
  <c r="AI19" i="7" s="1"/>
  <c r="AF20" i="7"/>
  <c r="AF21" i="7"/>
  <c r="AK21" i="7" s="1"/>
  <c r="AF22" i="7"/>
  <c r="AI22" i="7" s="1"/>
  <c r="AF23" i="7"/>
  <c r="AH23" i="7" s="1"/>
  <c r="AF24" i="7"/>
  <c r="AJ24" i="7" s="1"/>
  <c r="AF25" i="7"/>
  <c r="AJ25" i="7" s="1"/>
  <c r="AF26" i="7"/>
  <c r="AH26" i="7" s="1"/>
  <c r="AF27" i="7"/>
  <c r="AJ27" i="7" s="1"/>
  <c r="AF28" i="7"/>
  <c r="AF29" i="7"/>
  <c r="AF30" i="7"/>
  <c r="AI30" i="7" s="1"/>
  <c r="AF31" i="7"/>
  <c r="AF32" i="7"/>
  <c r="AS32" i="7" s="1"/>
  <c r="AF33" i="7"/>
  <c r="AF34" i="7"/>
  <c r="AF35" i="7"/>
  <c r="AF36" i="7"/>
  <c r="AF37" i="7"/>
  <c r="T17" i="7" l="1" a="1"/>
  <c r="T17" i="7" s="1"/>
  <c r="CU16" i="7"/>
  <c r="CU17" i="7"/>
  <c r="T16" i="7" a="1"/>
  <c r="T16" i="7" s="1"/>
  <c r="CP264" i="7" s="1"/>
  <c r="DM6" i="4"/>
  <c r="DN7" i="4"/>
  <c r="Y6" i="4"/>
  <c r="Z7" i="4"/>
  <c r="HA6" i="4"/>
  <c r="HB7" i="4"/>
  <c r="CP259" i="7"/>
  <c r="DF10" i="7"/>
  <c r="DF11" i="7"/>
  <c r="CP261" i="7"/>
  <c r="DF12" i="7"/>
  <c r="DF13" i="7"/>
  <c r="CP253" i="7"/>
  <c r="DF4" i="7"/>
  <c r="DF5" i="7"/>
  <c r="CP265" i="7"/>
  <c r="DF16" i="7"/>
  <c r="DF17" i="7"/>
  <c r="CP257" i="7"/>
  <c r="DF9" i="7"/>
  <c r="DF8" i="7"/>
  <c r="CP255" i="7"/>
  <c r="DF6" i="7"/>
  <c r="DF7" i="7"/>
  <c r="CP263" i="7"/>
  <c r="DF14" i="7"/>
  <c r="DF15" i="7"/>
  <c r="AG37" i="7"/>
  <c r="AS37" i="7"/>
  <c r="AQ35" i="7"/>
  <c r="AS35" i="7"/>
  <c r="AQ34" i="7"/>
  <c r="AS34" i="7"/>
  <c r="AI31" i="7"/>
  <c r="AS31" i="7"/>
  <c r="AQ36" i="7"/>
  <c r="AS36" i="7"/>
  <c r="AM33" i="7"/>
  <c r="AS33" i="7"/>
  <c r="AJ12" i="7"/>
  <c r="AQ33" i="7"/>
  <c r="AN30" i="7"/>
  <c r="AN6" i="7"/>
  <c r="AJ30" i="7"/>
  <c r="AJ6" i="7"/>
  <c r="AJ10" i="7"/>
  <c r="AO33" i="7"/>
  <c r="AJ9" i="7"/>
  <c r="AJ34" i="7"/>
  <c r="AH22" i="7"/>
  <c r="AN9" i="7"/>
  <c r="AJ11" i="7"/>
  <c r="AN21" i="7"/>
  <c r="AJ31" i="7"/>
  <c r="AN19" i="7"/>
  <c r="AG34" i="7"/>
  <c r="AM9" i="7"/>
  <c r="AN31" i="7"/>
  <c r="AJ7" i="7"/>
  <c r="AG33" i="7"/>
  <c r="AG9" i="7"/>
  <c r="AN34" i="7"/>
  <c r="AJ8" i="7"/>
  <c r="AJ22" i="7"/>
  <c r="AN11" i="7"/>
  <c r="AJ21" i="7"/>
  <c r="AN10" i="7"/>
  <c r="AJ19" i="7"/>
  <c r="AN7" i="7"/>
  <c r="AK34" i="7"/>
  <c r="AJ33" i="7"/>
  <c r="AN22" i="7"/>
  <c r="AK33" i="7"/>
  <c r="AJ37" i="7"/>
  <c r="AI33" i="7"/>
  <c r="AI9" i="7"/>
  <c r="AN27" i="7"/>
  <c r="AN24" i="7"/>
  <c r="AN23" i="7"/>
  <c r="AM27" i="7"/>
  <c r="AN5" i="7"/>
  <c r="AI11" i="7"/>
  <c r="AQ37" i="7"/>
  <c r="AM11" i="7"/>
  <c r="AH28" i="7"/>
  <c r="AJ28" i="7"/>
  <c r="AI28" i="7"/>
  <c r="AM28" i="7"/>
  <c r="AH15" i="7"/>
  <c r="AM15" i="7"/>
  <c r="AN15" i="7"/>
  <c r="AI15" i="7"/>
  <c r="AH25" i="7"/>
  <c r="AN13" i="7"/>
  <c r="AJ13" i="7"/>
  <c r="AM13" i="7"/>
  <c r="AI14" i="7"/>
  <c r="AG36" i="7"/>
  <c r="AJ36" i="7"/>
  <c r="AN36" i="7"/>
  <c r="AG24" i="7"/>
  <c r="AH24" i="7"/>
  <c r="AG12" i="7"/>
  <c r="AN12" i="7"/>
  <c r="AH16" i="7"/>
  <c r="AI16" i="7"/>
  <c r="AJ16" i="7"/>
  <c r="AM16" i="7"/>
  <c r="AH27" i="7"/>
  <c r="AI27" i="7"/>
  <c r="AI13" i="7"/>
  <c r="AI35" i="7"/>
  <c r="AN35" i="7"/>
  <c r="AG35" i="7"/>
  <c r="AJ35" i="7"/>
  <c r="AG23" i="7"/>
  <c r="AJ23" i="7"/>
  <c r="AN8" i="7"/>
  <c r="AJ15" i="7"/>
  <c r="AI12" i="7"/>
  <c r="AI4" i="7"/>
  <c r="AQ32" i="7"/>
  <c r="AJ32" i="7"/>
  <c r="AN32" i="7"/>
  <c r="AI20" i="7"/>
  <c r="AJ20" i="7"/>
  <c r="AN20" i="7"/>
  <c r="AH4" i="7"/>
  <c r="AN33" i="7"/>
  <c r="AH21" i="7"/>
  <c r="AI18" i="7"/>
  <c r="AJ18" i="7"/>
  <c r="AR33" i="7"/>
  <c r="AH29" i="7"/>
  <c r="AM29" i="7"/>
  <c r="AI29" i="7"/>
  <c r="AH17" i="7"/>
  <c r="AI17" i="7"/>
  <c r="AH5" i="7"/>
  <c r="AM5" i="7"/>
  <c r="AK26" i="7"/>
  <c r="AK23" i="7"/>
  <c r="AI26" i="7"/>
  <c r="AM24" i="7"/>
  <c r="AL37" i="7"/>
  <c r="AK22" i="7"/>
  <c r="AI25" i="7"/>
  <c r="AH14" i="7"/>
  <c r="AP36" i="7"/>
  <c r="AM23" i="7"/>
  <c r="AI24" i="7"/>
  <c r="AH13" i="7"/>
  <c r="AG22" i="7"/>
  <c r="AP35" i="7"/>
  <c r="AN29" i="7"/>
  <c r="AM21" i="7"/>
  <c r="AL35" i="7"/>
  <c r="AK14" i="7"/>
  <c r="AI23" i="7"/>
  <c r="AH36" i="7"/>
  <c r="AH12" i="7"/>
  <c r="AG21" i="7"/>
  <c r="AR37" i="7"/>
  <c r="AP33" i="7"/>
  <c r="AN28" i="7"/>
  <c r="AN16" i="7"/>
  <c r="AM37" i="7"/>
  <c r="AM17" i="7"/>
  <c r="AL34" i="7"/>
  <c r="AK13" i="7"/>
  <c r="AJ29" i="7"/>
  <c r="AJ17" i="7"/>
  <c r="AJ5" i="7"/>
  <c r="AI21" i="7"/>
  <c r="AH35" i="7"/>
  <c r="AH11" i="7"/>
  <c r="AG14" i="7"/>
  <c r="AR36" i="7"/>
  <c r="AO37" i="7"/>
  <c r="AM36" i="7"/>
  <c r="AL33" i="7"/>
  <c r="AK11" i="7"/>
  <c r="AI37" i="7"/>
  <c r="AH34" i="7"/>
  <c r="AH10" i="7"/>
  <c r="AG13" i="7"/>
  <c r="AG25" i="7"/>
  <c r="AO35" i="7"/>
  <c r="AM35" i="7"/>
  <c r="AI36" i="7"/>
  <c r="AM26" i="7"/>
  <c r="AK25" i="7"/>
  <c r="AG26" i="7"/>
  <c r="AM25" i="7"/>
  <c r="AP37" i="7"/>
  <c r="AL36" i="7"/>
  <c r="AH37" i="7"/>
  <c r="AR35" i="7"/>
  <c r="AN26" i="7"/>
  <c r="AN14" i="7"/>
  <c r="AK37" i="7"/>
  <c r="AK10" i="7"/>
  <c r="AH33" i="7"/>
  <c r="AH9" i="7"/>
  <c r="AR34" i="7"/>
  <c r="AO34" i="7"/>
  <c r="AN37" i="7"/>
  <c r="AN25" i="7"/>
  <c r="AM14" i="7"/>
  <c r="AK35" i="7"/>
  <c r="AJ26" i="7"/>
  <c r="AG10" i="7"/>
  <c r="AQ31" i="7"/>
  <c r="AO32" i="7"/>
  <c r="AK32" i="7"/>
  <c r="AK20" i="7"/>
  <c r="AK31" i="7"/>
  <c r="AK19" i="7"/>
  <c r="AK7" i="7"/>
  <c r="AG31" i="7"/>
  <c r="AG19" i="7"/>
  <c r="AG7" i="7"/>
  <c r="AK30" i="7"/>
  <c r="AK18" i="7"/>
  <c r="AK6" i="7"/>
  <c r="AG30" i="7"/>
  <c r="AG18" i="7"/>
  <c r="AG6" i="7"/>
  <c r="AR32" i="7"/>
  <c r="AP34" i="7"/>
  <c r="AL32" i="7"/>
  <c r="AK29" i="7"/>
  <c r="AK17" i="7"/>
  <c r="AK5" i="7"/>
  <c r="AH32" i="7"/>
  <c r="AH20" i="7"/>
  <c r="AH8" i="7"/>
  <c r="AG29" i="7"/>
  <c r="AG17" i="7"/>
  <c r="AG5" i="7"/>
  <c r="AR31" i="7"/>
  <c r="AM34" i="7"/>
  <c r="AM22" i="7"/>
  <c r="AM10" i="7"/>
  <c r="AL31" i="7"/>
  <c r="AK28" i="7"/>
  <c r="AK16" i="7"/>
  <c r="AI34" i="7"/>
  <c r="AH31" i="7"/>
  <c r="AH19" i="7"/>
  <c r="AH7" i="7"/>
  <c r="AG28" i="7"/>
  <c r="AG16" i="7"/>
  <c r="AN4" i="7"/>
  <c r="AP32" i="7"/>
  <c r="AK27" i="7"/>
  <c r="AK15" i="7"/>
  <c r="AH30" i="7"/>
  <c r="AH18" i="7"/>
  <c r="AH6" i="7"/>
  <c r="AG27" i="7"/>
  <c r="AG15" i="7"/>
  <c r="AM4" i="7"/>
  <c r="AG32" i="7"/>
  <c r="AG20" i="7"/>
  <c r="AG8" i="7"/>
  <c r="AO31" i="7"/>
  <c r="AP31" i="7"/>
  <c r="AM32" i="7"/>
  <c r="AM20" i="7"/>
  <c r="AM8" i="7"/>
  <c r="AI32" i="7"/>
  <c r="AI8" i="7"/>
  <c r="AM31" i="7"/>
  <c r="AM19" i="7"/>
  <c r="AM7" i="7"/>
  <c r="AK4" i="7"/>
  <c r="AO36" i="7"/>
  <c r="AM30" i="7"/>
  <c r="AM18" i="7"/>
  <c r="AM6" i="7"/>
  <c r="AK36" i="7"/>
  <c r="AK24" i="7"/>
  <c r="AK12" i="7"/>
  <c r="AG4" i="7"/>
  <c r="K48" i="8"/>
  <c r="L48" i="8"/>
  <c r="N48" i="8"/>
  <c r="O48" i="8"/>
  <c r="P48" i="8" s="1"/>
  <c r="K49" i="8"/>
  <c r="L49" i="8"/>
  <c r="N49" i="8"/>
  <c r="O49" i="8"/>
  <c r="P49" i="8" s="1"/>
  <c r="K50" i="8"/>
  <c r="L50" i="8"/>
  <c r="N50" i="8"/>
  <c r="O50" i="8"/>
  <c r="P50" i="8" s="1"/>
  <c r="K51" i="8"/>
  <c r="L51" i="8"/>
  <c r="N51" i="8"/>
  <c r="O51" i="8"/>
  <c r="P51" i="8" s="1"/>
  <c r="I38" i="8"/>
  <c r="I39" i="8"/>
  <c r="I40" i="8"/>
  <c r="I41" i="8"/>
  <c r="I42" i="8"/>
  <c r="I43" i="8"/>
  <c r="I44" i="8"/>
  <c r="I45" i="8"/>
  <c r="I46" i="8"/>
  <c r="I47" i="8"/>
  <c r="I48" i="8"/>
  <c r="I49" i="8"/>
  <c r="I50" i="8"/>
  <c r="I51" i="8"/>
  <c r="I37" i="8"/>
  <c r="M8" i="4"/>
  <c r="AO4" i="7" s="1"/>
  <c r="M9" i="4"/>
  <c r="AO5" i="7" s="1"/>
  <c r="M10" i="4"/>
  <c r="AO6" i="7" s="1"/>
  <c r="M11" i="4"/>
  <c r="AO7" i="7" s="1"/>
  <c r="M12" i="4"/>
  <c r="AO8" i="7" s="1"/>
  <c r="M13" i="4"/>
  <c r="AO9" i="7" s="1"/>
  <c r="M14" i="4"/>
  <c r="AO10" i="7" s="1"/>
  <c r="M15" i="4"/>
  <c r="AO11" i="7" s="1"/>
  <c r="M16" i="4"/>
  <c r="AO12" i="7" s="1"/>
  <c r="M17" i="4"/>
  <c r="AO13" i="7" s="1"/>
  <c r="M18" i="4"/>
  <c r="AO14" i="7" s="1"/>
  <c r="M19" i="4"/>
  <c r="AO15" i="7" s="1"/>
  <c r="M20" i="4"/>
  <c r="AO16" i="7" s="1"/>
  <c r="M21" i="4"/>
  <c r="AO17" i="7" s="1"/>
  <c r="M22" i="4"/>
  <c r="AO18" i="7" s="1"/>
  <c r="M23" i="4"/>
  <c r="AO19" i="7" s="1"/>
  <c r="M24" i="4"/>
  <c r="AO20" i="7" s="1"/>
  <c r="M25" i="4"/>
  <c r="AO21" i="7" s="1"/>
  <c r="M26" i="4"/>
  <c r="AO22" i="7" s="1"/>
  <c r="M27" i="4"/>
  <c r="AO23" i="7" s="1"/>
  <c r="M28" i="4"/>
  <c r="AO24" i="7" s="1"/>
  <c r="M29" i="4"/>
  <c r="AO25" i="7" s="1"/>
  <c r="AO27" i="7"/>
  <c r="AO28" i="7"/>
  <c r="AO29" i="7"/>
  <c r="AO30" i="7"/>
  <c r="Q9" i="4"/>
  <c r="AS5" i="7" s="1"/>
  <c r="Q10" i="4"/>
  <c r="AS6" i="7" s="1"/>
  <c r="Q11" i="4"/>
  <c r="AS7" i="7" s="1"/>
  <c r="Q12" i="4"/>
  <c r="AS8" i="7" s="1"/>
  <c r="Q13" i="4"/>
  <c r="AS9" i="7" s="1"/>
  <c r="Q14" i="4"/>
  <c r="AS10" i="7" s="1"/>
  <c r="Q15" i="4"/>
  <c r="AS11" i="7" s="1"/>
  <c r="Q16" i="4"/>
  <c r="AS12" i="7" s="1"/>
  <c r="Q17" i="4"/>
  <c r="AS13" i="7" s="1"/>
  <c r="Q18" i="4"/>
  <c r="AS14" i="7" s="1"/>
  <c r="Q19" i="4"/>
  <c r="AS15" i="7" s="1"/>
  <c r="Q20" i="4"/>
  <c r="AS16" i="7" s="1"/>
  <c r="Q21" i="4"/>
  <c r="AS17" i="7" s="1"/>
  <c r="Q22" i="4"/>
  <c r="AS18" i="7" s="1"/>
  <c r="Q23" i="4"/>
  <c r="AS19" i="7" s="1"/>
  <c r="Q24" i="4"/>
  <c r="AS20" i="7" s="1"/>
  <c r="Q25" i="4"/>
  <c r="AS21" i="7" s="1"/>
  <c r="Q26" i="4"/>
  <c r="AS22" i="7" s="1"/>
  <c r="Q27" i="4"/>
  <c r="AS23" i="7" s="1"/>
  <c r="Q28" i="4"/>
  <c r="AS24" i="7" s="1"/>
  <c r="Q29" i="4"/>
  <c r="AS25" i="7" s="1"/>
  <c r="AS26" i="7"/>
  <c r="AS27" i="7"/>
  <c r="AS28" i="7"/>
  <c r="AS29" i="7"/>
  <c r="AS30" i="7"/>
  <c r="Q8" i="4"/>
  <c r="AS4" i="7" s="1"/>
  <c r="O10" i="4"/>
  <c r="AQ6" i="7" s="1"/>
  <c r="O8" i="4"/>
  <c r="AQ4" i="7" s="1"/>
  <c r="O9" i="4"/>
  <c r="AQ5" i="7" s="1"/>
  <c r="O11" i="4"/>
  <c r="AQ7" i="7" s="1"/>
  <c r="O12" i="4"/>
  <c r="AQ8" i="7" s="1"/>
  <c r="O13" i="4"/>
  <c r="AQ9" i="7" s="1"/>
  <c r="O14" i="4"/>
  <c r="AQ10" i="7" s="1"/>
  <c r="O15" i="4"/>
  <c r="AQ11" i="7" s="1"/>
  <c r="O16" i="4"/>
  <c r="AQ12" i="7" s="1"/>
  <c r="O17" i="4"/>
  <c r="AQ13" i="7" s="1"/>
  <c r="O18" i="4"/>
  <c r="AQ14" i="7" s="1"/>
  <c r="O19" i="4"/>
  <c r="AQ15" i="7" s="1"/>
  <c r="O20" i="4"/>
  <c r="AQ16" i="7" s="1"/>
  <c r="O21" i="4"/>
  <c r="AQ17" i="7" s="1"/>
  <c r="O22" i="4"/>
  <c r="AQ18" i="7" s="1"/>
  <c r="O23" i="4"/>
  <c r="AQ19" i="7" s="1"/>
  <c r="O24" i="4"/>
  <c r="AQ20" i="7" s="1"/>
  <c r="O25" i="4"/>
  <c r="AQ21" i="7" s="1"/>
  <c r="O26" i="4"/>
  <c r="AQ22" i="7" s="1"/>
  <c r="O27" i="4"/>
  <c r="AQ23" i="7" s="1"/>
  <c r="O28" i="4"/>
  <c r="AQ24" i="7" s="1"/>
  <c r="O29" i="4"/>
  <c r="AQ25" i="7" s="1"/>
  <c r="AQ27" i="7"/>
  <c r="AQ28" i="7"/>
  <c r="AQ29" i="7"/>
  <c r="AQ30" i="7"/>
  <c r="G19" i="8"/>
  <c r="N42" i="8"/>
  <c r="K41" i="8"/>
  <c r="N39" i="8"/>
  <c r="H8" i="8"/>
  <c r="L42" i="8"/>
  <c r="L38" i="8"/>
  <c r="K43" i="8"/>
  <c r="K37" i="8"/>
  <c r="L37" i="8"/>
  <c r="K39" i="8"/>
  <c r="N47" i="8"/>
  <c r="N45" i="8"/>
  <c r="K46" i="8"/>
  <c r="L40" i="8"/>
  <c r="L44" i="8"/>
  <c r="K42" i="8"/>
  <c r="N38" i="8"/>
  <c r="K40" i="8"/>
  <c r="N37" i="8"/>
  <c r="N41" i="8"/>
  <c r="L47" i="8"/>
  <c r="H7" i="8"/>
  <c r="N43" i="8"/>
  <c r="K38" i="8"/>
  <c r="N40" i="8"/>
  <c r="L45" i="8"/>
  <c r="H9" i="8"/>
  <c r="K45" i="8"/>
  <c r="N44" i="8"/>
  <c r="N46" i="8"/>
  <c r="L46" i="8"/>
  <c r="L41" i="8"/>
  <c r="L43" i="8"/>
  <c r="L39" i="8"/>
  <c r="K47" i="8"/>
  <c r="K44" i="8"/>
  <c r="AO26" i="7" l="1"/>
  <c r="AQ26" i="7"/>
  <c r="HB6" i="4"/>
  <c r="HC7" i="4"/>
  <c r="Z6" i="4"/>
  <c r="AA7" i="4"/>
  <c r="T21" i="7" s="1" a="1"/>
  <c r="T21" i="7" s="1"/>
  <c r="Y104" i="7" a="1"/>
  <c r="Y104" i="7" s="1"/>
  <c r="T18" i="7" a="1"/>
  <c r="T18" i="7" s="1"/>
  <c r="CP266" i="7" s="1"/>
  <c r="CU19" i="7"/>
  <c r="T19" i="7" a="1"/>
  <c r="T19" i="7" s="1"/>
  <c r="CU18" i="7"/>
  <c r="DO7" i="4"/>
  <c r="DN6" i="4"/>
  <c r="AP22" i="7"/>
  <c r="AP27" i="7"/>
  <c r="AP14" i="7"/>
  <c r="AP11" i="7"/>
  <c r="AP10" i="7"/>
  <c r="AP21" i="7"/>
  <c r="AP9" i="7"/>
  <c r="AP20" i="7"/>
  <c r="AP19" i="7"/>
  <c r="AP7" i="7"/>
  <c r="AP30" i="7"/>
  <c r="AP18" i="7"/>
  <c r="AP6" i="7"/>
  <c r="AP29" i="7"/>
  <c r="AP17" i="7"/>
  <c r="AP5" i="7"/>
  <c r="AP28" i="7"/>
  <c r="AP16" i="7"/>
  <c r="AP15" i="7"/>
  <c r="AP26" i="7"/>
  <c r="AP25" i="7"/>
  <c r="AP13" i="7"/>
  <c r="AP23" i="7"/>
  <c r="AP8" i="7"/>
  <c r="AP4" i="7"/>
  <c r="AP24" i="7"/>
  <c r="AP12" i="7"/>
  <c r="M48" i="8"/>
  <c r="M50" i="8"/>
  <c r="M49" i="8"/>
  <c r="M51" i="8"/>
  <c r="M37" i="8"/>
  <c r="J37" i="8" s="1"/>
  <c r="O37" i="8" s="1"/>
  <c r="P37" i="8" s="1"/>
  <c r="M47" i="8"/>
  <c r="M46" i="8"/>
  <c r="M45" i="8"/>
  <c r="M43" i="8"/>
  <c r="M42" i="8"/>
  <c r="M41" i="8"/>
  <c r="M40" i="8"/>
  <c r="M39" i="8"/>
  <c r="J39" i="8" s="1"/>
  <c r="O39" i="8" s="1"/>
  <c r="M44" i="8"/>
  <c r="M38" i="8"/>
  <c r="H10" i="8"/>
  <c r="I8" i="8" s="1"/>
  <c r="Y105" i="7" l="1" a="1"/>
  <c r="Y105" i="7" s="1"/>
  <c r="T20" i="7" a="1"/>
  <c r="T20" i="7" s="1"/>
  <c r="CP268" i="7" s="1"/>
  <c r="CP269" i="7"/>
  <c r="DF21" i="7"/>
  <c r="DF20" i="7"/>
  <c r="AA6" i="4"/>
  <c r="AB7" i="4"/>
  <c r="CU20" i="7"/>
  <c r="CU21" i="7"/>
  <c r="HC6" i="4"/>
  <c r="HD7" i="4"/>
  <c r="DP7" i="4"/>
  <c r="DO6" i="4"/>
  <c r="CP267" i="7"/>
  <c r="DF18" i="7"/>
  <c r="DF19" i="7"/>
  <c r="J44" i="8"/>
  <c r="O44" i="8" s="1"/>
  <c r="P44" i="8" s="1"/>
  <c r="J40" i="8"/>
  <c r="O40" i="8" s="1"/>
  <c r="P40" i="8" s="1"/>
  <c r="J41" i="8"/>
  <c r="O41" i="8" s="1"/>
  <c r="P41" i="8" s="1"/>
  <c r="J42" i="8"/>
  <c r="O42" i="8" s="1"/>
  <c r="P42" i="8" s="1"/>
  <c r="J43" i="8"/>
  <c r="O43" i="8" s="1"/>
  <c r="P43" i="8" s="1"/>
  <c r="J45" i="8"/>
  <c r="O45" i="8" s="1"/>
  <c r="P45" i="8" s="1"/>
  <c r="J46" i="8"/>
  <c r="O46" i="8" s="1"/>
  <c r="P46" i="8" s="1"/>
  <c r="J47" i="8"/>
  <c r="O47" i="8" s="1"/>
  <c r="P47" i="8" s="1"/>
  <c r="J38" i="8"/>
  <c r="O38" i="8" s="1"/>
  <c r="P38" i="8" s="1"/>
  <c r="P39" i="8"/>
  <c r="I7" i="8"/>
  <c r="J7" i="8" s="1"/>
  <c r="DQ7" i="4" l="1"/>
  <c r="DP6" i="4"/>
  <c r="HD6" i="4"/>
  <c r="HE7" i="4"/>
  <c r="AB6" i="4"/>
  <c r="AC7" i="4"/>
  <c r="CU22" i="7"/>
  <c r="CU23" i="7"/>
  <c r="Y106" i="7" a="1"/>
  <c r="Y106" i="7" s="1"/>
  <c r="T22" i="7" a="1"/>
  <c r="T22" i="7" s="1"/>
  <c r="CP270" i="7" s="1"/>
  <c r="T23" i="7" a="1"/>
  <c r="T23" i="7" s="1"/>
  <c r="AU35" i="7"/>
  <c r="AW35" i="7" s="1"/>
  <c r="AU26" i="7"/>
  <c r="AV26" i="7" s="1"/>
  <c r="AU27" i="7"/>
  <c r="AW27" i="7" s="1"/>
  <c r="AU28" i="7"/>
  <c r="AV28" i="7" s="1"/>
  <c r="AU29" i="7"/>
  <c r="AW29" i="7" s="1"/>
  <c r="AU30" i="7"/>
  <c r="AV30" i="7" s="1"/>
  <c r="AU31" i="7"/>
  <c r="AV31" i="7" s="1"/>
  <c r="AU32" i="7"/>
  <c r="AU33" i="7"/>
  <c r="AW33" i="7" s="1"/>
  <c r="AU34" i="7"/>
  <c r="AU12" i="7"/>
  <c r="AV12" i="7" s="1"/>
  <c r="AU13" i="7"/>
  <c r="AU14" i="7"/>
  <c r="AU15" i="7"/>
  <c r="AV15" i="7" s="1"/>
  <c r="AU16" i="7"/>
  <c r="AV16" i="7" s="1"/>
  <c r="AU17" i="7"/>
  <c r="AW17" i="7" s="1"/>
  <c r="AU18" i="7"/>
  <c r="AU19" i="7"/>
  <c r="AV19" i="7" s="1"/>
  <c r="AU20" i="7"/>
  <c r="AV20" i="7" s="1"/>
  <c r="AU21" i="7"/>
  <c r="AV21" i="7" s="1"/>
  <c r="AU22" i="7"/>
  <c r="AW22" i="7" s="1"/>
  <c r="AU23" i="7"/>
  <c r="AV23" i="7" s="1"/>
  <c r="AU24" i="7"/>
  <c r="AU25" i="7"/>
  <c r="AU9" i="7"/>
  <c r="AW9" i="7" s="1"/>
  <c r="AU10" i="7"/>
  <c r="AW10" i="7" s="1"/>
  <c r="AU11" i="7"/>
  <c r="AW11" i="7" s="1"/>
  <c r="T24" i="7" l="1" a="1"/>
  <c r="T24" i="7" s="1"/>
  <c r="CP272" i="7" s="1"/>
  <c r="HF7" i="4"/>
  <c r="HE6" i="4"/>
  <c r="T25" i="7" a="1"/>
  <c r="T25" i="7" s="1"/>
  <c r="DR7" i="4"/>
  <c r="DQ6" i="4"/>
  <c r="AC6" i="4"/>
  <c r="AD7" i="4"/>
  <c r="CU24" i="7"/>
  <c r="CU25" i="7"/>
  <c r="T26" i="7" a="1"/>
  <c r="T26" i="7" s="1"/>
  <c r="CP274" i="7" s="1"/>
  <c r="CP271" i="7"/>
  <c r="DF23" i="7"/>
  <c r="DF22" i="7"/>
  <c r="Y107" i="7" a="1"/>
  <c r="Y107" i="7" s="1"/>
  <c r="AW23" i="7"/>
  <c r="AW16" i="7"/>
  <c r="AW15" i="7"/>
  <c r="AW21" i="7"/>
  <c r="AV27" i="7"/>
  <c r="AV33" i="7"/>
  <c r="AW20" i="7"/>
  <c r="AV35" i="7"/>
  <c r="AV32" i="7"/>
  <c r="AW32" i="7"/>
  <c r="AW14" i="7"/>
  <c r="AV14" i="7"/>
  <c r="AV13" i="7"/>
  <c r="AW13" i="7"/>
  <c r="AV34" i="7"/>
  <c r="AW34" i="7"/>
  <c r="AV25" i="7"/>
  <c r="AW25" i="7"/>
  <c r="AW18" i="7"/>
  <c r="AV18" i="7"/>
  <c r="AW24" i="7"/>
  <c r="AV24" i="7"/>
  <c r="AW19" i="7"/>
  <c r="AW30" i="7"/>
  <c r="AV10" i="7"/>
  <c r="AW12" i="7"/>
  <c r="AV17" i="7"/>
  <c r="AV29" i="7"/>
  <c r="AW28" i="7"/>
  <c r="AV9" i="7"/>
  <c r="AW31" i="7"/>
  <c r="AV22" i="7"/>
  <c r="AW26" i="7"/>
  <c r="AV11" i="7"/>
  <c r="AD6" i="4" l="1"/>
  <c r="AE7" i="4"/>
  <c r="CU27" i="7"/>
  <c r="CU26" i="7"/>
  <c r="Y108" i="7" a="1"/>
  <c r="Y108" i="7" s="1"/>
  <c r="T27" i="7" a="1"/>
  <c r="T27" i="7" s="1"/>
  <c r="DS7" i="4"/>
  <c r="DR6" i="4"/>
  <c r="CP273" i="7"/>
  <c r="DF24" i="7"/>
  <c r="DF25" i="7"/>
  <c r="HF6" i="4"/>
  <c r="HG7" i="4"/>
  <c r="T28" i="7" a="1"/>
  <c r="T28" i="7" s="1"/>
  <c r="CP276" i="7" s="1"/>
  <c r="AW42" i="4"/>
  <c r="AV42" i="4"/>
  <c r="AU42" i="4"/>
  <c r="AT42" i="4"/>
  <c r="AS42" i="4"/>
  <c r="AR42" i="4"/>
  <c r="AQ42" i="4"/>
  <c r="AP42" i="4"/>
  <c r="AO42" i="4"/>
  <c r="AN42" i="4"/>
  <c r="AM42" i="4"/>
  <c r="AL42" i="4"/>
  <c r="AK42" i="4"/>
  <c r="AJ42" i="4"/>
  <c r="AI42" i="4"/>
  <c r="AH42" i="4"/>
  <c r="AG42" i="4"/>
  <c r="AF42" i="4"/>
  <c r="AE42" i="4"/>
  <c r="AD42" i="4"/>
  <c r="AC42" i="4"/>
  <c r="AB42" i="4"/>
  <c r="AA42" i="4"/>
  <c r="Z42" i="4"/>
  <c r="Y42" i="4"/>
  <c r="X42" i="4"/>
  <c r="W42" i="4"/>
  <c r="V42" i="4"/>
  <c r="U42" i="4"/>
  <c r="T42" i="4"/>
  <c r="S42" i="4"/>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T39" i="4"/>
  <c r="S39" i="4"/>
  <c r="T36" i="4"/>
  <c r="U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CP275" i="7" l="1"/>
  <c r="DF26" i="7"/>
  <c r="DF27" i="7"/>
  <c r="HH7" i="4"/>
  <c r="HG6" i="4"/>
  <c r="AF7" i="4"/>
  <c r="AE6" i="4"/>
  <c r="CU28" i="7"/>
  <c r="CU29" i="7"/>
  <c r="T29" i="7" a="1"/>
  <c r="T29" i="7" s="1"/>
  <c r="Y109" i="7" a="1"/>
  <c r="Y109" i="7" s="1"/>
  <c r="DT7" i="4"/>
  <c r="DS6" i="4"/>
  <c r="S36" i="4"/>
  <c r="AW3" i="7"/>
  <c r="AX3" i="7"/>
  <c r="BH3"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4" i="7"/>
  <c r="CP277" i="7" l="1"/>
  <c r="DF28" i="7"/>
  <c r="DF29" i="7"/>
  <c r="AG7" i="4"/>
  <c r="T32" i="7" s="1" a="1"/>
  <c r="T32" i="7" s="1"/>
  <c r="CP280" i="7" s="1"/>
  <c r="AF6" i="4"/>
  <c r="CU30" i="7"/>
  <c r="CU31" i="7"/>
  <c r="T30" i="7" a="1"/>
  <c r="T30" i="7" s="1"/>
  <c r="CP278" i="7" s="1"/>
  <c r="Y110" i="7" a="1"/>
  <c r="Y110" i="7" s="1"/>
  <c r="T31" i="7" a="1"/>
  <c r="T31" i="7" s="1"/>
  <c r="Y111" i="7" a="1"/>
  <c r="Y111" i="7" s="1"/>
  <c r="DU7" i="4"/>
  <c r="DT6" i="4"/>
  <c r="HH6" i="4"/>
  <c r="HI7" i="4"/>
  <c r="BI3" i="7"/>
  <c r="BD24" i="7"/>
  <c r="BB12" i="7"/>
  <c r="BK17" i="7"/>
  <c r="CP31" i="7" a="1"/>
  <c r="CP31" i="7" s="1"/>
  <c r="CP19" i="7" a="1"/>
  <c r="CP19" i="7" s="1"/>
  <c r="CP7" i="7" a="1"/>
  <c r="CP7" i="7" s="1"/>
  <c r="CP4" i="7" a="1"/>
  <c r="CP4" i="7" s="1"/>
  <c r="CP30" i="7" a="1"/>
  <c r="CP30" i="7" s="1"/>
  <c r="CP18" i="7" a="1"/>
  <c r="CP18" i="7" s="1"/>
  <c r="CP6" i="7" a="1"/>
  <c r="CP6" i="7" s="1"/>
  <c r="CP27" i="7" a="1"/>
  <c r="CP27" i="7" s="1"/>
  <c r="CP15" i="7" a="1"/>
  <c r="CP15" i="7" s="1"/>
  <c r="CP24" i="7" a="1"/>
  <c r="CP24" i="7" s="1"/>
  <c r="CP9" i="7" a="1"/>
  <c r="CP9" i="7" s="1"/>
  <c r="CP23" i="7" a="1"/>
  <c r="CP23" i="7" s="1"/>
  <c r="CP8" i="7" a="1"/>
  <c r="CP8" i="7" s="1"/>
  <c r="CP21" i="7" a="1"/>
  <c r="CP21" i="7" s="1"/>
  <c r="CP29" i="7" a="1"/>
  <c r="CP29" i="7" s="1"/>
  <c r="CP28" i="7" a="1"/>
  <c r="CP28" i="7" s="1"/>
  <c r="CP25" i="7" a="1"/>
  <c r="CP25" i="7" s="1"/>
  <c r="CP22" i="7" a="1"/>
  <c r="CP22" i="7" s="1"/>
  <c r="CP5" i="7" a="1"/>
  <c r="CP5" i="7" s="1"/>
  <c r="CP20" i="7" a="1"/>
  <c r="CP20" i="7" s="1"/>
  <c r="CP17" i="7" a="1"/>
  <c r="CP17" i="7" s="1"/>
  <c r="CP16" i="7" a="1"/>
  <c r="CP16" i="7" s="1"/>
  <c r="CP14" i="7" a="1"/>
  <c r="CP14" i="7" s="1"/>
  <c r="CP13" i="7" a="1"/>
  <c r="CP13" i="7" s="1"/>
  <c r="E31" i="7" a="1"/>
  <c r="E31" i="7" s="1"/>
  <c r="CP12" i="7" a="1"/>
  <c r="CP12" i="7" s="1"/>
  <c r="CP26" i="7" a="1"/>
  <c r="CP26" i="7" s="1"/>
  <c r="CP11" i="7" a="1"/>
  <c r="CP11" i="7" s="1"/>
  <c r="CP10" i="7" a="1"/>
  <c r="CP10" i="7" s="1"/>
  <c r="BJ10" i="7"/>
  <c r="BF21" i="7"/>
  <c r="BP18" i="7"/>
  <c r="BC9" i="7"/>
  <c r="BA3" i="7"/>
  <c r="AY3" i="7"/>
  <c r="BJ3" i="7"/>
  <c r="BC3" i="7"/>
  <c r="BB3" i="7"/>
  <c r="BN30" i="7"/>
  <c r="BZ34" i="7"/>
  <c r="BB27" i="7"/>
  <c r="BO23" i="7"/>
  <c r="BV13" i="7"/>
  <c r="BZ31" i="7"/>
  <c r="BO12" i="7"/>
  <c r="BP29" i="7"/>
  <c r="CA22" i="7"/>
  <c r="BT28" i="7"/>
  <c r="BF3" i="7"/>
  <c r="CB32" i="7"/>
  <c r="BD31" i="7"/>
  <c r="BO16" i="7"/>
  <c r="BK13" i="7"/>
  <c r="BC13" i="7"/>
  <c r="AX28" i="7"/>
  <c r="AV3" i="7"/>
  <c r="O10" i="7" a="1"/>
  <c r="O10" i="7" s="1"/>
  <c r="CP134" i="7" s="1"/>
  <c r="O22" i="7" a="1"/>
  <c r="O22" i="7" s="1"/>
  <c r="CP146" i="7" s="1"/>
  <c r="J8" i="7" a="1"/>
  <c r="J8" i="7" s="1"/>
  <c r="CP70" i="7" s="1"/>
  <c r="J20" i="7" a="1"/>
  <c r="J20" i="7" s="1"/>
  <c r="CP82" i="7" s="1"/>
  <c r="E23" i="7" a="1"/>
  <c r="E23" i="7" s="1"/>
  <c r="Y71" i="7" a="1"/>
  <c r="Y71" i="7" s="1"/>
  <c r="Y39" i="7" a="1"/>
  <c r="Y39" i="7" s="1"/>
  <c r="Y37" i="7" a="1"/>
  <c r="Y37" i="7" s="1"/>
  <c r="Y15" i="7" a="1"/>
  <c r="Y15" i="7" s="1"/>
  <c r="E8" i="7" a="1"/>
  <c r="E8" i="7" s="1"/>
  <c r="J23" i="7" a="1"/>
  <c r="J23" i="7" s="1"/>
  <c r="Y76" i="7" a="1"/>
  <c r="Y76" i="7" s="1"/>
  <c r="Y74" i="7" a="1"/>
  <c r="Y74" i="7" s="1"/>
  <c r="O14" i="7" a="1"/>
  <c r="O14" i="7" s="1"/>
  <c r="CP138" i="7" s="1"/>
  <c r="J24" i="7" a="1"/>
  <c r="J24" i="7" s="1"/>
  <c r="CP86" i="7" s="1"/>
  <c r="E27" i="7" a="1"/>
  <c r="E27" i="7" s="1"/>
  <c r="Y43" i="7" a="1"/>
  <c r="Y43" i="7" s="1"/>
  <c r="Y7" i="7" a="1"/>
  <c r="Y7" i="7" s="1"/>
  <c r="E30" i="7" a="1"/>
  <c r="E30" i="7" s="1"/>
  <c r="Y46" i="7" a="1"/>
  <c r="Y46" i="7" s="1"/>
  <c r="O6" i="7" a="1"/>
  <c r="O6" i="7" s="1"/>
  <c r="CP130" i="7" s="1"/>
  <c r="O30" i="7" a="1"/>
  <c r="O30" i="7" s="1"/>
  <c r="CP154" i="7" s="1"/>
  <c r="J16" i="7" a="1"/>
  <c r="J16" i="7" s="1"/>
  <c r="CP78" i="7" s="1"/>
  <c r="Y47" i="7" a="1"/>
  <c r="Y47" i="7" s="1"/>
  <c r="Y11" i="7" a="1"/>
  <c r="Y11" i="7" s="1"/>
  <c r="Y4" i="7" a="1"/>
  <c r="Y4" i="7" s="1"/>
  <c r="O7" i="7" a="1"/>
  <c r="O7" i="7" s="1"/>
  <c r="O31" i="7" a="1"/>
  <c r="O31" i="7" s="1"/>
  <c r="J29" i="7" a="1"/>
  <c r="J29" i="7" s="1"/>
  <c r="E20" i="7" a="1"/>
  <c r="E20" i="7" s="1"/>
  <c r="Y12" i="7" a="1"/>
  <c r="Y12" i="7" s="1"/>
  <c r="E5" i="7" a="1"/>
  <c r="E5" i="7" s="1"/>
  <c r="O8" i="7" a="1"/>
  <c r="O8" i="7" s="1"/>
  <c r="CP132" i="7" s="1"/>
  <c r="J18" i="7" a="1"/>
  <c r="J18" i="7" s="1"/>
  <c r="CP80" i="7" s="1"/>
  <c r="Y13" i="7" a="1"/>
  <c r="Y13" i="7" s="1"/>
  <c r="E7" i="7" a="1"/>
  <c r="E7" i="7" s="1"/>
  <c r="O11" i="7" a="1"/>
  <c r="O11" i="7" s="1"/>
  <c r="O23" i="7" a="1"/>
  <c r="O23" i="7" s="1"/>
  <c r="J9" i="7" a="1"/>
  <c r="J9" i="7" s="1"/>
  <c r="J21" i="7" a="1"/>
  <c r="J21" i="7" s="1"/>
  <c r="E24" i="7" a="1"/>
  <c r="E24" i="7" s="1"/>
  <c r="Y72" i="7" a="1"/>
  <c r="Y72" i="7" s="1"/>
  <c r="Y40" i="7" a="1"/>
  <c r="Y40" i="7" s="1"/>
  <c r="Y35" i="7" a="1"/>
  <c r="Y35" i="7" s="1"/>
  <c r="Y16" i="7" a="1"/>
  <c r="Y16" i="7" s="1"/>
  <c r="E9" i="7" a="1"/>
  <c r="E9" i="7" s="1"/>
  <c r="E10" i="7" a="1"/>
  <c r="E10" i="7" s="1"/>
  <c r="O13" i="7" a="1"/>
  <c r="O13" i="7" s="1"/>
  <c r="O25" i="7" a="1"/>
  <c r="O25" i="7" s="1"/>
  <c r="O9" i="7" a="1"/>
  <c r="O9" i="7" s="1"/>
  <c r="J7" i="7" a="1"/>
  <c r="J7" i="7" s="1"/>
  <c r="E22" i="7" a="1"/>
  <c r="E22" i="7" s="1"/>
  <c r="Y36" i="7" a="1"/>
  <c r="Y36" i="7" s="1"/>
  <c r="O12" i="7" a="1"/>
  <c r="O12" i="7" s="1"/>
  <c r="CP136" i="7" s="1"/>
  <c r="O24" i="7" a="1"/>
  <c r="O24" i="7" s="1"/>
  <c r="CP148" i="7" s="1"/>
  <c r="J10" i="7" a="1"/>
  <c r="J10" i="7" s="1"/>
  <c r="CP72" i="7" s="1"/>
  <c r="J22" i="7" a="1"/>
  <c r="J22" i="7" s="1"/>
  <c r="CP84" i="7" s="1"/>
  <c r="E25" i="7" a="1"/>
  <c r="E25" i="7" s="1"/>
  <c r="Y75" i="7" a="1"/>
  <c r="Y75" i="7" s="1"/>
  <c r="Y73" i="7" a="1"/>
  <c r="Y73" i="7" s="1"/>
  <c r="Y41" i="7" a="1"/>
  <c r="Y41" i="7" s="1"/>
  <c r="Y5" i="7" a="1"/>
  <c r="Y5" i="7" s="1"/>
  <c r="Y17" i="7" a="1"/>
  <c r="Y17" i="7" s="1"/>
  <c r="J11" i="7" a="1"/>
  <c r="J11" i="7" s="1"/>
  <c r="E26" i="7" a="1"/>
  <c r="E26" i="7" s="1"/>
  <c r="Y42" i="7" a="1"/>
  <c r="Y42" i="7" s="1"/>
  <c r="Y6" i="7" a="1"/>
  <c r="Y6" i="7" s="1"/>
  <c r="E11" i="7" a="1"/>
  <c r="E11" i="7" s="1"/>
  <c r="O26" i="7" a="1"/>
  <c r="O26" i="7" s="1"/>
  <c r="CP150" i="7" s="1"/>
  <c r="J12" i="7" a="1"/>
  <c r="J12" i="7" s="1"/>
  <c r="CP74" i="7" s="1"/>
  <c r="Y77" i="7" a="1"/>
  <c r="Y77" i="7" s="1"/>
  <c r="Y67" i="7" a="1"/>
  <c r="Y67" i="7" s="1"/>
  <c r="E12" i="7" a="1"/>
  <c r="E12" i="7" s="1"/>
  <c r="J15" i="7" a="1"/>
  <c r="J15" i="7" s="1"/>
  <c r="J27" i="7" a="1"/>
  <c r="J27" i="7" s="1"/>
  <c r="E18" i="7" a="1"/>
  <c r="E18" i="7" s="1"/>
  <c r="Y80" i="7" a="1"/>
  <c r="Y80" i="7" s="1"/>
  <c r="Y10" i="7" a="1"/>
  <c r="Y10" i="7" s="1"/>
  <c r="E15" i="7" a="1"/>
  <c r="E15" i="7" s="1"/>
  <c r="O18" i="7" a="1"/>
  <c r="O18" i="7" s="1"/>
  <c r="CP142" i="7" s="1"/>
  <c r="J4" i="7" a="1"/>
  <c r="J4" i="7" s="1"/>
  <c r="CP66" i="7" s="1"/>
  <c r="J28" i="7" a="1"/>
  <c r="J28" i="7" s="1"/>
  <c r="CP90" i="7" s="1"/>
  <c r="E19" i="7" a="1"/>
  <c r="E19" i="7" s="1"/>
  <c r="E4" i="7" a="1"/>
  <c r="E4" i="7" s="1"/>
  <c r="O19" i="7" a="1"/>
  <c r="O19" i="7" s="1"/>
  <c r="J17" i="7" a="1"/>
  <c r="J17" i="7" s="1"/>
  <c r="O20" i="7" a="1"/>
  <c r="O20" i="7" s="1"/>
  <c r="CP144" i="7" s="1"/>
  <c r="J30" i="7" a="1"/>
  <c r="J30" i="7" s="1"/>
  <c r="CP92" i="7" s="1"/>
  <c r="E21" i="7" a="1"/>
  <c r="E21" i="7" s="1"/>
  <c r="Y69" i="7" a="1"/>
  <c r="Y69" i="7" s="1"/>
  <c r="E6" i="7" a="1"/>
  <c r="E6" i="7" s="1"/>
  <c r="J31" i="7" a="1"/>
  <c r="J31" i="7" s="1"/>
  <c r="Y38" i="7" a="1"/>
  <c r="Y38" i="7" s="1"/>
  <c r="Y14" i="7" a="1"/>
  <c r="Y14" i="7" s="1"/>
  <c r="O15" i="7" a="1"/>
  <c r="O15" i="7" s="1"/>
  <c r="O27" i="7" a="1"/>
  <c r="O27" i="7" s="1"/>
  <c r="J13" i="7" a="1"/>
  <c r="J13" i="7" s="1"/>
  <c r="J25" i="7" a="1"/>
  <c r="J25" i="7" s="1"/>
  <c r="E16" i="7" a="1"/>
  <c r="E16" i="7" s="1"/>
  <c r="E28" i="7" a="1"/>
  <c r="E28" i="7" s="1"/>
  <c r="Y78" i="7" a="1"/>
  <c r="Y78" i="7" s="1"/>
  <c r="Y68" i="7" a="1"/>
  <c r="Y68" i="7" s="1"/>
  <c r="Y44" i="7" a="1"/>
  <c r="Y44" i="7" s="1"/>
  <c r="Y8" i="7" a="1"/>
  <c r="Y8" i="7" s="1"/>
  <c r="E13" i="7" a="1"/>
  <c r="E13" i="7" s="1"/>
  <c r="O4" i="7" a="1"/>
  <c r="O4" i="7" s="1"/>
  <c r="CP128" i="7" s="1"/>
  <c r="O16" i="7" a="1"/>
  <c r="O16" i="7" s="1"/>
  <c r="CP140" i="7" s="1"/>
  <c r="O28" i="7" a="1"/>
  <c r="O28" i="7" s="1"/>
  <c r="CP152" i="7" s="1"/>
  <c r="J14" i="7" a="1"/>
  <c r="J14" i="7" s="1"/>
  <c r="CP76" i="7" s="1"/>
  <c r="J26" i="7" a="1"/>
  <c r="J26" i="7" s="1"/>
  <c r="CP88" i="7" s="1"/>
  <c r="E17" i="7" a="1"/>
  <c r="E17" i="7" s="1"/>
  <c r="E29" i="7" a="1"/>
  <c r="E29" i="7" s="1"/>
  <c r="Y79" i="7" a="1"/>
  <c r="Y79" i="7" s="1"/>
  <c r="Y66" i="7" a="1"/>
  <c r="Y66" i="7" s="1"/>
  <c r="Y45" i="7" a="1"/>
  <c r="Y45" i="7" s="1"/>
  <c r="Y9" i="7" a="1"/>
  <c r="Y9" i="7" s="1"/>
  <c r="E14" i="7" a="1"/>
  <c r="E14" i="7" s="1"/>
  <c r="O5" i="7" a="1"/>
  <c r="O5" i="7" s="1"/>
  <c r="O17" i="7" a="1"/>
  <c r="O17" i="7" s="1"/>
  <c r="O29" i="7" a="1"/>
  <c r="O29" i="7" s="1"/>
  <c r="J5" i="7" a="1"/>
  <c r="J5" i="7" s="1"/>
  <c r="Y48" i="7" a="1"/>
  <c r="Y48" i="7" s="1"/>
  <c r="J6" i="7" a="1"/>
  <c r="J6" i="7" s="1"/>
  <c r="CP68" i="7" s="1"/>
  <c r="O21" i="7" a="1"/>
  <c r="O21" i="7" s="1"/>
  <c r="J19" i="7" a="1"/>
  <c r="J19" i="7" s="1"/>
  <c r="Y70" i="7" a="1"/>
  <c r="Y70" i="7" s="1"/>
  <c r="BB29" i="7"/>
  <c r="AZ3" i="7"/>
  <c r="BZ35" i="7"/>
  <c r="BC17" i="7"/>
  <c r="BW35" i="7"/>
  <c r="BN34" i="7"/>
  <c r="BB30" i="7"/>
  <c r="BK25" i="7"/>
  <c r="BD23" i="7"/>
  <c r="AY14" i="7"/>
  <c r="BO11" i="7"/>
  <c r="BV35" i="7"/>
  <c r="BB23" i="7"/>
  <c r="AX29" i="7"/>
  <c r="BG3" i="7"/>
  <c r="BG28" i="7"/>
  <c r="BE3" i="7"/>
  <c r="BF16" i="7"/>
  <c r="BD3" i="7"/>
  <c r="BI35" i="7"/>
  <c r="BS32" i="7"/>
  <c r="BJ29" i="7"/>
  <c r="BX27" i="7"/>
  <c r="BY20" i="7"/>
  <c r="BY33" i="7"/>
  <c r="BY14" i="7"/>
  <c r="BM13" i="7"/>
  <c r="BM14" i="7"/>
  <c r="BM19" i="7"/>
  <c r="BM9" i="7"/>
  <c r="BT26" i="7"/>
  <c r="BX33" i="7"/>
  <c r="BX21" i="7"/>
  <c r="AZ34" i="7"/>
  <c r="AZ10" i="7"/>
  <c r="AZ24" i="7"/>
  <c r="AZ17" i="7"/>
  <c r="AZ35" i="7"/>
  <c r="BS28" i="7"/>
  <c r="BS11" i="7"/>
  <c r="BS13" i="7"/>
  <c r="BS25" i="7"/>
  <c r="BS12" i="7"/>
  <c r="BG35" i="7"/>
  <c r="BG15" i="7"/>
  <c r="BG27" i="7"/>
  <c r="BG19" i="7"/>
  <c r="BG9" i="7"/>
  <c r="BG18" i="7"/>
  <c r="BH35" i="7"/>
  <c r="BF32" i="7"/>
  <c r="BT16" i="7"/>
  <c r="BA17" i="7"/>
  <c r="BA19" i="7"/>
  <c r="BA22" i="7"/>
  <c r="BA13" i="7"/>
  <c r="BA34" i="7"/>
  <c r="BA26" i="7"/>
  <c r="BL23" i="7"/>
  <c r="BE34" i="7"/>
  <c r="BY21" i="7"/>
  <c r="BX19" i="7"/>
  <c r="BT18" i="7"/>
  <c r="BT20" i="7"/>
  <c r="BT25" i="7"/>
  <c r="BT14" i="7"/>
  <c r="CA13" i="7"/>
  <c r="BO27" i="7"/>
  <c r="BC24" i="7"/>
  <c r="BC18" i="7"/>
  <c r="BC26" i="7"/>
  <c r="BX10" i="7"/>
  <c r="AZ33" i="7"/>
  <c r="BL28" i="7"/>
  <c r="BM21" i="7"/>
  <c r="BM18" i="7"/>
  <c r="BY25" i="7"/>
  <c r="BY15" i="7"/>
  <c r="BF28" i="7"/>
  <c r="BF27" i="7"/>
  <c r="BF14" i="7"/>
  <c r="BF9" i="7"/>
  <c r="BF31" i="7"/>
  <c r="BF34" i="7"/>
  <c r="BE25" i="7"/>
  <c r="BE28" i="7"/>
  <c r="BE24" i="7"/>
  <c r="BT32" i="7"/>
  <c r="BH21" i="7"/>
  <c r="BH18" i="7"/>
  <c r="BH31" i="7"/>
  <c r="BH32" i="7"/>
  <c r="BH24" i="7"/>
  <c r="BR20" i="7"/>
  <c r="BR17" i="7"/>
  <c r="BR23" i="7"/>
  <c r="BR11" i="7"/>
  <c r="BR31" i="7"/>
  <c r="BA14" i="7"/>
  <c r="BA32" i="7"/>
  <c r="BA35" i="7"/>
  <c r="BQ23" i="7"/>
  <c r="BQ35" i="7"/>
  <c r="BQ21" i="7"/>
  <c r="BQ11" i="7"/>
  <c r="BQ25" i="7"/>
  <c r="BL32" i="7"/>
  <c r="BL13" i="7"/>
  <c r="AZ16" i="7"/>
  <c r="AZ19" i="7"/>
  <c r="BR35" i="7"/>
  <c r="BK29" i="7"/>
  <c r="BK14" i="7"/>
  <c r="AY30" i="7"/>
  <c r="BF30" i="7"/>
  <c r="BF22" i="7"/>
  <c r="BD32" i="7"/>
  <c r="BU23" i="7"/>
  <c r="BK20" i="7"/>
  <c r="BV31" i="7"/>
  <c r="BJ31" i="7"/>
  <c r="BJ25" i="7"/>
  <c r="CB30" i="7"/>
  <c r="CB18" i="7"/>
  <c r="CB24" i="7"/>
  <c r="BQ17" i="7"/>
  <c r="BE22" i="7"/>
  <c r="BE20" i="7"/>
  <c r="BE32" i="7"/>
  <c r="BN35" i="7"/>
  <c r="BB34" i="7"/>
  <c r="BO30" i="7"/>
  <c r="AX30" i="7"/>
  <c r="BW18" i="7"/>
  <c r="BB18" i="7"/>
  <c r="AX35" i="7"/>
  <c r="BU15" i="7"/>
  <c r="BI16" i="7"/>
  <c r="BI31" i="7"/>
  <c r="CB28" i="7"/>
  <c r="BP20" i="7"/>
  <c r="BP32" i="7"/>
  <c r="BP27" i="7"/>
  <c r="BD34" i="7"/>
  <c r="BD33" i="7"/>
  <c r="AX12" i="7"/>
  <c r="BC11" i="7"/>
  <c r="AY21" i="7"/>
  <c r="BI20" i="7"/>
  <c r="BV18" i="7"/>
  <c r="BV33" i="7"/>
  <c r="BS33" i="7"/>
  <c r="BS27" i="7"/>
  <c r="BS16" i="7"/>
  <c r="BG24" i="7"/>
  <c r="BZ33" i="7"/>
  <c r="BZ17" i="7"/>
  <c r="BN22" i="7"/>
  <c r="BN19" i="7"/>
  <c r="BB15" i="7"/>
  <c r="CA34" i="7"/>
  <c r="AY33" i="7"/>
  <c r="BK30" i="7"/>
  <c r="BZ29" i="7"/>
  <c r="BG29" i="7"/>
  <c r="BG16" i="7"/>
  <c r="BP16" i="7"/>
  <c r="BW12" i="7"/>
  <c r="BW24" i="7"/>
  <c r="BW23" i="7"/>
  <c r="CA32" i="7"/>
  <c r="CA17" i="7"/>
  <c r="BV34" i="7"/>
  <c r="BG34" i="7"/>
  <c r="BG31" i="7"/>
  <c r="BG26" i="7"/>
  <c r="AX23" i="7"/>
  <c r="AX26" i="7"/>
  <c r="AX31" i="7"/>
  <c r="BD30" i="7"/>
  <c r="BK31" i="7"/>
  <c r="BK21" i="7"/>
  <c r="BU35" i="7"/>
  <c r="BW30" i="7"/>
  <c r="AY28" i="7"/>
  <c r="BO10" i="7"/>
  <c r="BO17" i="7"/>
  <c r="BC25" i="7"/>
  <c r="BC22" i="7"/>
  <c r="BC15" i="7"/>
  <c r="BC23" i="7"/>
  <c r="BB21" i="7"/>
  <c r="BB17" i="7"/>
  <c r="BU11" i="7"/>
  <c r="BI21" i="7"/>
  <c r="BI11" i="7"/>
  <c r="BO28" i="7"/>
  <c r="BU17" i="7"/>
  <c r="BG30" i="7"/>
  <c r="AY26" i="7"/>
  <c r="BC20" i="7"/>
  <c r="CA12" i="7"/>
  <c r="BL26" i="7"/>
  <c r="AY32" i="7"/>
  <c r="BG22" i="7"/>
  <c r="AY16" i="7"/>
  <c r="AZ25" i="7"/>
  <c r="BZ21" i="7"/>
  <c r="BC32" i="7"/>
  <c r="BC34" i="7"/>
  <c r="BX32" i="7"/>
  <c r="BK22" i="7"/>
  <c r="AY34" i="7"/>
  <c r="AY23" i="7"/>
  <c r="BL21" i="7"/>
  <c r="BV23" i="7"/>
  <c r="AX13" i="7"/>
  <c r="BT12" i="7"/>
  <c r="BS31" i="7"/>
  <c r="CP32" i="7" l="1" a="1"/>
  <c r="CP32" i="7" s="1"/>
  <c r="T33" i="7" a="1"/>
  <c r="T33" i="7" s="1"/>
  <c r="CP281" i="7" s="1"/>
  <c r="O33" i="7" a="1"/>
  <c r="O33" i="7" s="1"/>
  <c r="DE33" i="7" s="1"/>
  <c r="E33" i="7" a="1"/>
  <c r="E33" i="7" s="1"/>
  <c r="CP33" i="7" a="1"/>
  <c r="CP33" i="7" s="1"/>
  <c r="Y18" i="7" a="1"/>
  <c r="Y18" i="7" s="1"/>
  <c r="Y49" i="7" a="1"/>
  <c r="Y49" i="7" s="1"/>
  <c r="O32" i="7" a="1"/>
  <c r="O32" i="7" s="1"/>
  <c r="CP156" i="7" s="1"/>
  <c r="J33" i="7" a="1"/>
  <c r="J33" i="7" s="1"/>
  <c r="DD32" i="7" s="1"/>
  <c r="J32" i="7" a="1"/>
  <c r="J32" i="7" s="1"/>
  <c r="CP94" i="7" s="1"/>
  <c r="E32" i="7" a="1"/>
  <c r="E32" i="7" s="1"/>
  <c r="DF33" i="7"/>
  <c r="DU6" i="4"/>
  <c r="DV7" i="4"/>
  <c r="AH7" i="4"/>
  <c r="Y112" i="7" s="1" a="1"/>
  <c r="Y112" i="7" s="1"/>
  <c r="AG6" i="4"/>
  <c r="CU32" i="7"/>
  <c r="CU33" i="7"/>
  <c r="HJ7" i="4"/>
  <c r="HI6" i="4"/>
  <c r="DF31" i="7"/>
  <c r="DF30" i="7"/>
  <c r="CP279" i="7"/>
  <c r="CP149" i="7"/>
  <c r="DE25" i="7"/>
  <c r="DE24" i="7"/>
  <c r="CP143" i="7"/>
  <c r="DE18" i="7"/>
  <c r="DE19" i="7"/>
  <c r="CP151" i="7"/>
  <c r="DE26" i="7"/>
  <c r="DE27" i="7"/>
  <c r="CP131" i="7"/>
  <c r="DE6" i="7"/>
  <c r="DE7" i="7"/>
  <c r="DE32" i="7"/>
  <c r="CP135" i="7"/>
  <c r="DE10" i="7"/>
  <c r="DE11" i="7"/>
  <c r="CP145" i="7"/>
  <c r="DE20" i="7"/>
  <c r="DE21" i="7"/>
  <c r="CP153" i="7"/>
  <c r="DE28" i="7"/>
  <c r="DE29" i="7"/>
  <c r="CP141" i="7"/>
  <c r="DE16" i="7"/>
  <c r="DE17" i="7"/>
  <c r="CP139" i="7"/>
  <c r="DE14" i="7"/>
  <c r="DE15" i="7"/>
  <c r="CP133" i="7"/>
  <c r="DE8" i="7"/>
  <c r="DE9" i="7"/>
  <c r="CP147" i="7"/>
  <c r="DE22" i="7"/>
  <c r="DE23" i="7"/>
  <c r="CP137" i="7"/>
  <c r="DE13" i="7"/>
  <c r="DE12" i="7"/>
  <c r="CP129" i="7"/>
  <c r="DE5" i="7"/>
  <c r="DE4" i="7"/>
  <c r="CP155" i="7"/>
  <c r="DE30" i="7"/>
  <c r="DE31" i="7"/>
  <c r="DC32" i="7"/>
  <c r="DC33" i="7"/>
  <c r="DC25" i="7"/>
  <c r="DC24" i="7"/>
  <c r="DC11" i="7"/>
  <c r="DC10" i="7"/>
  <c r="DC19" i="7"/>
  <c r="DC18" i="7"/>
  <c r="DC7" i="7"/>
  <c r="DC6" i="7"/>
  <c r="CP67" i="7"/>
  <c r="DD4" i="7"/>
  <c r="DD5" i="7"/>
  <c r="DC14" i="7"/>
  <c r="DC15" i="7"/>
  <c r="CP89" i="7"/>
  <c r="DD27" i="7"/>
  <c r="DD26" i="7"/>
  <c r="DC27" i="7"/>
  <c r="DC26" i="7"/>
  <c r="CP75" i="7"/>
  <c r="DD12" i="7"/>
  <c r="DD13" i="7"/>
  <c r="CP73" i="7"/>
  <c r="DD11" i="7"/>
  <c r="DD10" i="7"/>
  <c r="DC8" i="7"/>
  <c r="DC9" i="7"/>
  <c r="CP91" i="7"/>
  <c r="DD29" i="7"/>
  <c r="DD28" i="7"/>
  <c r="CP79" i="7"/>
  <c r="DD16" i="7"/>
  <c r="DD17" i="7"/>
  <c r="DC21" i="7"/>
  <c r="DC20" i="7"/>
  <c r="CP77" i="7"/>
  <c r="DD14" i="7"/>
  <c r="DD15" i="7"/>
  <c r="CP83" i="7"/>
  <c r="DD20" i="7"/>
  <c r="DD21" i="7"/>
  <c r="DC30" i="7"/>
  <c r="DC31" i="7"/>
  <c r="DC12" i="7"/>
  <c r="DC13" i="7"/>
  <c r="CP69" i="7"/>
  <c r="DD6" i="7"/>
  <c r="DD7" i="7"/>
  <c r="DC23" i="7"/>
  <c r="DC22" i="7"/>
  <c r="CP93" i="7"/>
  <c r="DD30" i="7"/>
  <c r="DD31" i="7"/>
  <c r="CP87" i="7"/>
  <c r="DD24" i="7"/>
  <c r="DD25" i="7"/>
  <c r="DC5" i="7"/>
  <c r="DC4" i="7"/>
  <c r="CP81" i="7"/>
  <c r="DD18" i="7"/>
  <c r="DD19" i="7"/>
  <c r="DC29" i="7"/>
  <c r="DC28" i="7"/>
  <c r="DC17" i="7"/>
  <c r="DC16" i="7"/>
  <c r="CP71" i="7"/>
  <c r="DD8" i="7"/>
  <c r="DD9" i="7"/>
  <c r="CP85" i="7"/>
  <c r="DD23" i="7"/>
  <c r="DD22" i="7"/>
  <c r="BA9" i="7"/>
  <c r="BG11" i="7"/>
  <c r="BK12" i="7"/>
  <c r="BJ12" i="7"/>
  <c r="BN9" i="7"/>
  <c r="CB9" i="7"/>
  <c r="BJ21" i="7"/>
  <c r="BV26" i="7"/>
  <c r="BU13" i="7"/>
  <c r="BY31" i="7"/>
  <c r="BL34" i="7"/>
  <c r="AZ14" i="7"/>
  <c r="BO19" i="7"/>
  <c r="BR12" i="7"/>
  <c r="BK24" i="7"/>
  <c r="BQ32" i="7"/>
  <c r="BR30" i="7"/>
  <c r="BT35" i="7"/>
  <c r="BL20" i="7"/>
  <c r="BM28" i="7"/>
  <c r="BD10" i="7"/>
  <c r="CW31" i="7"/>
  <c r="BJ35" i="7"/>
  <c r="BQ13" i="7"/>
  <c r="BS24" i="7"/>
  <c r="BF25" i="7"/>
  <c r="BY24" i="7"/>
  <c r="BN13" i="7"/>
  <c r="BN18" i="7"/>
  <c r="BS10" i="7"/>
  <c r="CB29" i="7"/>
  <c r="BF35" i="7"/>
  <c r="BS22" i="7"/>
  <c r="CA28" i="7"/>
  <c r="BM23" i="7"/>
  <c r="BN32" i="7"/>
  <c r="BL14" i="7"/>
  <c r="BT15" i="7"/>
  <c r="BT30" i="7"/>
  <c r="BW34" i="7"/>
  <c r="BN12" i="7"/>
  <c r="BR28" i="7"/>
  <c r="CB22" i="7"/>
  <c r="BR29" i="7"/>
  <c r="BR27" i="7"/>
  <c r="BQ26" i="7"/>
  <c r="BL31" i="7"/>
  <c r="BX28" i="7"/>
  <c r="BX26" i="7"/>
  <c r="CA31" i="7"/>
  <c r="CA29" i="7"/>
  <c r="BL19" i="7"/>
  <c r="BT19" i="7"/>
  <c r="BN21" i="7"/>
  <c r="BP33" i="7"/>
  <c r="BO25" i="7"/>
  <c r="BW32" i="7"/>
  <c r="BN20" i="7"/>
  <c r="BZ26" i="7"/>
  <c r="BP30" i="7"/>
  <c r="BQ22" i="7"/>
  <c r="BU34" i="7"/>
  <c r="BW22" i="7"/>
  <c r="BX24" i="7"/>
  <c r="BO26" i="7"/>
  <c r="CA15" i="7"/>
  <c r="BT17" i="7"/>
  <c r="BT33" i="7"/>
  <c r="BU21" i="7"/>
  <c r="BZ18" i="7"/>
  <c r="BP23" i="7"/>
  <c r="BP22" i="7"/>
  <c r="CB25" i="7"/>
  <c r="BQ24" i="7"/>
  <c r="BS35" i="7"/>
  <c r="BT24" i="7"/>
  <c r="BY17" i="7"/>
  <c r="BX14" i="7"/>
  <c r="BM11" i="7"/>
  <c r="BO14" i="7"/>
  <c r="BO32" i="7"/>
  <c r="BS26" i="7"/>
  <c r="BU25" i="7"/>
  <c r="BV27" i="7"/>
  <c r="BW11" i="7"/>
  <c r="BN15" i="7"/>
  <c r="BX34" i="7"/>
  <c r="BS14" i="7"/>
  <c r="CW7" i="7"/>
  <c r="CW5" i="7"/>
  <c r="BK33" i="7"/>
  <c r="AX19" i="7"/>
  <c r="AY22" i="7"/>
  <c r="BZ32" i="7"/>
  <c r="BD22" i="7"/>
  <c r="BY29" i="7"/>
  <c r="BK15" i="7"/>
  <c r="BZ13" i="7"/>
  <c r="BE16" i="7"/>
  <c r="BM31" i="7"/>
  <c r="BO18" i="7"/>
  <c r="BN10" i="7"/>
  <c r="BD12" i="7"/>
  <c r="BR32" i="7"/>
  <c r="BQ10" i="7"/>
  <c r="BV30" i="7"/>
  <c r="BH33" i="7"/>
  <c r="BD17" i="7"/>
  <c r="BP10" i="7"/>
  <c r="BA27" i="7"/>
  <c r="BR15" i="7"/>
  <c r="BW16" i="7"/>
  <c r="AY29" i="7"/>
  <c r="BW26" i="7"/>
  <c r="BH25" i="7"/>
  <c r="CB20" i="7"/>
  <c r="BN28" i="7"/>
  <c r="BG33" i="7"/>
  <c r="AY13" i="7"/>
  <c r="BU19" i="7"/>
  <c r="BW29" i="7"/>
  <c r="BL24" i="7"/>
  <c r="BB32" i="7"/>
  <c r="BN16" i="7"/>
  <c r="AX24" i="7"/>
  <c r="BK26" i="7"/>
  <c r="CW29" i="7"/>
  <c r="BW31" i="7"/>
  <c r="BP19" i="7"/>
  <c r="BZ22" i="7"/>
  <c r="BB14" i="7"/>
  <c r="BZ23" i="7"/>
  <c r="BG21" i="7"/>
  <c r="AX15" i="7"/>
  <c r="BD20" i="7"/>
  <c r="BP15" i="7"/>
  <c r="BP13" i="7"/>
  <c r="AY17" i="7"/>
  <c r="BW21" i="7"/>
  <c r="AY35" i="7"/>
  <c r="BE21" i="7"/>
  <c r="BQ14" i="7"/>
  <c r="BV17" i="7"/>
  <c r="BW27" i="7"/>
  <c r="BF13" i="7"/>
  <c r="BF18" i="7"/>
  <c r="BY32" i="7"/>
  <c r="AY25" i="7"/>
  <c r="CB21" i="7"/>
  <c r="BI26" i="7"/>
  <c r="AX14" i="7"/>
  <c r="BJ18" i="7"/>
  <c r="BV15" i="7"/>
  <c r="BV16" i="7"/>
  <c r="BF33" i="7"/>
  <c r="BK27" i="7"/>
  <c r="BJ11" i="7"/>
  <c r="BB31" i="7"/>
  <c r="BP11" i="7"/>
  <c r="BZ20" i="7"/>
  <c r="BO34" i="7"/>
  <c r="BT27" i="7"/>
  <c r="CW25" i="7"/>
  <c r="BM15" i="7"/>
  <c r="BY13" i="7"/>
  <c r="CA27" i="7"/>
  <c r="BS20" i="7"/>
  <c r="BP25" i="7"/>
  <c r="BP34" i="7"/>
  <c r="BL9" i="7"/>
  <c r="AX25" i="7"/>
  <c r="BV21" i="7"/>
  <c r="BK34" i="7"/>
  <c r="AY20" i="7"/>
  <c r="BD16" i="7"/>
  <c r="BW15" i="7"/>
  <c r="BM34" i="7"/>
  <c r="CW27" i="7"/>
  <c r="CW9" i="7"/>
  <c r="BH9" i="7"/>
  <c r="BY19" i="7"/>
  <c r="CW11" i="7"/>
  <c r="CB10" i="7"/>
  <c r="BD9" i="7"/>
  <c r="CW15" i="7"/>
  <c r="CW13" i="7"/>
  <c r="CW23" i="7"/>
  <c r="BZ11" i="7"/>
  <c r="BK9" i="7"/>
  <c r="CW21" i="7"/>
  <c r="BT9" i="7"/>
  <c r="CW17" i="7"/>
  <c r="CW65" i="7"/>
  <c r="CW19" i="7"/>
  <c r="AX27" i="7"/>
  <c r="BE17" i="7"/>
  <c r="BF29" i="7"/>
  <c r="AX21" i="7"/>
  <c r="BY10" i="7"/>
  <c r="BS19" i="7"/>
  <c r="BH26" i="7"/>
  <c r="BM24" i="7"/>
  <c r="CA19" i="7"/>
  <c r="BJ13" i="7"/>
  <c r="BU22" i="7"/>
  <c r="BM25" i="7"/>
  <c r="BJ15" i="7"/>
  <c r="BS23" i="7"/>
  <c r="BS18" i="7"/>
  <c r="BQ33" i="7"/>
  <c r="BM17" i="7"/>
  <c r="BJ23" i="7"/>
  <c r="BV22" i="7"/>
  <c r="BZ24" i="7"/>
  <c r="AY11" i="7"/>
  <c r="BO24" i="7"/>
  <c r="BU14" i="7"/>
  <c r="BJ24" i="7"/>
  <c r="BT23" i="7"/>
  <c r="AZ20" i="7"/>
  <c r="BW20" i="7"/>
  <c r="AZ22" i="7"/>
  <c r="BK16" i="7"/>
  <c r="CB27" i="7"/>
  <c r="BR33" i="7"/>
  <c r="BV24" i="7"/>
  <c r="CA20" i="7"/>
  <c r="BD28" i="7"/>
  <c r="BZ14" i="7"/>
  <c r="BK18" i="7"/>
  <c r="BM35" i="7"/>
  <c r="BT22" i="7"/>
  <c r="BL25" i="7"/>
  <c r="BS15" i="7"/>
  <c r="AY31" i="7"/>
  <c r="BK10" i="7"/>
  <c r="BH34" i="7"/>
  <c r="CB12" i="7"/>
  <c r="BG13" i="7"/>
  <c r="BJ26" i="7"/>
  <c r="BC31" i="7"/>
  <c r="CA18" i="7"/>
  <c r="BB20" i="7"/>
  <c r="BZ27" i="7"/>
  <c r="BH23" i="7"/>
  <c r="BT10" i="7"/>
  <c r="BJ19" i="7"/>
  <c r="BV19" i="7"/>
  <c r="BE10" i="7"/>
  <c r="BL16" i="7"/>
  <c r="BT34" i="7"/>
  <c r="AY27" i="7"/>
  <c r="BW17" i="7"/>
  <c r="BC19" i="7"/>
  <c r="BO31" i="7"/>
  <c r="BD25" i="7"/>
  <c r="BI19" i="7"/>
  <c r="BI32" i="7"/>
  <c r="BX12" i="7"/>
  <c r="BB26" i="7"/>
  <c r="BF19" i="7"/>
  <c r="BM33" i="7"/>
  <c r="BG14" i="7"/>
  <c r="BG32" i="7"/>
  <c r="BC27" i="7"/>
  <c r="BN23" i="7"/>
  <c r="BI14" i="7"/>
  <c r="BW10" i="7"/>
  <c r="BK19" i="7"/>
  <c r="BN26" i="7"/>
  <c r="BY26" i="7"/>
  <c r="BU26" i="7"/>
  <c r="BB22" i="7"/>
  <c r="BB11" i="7"/>
  <c r="BY27" i="7"/>
  <c r="BL15" i="7"/>
  <c r="BS29" i="7"/>
  <c r="CB31" i="7"/>
  <c r="BH30" i="7"/>
  <c r="BA18" i="7"/>
  <c r="BV10" i="7"/>
  <c r="BW14" i="7"/>
  <c r="BD19" i="7"/>
  <c r="CB13" i="7"/>
  <c r="BH19" i="7"/>
  <c r="BH16" i="7"/>
  <c r="BL33" i="7"/>
  <c r="BP17" i="7"/>
  <c r="BH27" i="7"/>
  <c r="AZ11" i="7"/>
  <c r="BA10" i="7"/>
  <c r="BK28" i="7"/>
  <c r="BF17" i="7"/>
  <c r="BA31" i="7"/>
  <c r="BC35" i="7"/>
  <c r="AX16" i="7"/>
  <c r="AX17" i="7"/>
  <c r="BV14" i="7"/>
  <c r="BQ16" i="7"/>
  <c r="BN17" i="7"/>
  <c r="CA26" i="7"/>
  <c r="AZ28" i="7"/>
  <c r="BG12" i="7"/>
  <c r="BT13" i="7"/>
  <c r="BL22" i="7"/>
  <c r="BK11" i="7"/>
  <c r="BW25" i="7"/>
  <c r="BF26" i="7"/>
  <c r="AZ21" i="7"/>
  <c r="BC29" i="7"/>
  <c r="BO35" i="7"/>
  <c r="BM20" i="7"/>
  <c r="BX35" i="7"/>
  <c r="BA21" i="7"/>
  <c r="BA16" i="7"/>
  <c r="BB25" i="7"/>
  <c r="BF20" i="7"/>
  <c r="BZ30" i="7"/>
  <c r="BG23" i="7"/>
  <c r="BK23" i="7"/>
  <c r="BZ15" i="7"/>
  <c r="BI18" i="7"/>
  <c r="BM30" i="7"/>
  <c r="BV28" i="7"/>
  <c r="BH14" i="7"/>
  <c r="CA30" i="7"/>
  <c r="BI30" i="7"/>
  <c r="BM16" i="7"/>
  <c r="BY28" i="7"/>
  <c r="BO33" i="7"/>
  <c r="BH15" i="7"/>
  <c r="AX33" i="7"/>
  <c r="AX10" i="7"/>
  <c r="BV12" i="7"/>
  <c r="BT11" i="7"/>
  <c r="AY10" i="7"/>
  <c r="BW13" i="7"/>
  <c r="BC10" i="7"/>
  <c r="BO20" i="7"/>
  <c r="CA24" i="7"/>
  <c r="BJ33" i="7"/>
  <c r="BF10" i="7"/>
  <c r="BR22" i="7"/>
  <c r="BI24" i="7"/>
  <c r="BY12" i="7"/>
  <c r="BE23" i="7"/>
  <c r="BF15" i="7"/>
  <c r="BZ19" i="7"/>
  <c r="AX18" i="7"/>
  <c r="BA12" i="7"/>
  <c r="BY30" i="7"/>
  <c r="BA33" i="7"/>
  <c r="BH13" i="7"/>
  <c r="BW33" i="7"/>
  <c r="BJ34" i="7"/>
  <c r="CA23" i="7"/>
  <c r="BX30" i="7"/>
  <c r="BO15" i="7"/>
  <c r="BO13" i="7"/>
  <c r="CA21" i="7"/>
  <c r="BD35" i="7"/>
  <c r="BP28" i="7"/>
  <c r="BP14" i="7"/>
  <c r="BI22" i="7"/>
  <c r="BQ12" i="7"/>
  <c r="BM29" i="7"/>
  <c r="BI29" i="7"/>
  <c r="BE33" i="7"/>
  <c r="BX29" i="7"/>
  <c r="BJ28" i="7"/>
  <c r="BL10" i="7"/>
  <c r="BX22" i="7"/>
  <c r="BC12" i="7"/>
  <c r="BP24" i="7"/>
  <c r="CB15" i="7"/>
  <c r="BR10" i="7"/>
  <c r="BL29" i="7"/>
  <c r="BI23" i="7"/>
  <c r="BN25" i="7"/>
  <c r="AZ32" i="7"/>
  <c r="BE30" i="7"/>
  <c r="BU24" i="7"/>
  <c r="BW28" i="7"/>
  <c r="BU29" i="7"/>
  <c r="BJ27" i="7"/>
  <c r="BI15" i="7"/>
  <c r="BN29" i="7"/>
  <c r="BQ28" i="7"/>
  <c r="BU30" i="7"/>
  <c r="BB13" i="7"/>
  <c r="BR18" i="7"/>
  <c r="BM22" i="7"/>
  <c r="BE14" i="7"/>
  <c r="BH29" i="7"/>
  <c r="AX34" i="7"/>
  <c r="BJ17" i="7"/>
  <c r="BL11" i="7"/>
  <c r="BT29" i="7"/>
  <c r="BX16" i="7"/>
  <c r="BP12" i="7"/>
  <c r="BM26" i="7"/>
  <c r="BE13" i="7"/>
  <c r="BH20" i="7"/>
  <c r="BH11" i="7"/>
  <c r="BJ30" i="7"/>
  <c r="BJ22" i="7"/>
  <c r="BL27" i="7"/>
  <c r="BS34" i="7"/>
  <c r="CA11" i="7"/>
  <c r="AZ18" i="7"/>
  <c r="BX11" i="7"/>
  <c r="BP31" i="7"/>
  <c r="BQ20" i="7"/>
  <c r="BR25" i="7"/>
  <c r="BE9" i="7"/>
  <c r="BF23" i="7"/>
  <c r="BU10" i="7"/>
  <c r="BG25" i="7"/>
  <c r="BC16" i="7"/>
  <c r="BS30" i="7"/>
  <c r="BJ16" i="7"/>
  <c r="BV32" i="7"/>
  <c r="CA25" i="7"/>
  <c r="BC30" i="7"/>
  <c r="CB19" i="7"/>
  <c r="BB33" i="7"/>
  <c r="BI9" i="7"/>
  <c r="BY18" i="7"/>
  <c r="BB24" i="7"/>
  <c r="BE35" i="7"/>
  <c r="BE12" i="7"/>
  <c r="BF24" i="7"/>
  <c r="BN31" i="7"/>
  <c r="BA23" i="7"/>
  <c r="BX13" i="7"/>
  <c r="BO22" i="7"/>
  <c r="BK32" i="7"/>
  <c r="BL17" i="7"/>
  <c r="BX25" i="7"/>
  <c r="CA10" i="7"/>
  <c r="CB17" i="7"/>
  <c r="BY34" i="7"/>
  <c r="BQ27" i="7"/>
  <c r="BA29" i="7"/>
  <c r="BY35" i="7"/>
  <c r="BE29" i="7"/>
  <c r="BF12" i="7"/>
  <c r="BM32" i="7"/>
  <c r="BK35" i="7"/>
  <c r="BA11" i="7"/>
  <c r="BZ28" i="7"/>
  <c r="BL35" i="7"/>
  <c r="AX11" i="7"/>
  <c r="BJ14" i="7"/>
  <c r="BC28" i="7"/>
  <c r="BO29" i="7"/>
  <c r="BD11" i="7"/>
  <c r="BD26" i="7"/>
  <c r="CB11" i="7"/>
  <c r="BN11" i="7"/>
  <c r="BQ34" i="7"/>
  <c r="BM10" i="7"/>
  <c r="BA15" i="7"/>
  <c r="BB19" i="7"/>
  <c r="BU16" i="7"/>
  <c r="BU28" i="7"/>
  <c r="BN33" i="7"/>
  <c r="BZ12" i="7"/>
  <c r="BM27" i="7"/>
  <c r="BN27" i="7"/>
  <c r="BZ16" i="7"/>
  <c r="BV20" i="7"/>
  <c r="AY18" i="7"/>
  <c r="BS21" i="7"/>
  <c r="BT21" i="7"/>
  <c r="BD27" i="7"/>
  <c r="BD14" i="7"/>
  <c r="BP35" i="7"/>
  <c r="CB23" i="7"/>
  <c r="AZ12" i="7"/>
  <c r="BQ30" i="7"/>
  <c r="BQ29" i="7"/>
  <c r="BB10" i="7"/>
  <c r="BU33" i="7"/>
  <c r="BI33" i="7"/>
  <c r="BY16" i="7"/>
  <c r="BA30" i="7"/>
  <c r="BE27" i="7"/>
  <c r="BE15" i="7"/>
  <c r="BZ25" i="7"/>
  <c r="BU32" i="7"/>
  <c r="BU27" i="7"/>
  <c r="BN14" i="7"/>
  <c r="BX23" i="7"/>
  <c r="BW19" i="7"/>
  <c r="BX18" i="7"/>
  <c r="BQ15" i="7"/>
  <c r="BE19" i="7"/>
  <c r="BH17" i="7"/>
  <c r="AX22" i="7"/>
  <c r="BJ32" i="7"/>
  <c r="BV25" i="7"/>
  <c r="CA14" i="7"/>
  <c r="BE18" i="7"/>
  <c r="BP26" i="7"/>
  <c r="BR21" i="7"/>
  <c r="BR24" i="7"/>
  <c r="BI34" i="7"/>
  <c r="BI25" i="7"/>
  <c r="BA24" i="7"/>
  <c r="CA16" i="7"/>
  <c r="BX20" i="7"/>
  <c r="BE26" i="7"/>
  <c r="AX32" i="7"/>
  <c r="BV11" i="7"/>
  <c r="CB35" i="7"/>
  <c r="BR14" i="7"/>
  <c r="BX17" i="7"/>
  <c r="BI17" i="7"/>
  <c r="BS17" i="7"/>
  <c r="BH28" i="7"/>
  <c r="AX20" i="7"/>
  <c r="BJ20" i="7"/>
  <c r="CB33" i="7"/>
  <c r="BQ31" i="7"/>
  <c r="BI13" i="7"/>
  <c r="CB16" i="7"/>
  <c r="BY23" i="7"/>
  <c r="BT31" i="7"/>
  <c r="BL30" i="7"/>
  <c r="CA35" i="7"/>
  <c r="BQ18" i="7"/>
  <c r="BU18" i="7"/>
  <c r="BY11" i="7"/>
  <c r="CA33" i="7"/>
  <c r="BL18" i="7"/>
  <c r="AZ31" i="7"/>
  <c r="BD13" i="7"/>
  <c r="CB26" i="7"/>
  <c r="BQ19" i="7"/>
  <c r="BI10" i="7"/>
  <c r="BU31" i="7"/>
  <c r="BJ9" i="7"/>
  <c r="BG17" i="7"/>
  <c r="BV29" i="7"/>
  <c r="BD15" i="7"/>
  <c r="BR19" i="7"/>
  <c r="BR13" i="7"/>
  <c r="BX15" i="7"/>
  <c r="BO21" i="7"/>
  <c r="BP21" i="7"/>
  <c r="BR26" i="7"/>
  <c r="BG10" i="7"/>
  <c r="AZ15" i="7"/>
  <c r="BR16" i="7"/>
  <c r="BI28" i="7"/>
  <c r="BI27" i="7"/>
  <c r="BA20" i="7"/>
  <c r="BB28" i="7"/>
  <c r="BH22" i="7"/>
  <c r="AZ27" i="7"/>
  <c r="BX31" i="7"/>
  <c r="CB34" i="7"/>
  <c r="BY22" i="7"/>
  <c r="BB16" i="7"/>
  <c r="BH10" i="7"/>
  <c r="BZ10" i="7"/>
  <c r="BN24" i="7"/>
  <c r="BG20" i="7"/>
  <c r="BC33" i="7"/>
  <c r="BD29" i="7"/>
  <c r="BD18" i="7"/>
  <c r="CB14" i="7"/>
  <c r="BR34" i="7"/>
  <c r="BU20" i="7"/>
  <c r="BU12" i="7"/>
  <c r="CP157" i="7" l="1"/>
  <c r="DF32" i="7"/>
  <c r="CP95" i="7"/>
  <c r="DD33" i="7"/>
  <c r="AI7" i="4"/>
  <c r="Y20" i="7" s="1" a="1"/>
  <c r="Y20" i="7" s="1"/>
  <c r="AH6" i="4"/>
  <c r="CU34" i="7"/>
  <c r="CU35" i="7"/>
  <c r="BK3" i="7"/>
  <c r="E36" i="7" a="1"/>
  <c r="E36" i="7" s="1"/>
  <c r="J36" i="7" a="1"/>
  <c r="J36" i="7" s="1"/>
  <c r="CP98" i="7" s="1"/>
  <c r="CP34" i="7" a="1"/>
  <c r="CP34" i="7" s="1"/>
  <c r="CP35" i="7" a="1"/>
  <c r="CP35" i="7" s="1"/>
  <c r="Y50" i="7" a="1"/>
  <c r="Y50" i="7" s="1"/>
  <c r="Y82" i="7" a="1"/>
  <c r="Y82" i="7" s="1"/>
  <c r="E35" i="7" a="1"/>
  <c r="E35" i="7" s="1"/>
  <c r="DC34" i="7" s="1"/>
  <c r="O34" i="7" a="1"/>
  <c r="O34" i="7" s="1"/>
  <c r="CP158" i="7" s="1"/>
  <c r="J35" i="7" a="1"/>
  <c r="J35" i="7" s="1"/>
  <c r="T34" i="7" a="1"/>
  <c r="T34" i="7" s="1"/>
  <c r="CP282" i="7" s="1"/>
  <c r="O35" i="7" a="1"/>
  <c r="O35" i="7" s="1"/>
  <c r="Y19" i="7" a="1"/>
  <c r="Y19" i="7" s="1"/>
  <c r="CP36" i="7" a="1"/>
  <c r="CP36" i="7" s="1"/>
  <c r="E34" i="7" a="1"/>
  <c r="E34" i="7" s="1"/>
  <c r="Y81" i="7" a="1"/>
  <c r="Y81" i="7" s="1"/>
  <c r="J34" i="7" a="1"/>
  <c r="J34" i="7" s="1"/>
  <c r="CP96" i="7" s="1"/>
  <c r="HK7" i="4"/>
  <c r="HJ6" i="4"/>
  <c r="DV6" i="4"/>
  <c r="DW7" i="4"/>
  <c r="CW58" i="7"/>
  <c r="HV33" i="4"/>
  <c r="CW62" i="7"/>
  <c r="HX33" i="4"/>
  <c r="CW64" i="7"/>
  <c r="HY33" i="4"/>
  <c r="CW60" i="7"/>
  <c r="HW33" i="4"/>
  <c r="CW48" i="7"/>
  <c r="HQ33" i="4"/>
  <c r="CW56" i="7"/>
  <c r="HU33" i="4"/>
  <c r="CW46" i="7"/>
  <c r="HP33" i="4"/>
  <c r="CW50" i="7"/>
  <c r="HR33" i="4"/>
  <c r="CW44" i="7"/>
  <c r="HO33" i="4"/>
  <c r="CW52" i="7"/>
  <c r="HS33" i="4"/>
  <c r="CW54" i="7"/>
  <c r="HT33" i="4"/>
  <c r="CW22" i="7"/>
  <c r="HD33" i="4"/>
  <c r="CW32" i="7"/>
  <c r="HI33" i="4"/>
  <c r="CW20" i="7"/>
  <c r="HC33" i="4"/>
  <c r="CW24" i="7"/>
  <c r="HE33" i="4"/>
  <c r="CW36" i="7"/>
  <c r="HK33" i="4"/>
  <c r="CW30" i="7"/>
  <c r="HH33" i="4"/>
  <c r="CW40" i="7"/>
  <c r="HM33" i="4"/>
  <c r="CW26" i="7"/>
  <c r="HF33" i="4"/>
  <c r="CW18" i="7"/>
  <c r="HB33" i="4"/>
  <c r="CW42" i="7"/>
  <c r="HN33" i="4"/>
  <c r="CW34" i="7"/>
  <c r="HJ33" i="4"/>
  <c r="CW28" i="7"/>
  <c r="HG33" i="4"/>
  <c r="CW38" i="7"/>
  <c r="HL33" i="4"/>
  <c r="CW10" i="7"/>
  <c r="GX33" i="4"/>
  <c r="CW6" i="7"/>
  <c r="GV33" i="4"/>
  <c r="CW16" i="7"/>
  <c r="HA33" i="4"/>
  <c r="CW14" i="7"/>
  <c r="GZ33" i="4"/>
  <c r="CW8" i="7"/>
  <c r="GW33" i="4"/>
  <c r="CW12" i="7"/>
  <c r="GY33" i="4"/>
  <c r="AD56" i="7"/>
  <c r="CP242" i="7" s="1"/>
  <c r="CW47" i="7"/>
  <c r="AD53" i="7"/>
  <c r="CP239" i="7" s="1"/>
  <c r="CW41" i="7"/>
  <c r="AD52" i="7"/>
  <c r="CP238" i="7" s="1"/>
  <c r="CW39" i="7"/>
  <c r="AD62" i="7"/>
  <c r="CP248" i="7" s="1"/>
  <c r="CW59" i="7"/>
  <c r="AD58" i="7"/>
  <c r="CP244" i="7" s="1"/>
  <c r="CW51" i="7"/>
  <c r="AD57" i="7"/>
  <c r="CP243" i="7" s="1"/>
  <c r="CW49" i="7"/>
  <c r="AD59" i="7"/>
  <c r="CP245" i="7" s="1"/>
  <c r="CW53" i="7"/>
  <c r="AD49" i="7"/>
  <c r="CP235" i="7" s="1"/>
  <c r="CW33" i="7"/>
  <c r="AD54" i="7"/>
  <c r="CP240" i="7" s="1"/>
  <c r="CW43" i="7"/>
  <c r="AD64" i="7"/>
  <c r="DB33" i="7" s="1"/>
  <c r="CW63" i="7"/>
  <c r="AD60" i="7"/>
  <c r="CP246" i="7" s="1"/>
  <c r="CW55" i="7"/>
  <c r="AD55" i="7"/>
  <c r="CP241" i="7" s="1"/>
  <c r="CW45" i="7"/>
  <c r="AD50" i="7"/>
  <c r="DB19" i="7" s="1"/>
  <c r="CW35" i="7"/>
  <c r="AD51" i="7"/>
  <c r="CP237" i="7" s="1"/>
  <c r="CW37" i="7"/>
  <c r="AD63" i="7"/>
  <c r="CP249" i="7" s="1"/>
  <c r="CW61" i="7"/>
  <c r="AD61" i="7"/>
  <c r="DB30" i="7" s="1"/>
  <c r="CW57" i="7"/>
  <c r="BB9" i="7"/>
  <c r="AX9" i="7"/>
  <c r="AY9" i="7"/>
  <c r="AZ9" i="7"/>
  <c r="BD21" i="7"/>
  <c r="BC21" i="7"/>
  <c r="BF11" i="7"/>
  <c r="BE11" i="7"/>
  <c r="BL12" i="7"/>
  <c r="BM12" i="7"/>
  <c r="BI12" i="7"/>
  <c r="BH12" i="7"/>
  <c r="BO9" i="7"/>
  <c r="BY9" i="7"/>
  <c r="BX9" i="7"/>
  <c r="BV9" i="7"/>
  <c r="BU9" i="7"/>
  <c r="BP9" i="7"/>
  <c r="BQ9" i="7"/>
  <c r="BZ9" i="7"/>
  <c r="BR9" i="7"/>
  <c r="BW9" i="7"/>
  <c r="BS9" i="7"/>
  <c r="CA9" i="7"/>
  <c r="BW4" i="7"/>
  <c r="AD31" i="7"/>
  <c r="BZ4" i="7"/>
  <c r="AD34" i="7"/>
  <c r="AD5" i="7"/>
  <c r="AW4" i="7"/>
  <c r="AY4" i="7"/>
  <c r="AD7" i="7"/>
  <c r="AD13" i="7"/>
  <c r="BE4" i="7"/>
  <c r="BQ4" i="7"/>
  <c r="AD25" i="7"/>
  <c r="BA4" i="7"/>
  <c r="AD9" i="7"/>
  <c r="AX4" i="7"/>
  <c r="AD6" i="7"/>
  <c r="BL4" i="7"/>
  <c r="AD20" i="7"/>
  <c r="BR4" i="7"/>
  <c r="AD26" i="7"/>
  <c r="BT4" i="7"/>
  <c r="AD28" i="7"/>
  <c r="BO4" i="7"/>
  <c r="AD23" i="7"/>
  <c r="BX4" i="7"/>
  <c r="AD32" i="7"/>
  <c r="BS4" i="7"/>
  <c r="AD27" i="7"/>
  <c r="BM4" i="7"/>
  <c r="AD21" i="7"/>
  <c r="BV4" i="7"/>
  <c r="AD30" i="7"/>
  <c r="BC4" i="7"/>
  <c r="AD11" i="7"/>
  <c r="BY4" i="7"/>
  <c r="AD33" i="7"/>
  <c r="AD17" i="7"/>
  <c r="BI4" i="7"/>
  <c r="AD10" i="7"/>
  <c r="BB4" i="7"/>
  <c r="BP4" i="7"/>
  <c r="AD24" i="7"/>
  <c r="BN4" i="7"/>
  <c r="AD22" i="7"/>
  <c r="AD14" i="7"/>
  <c r="BF4" i="7"/>
  <c r="AD12" i="7"/>
  <c r="BD4" i="7"/>
  <c r="BH4" i="7"/>
  <c r="AD16" i="7"/>
  <c r="BK4" i="7"/>
  <c r="AD19" i="7"/>
  <c r="AD15" i="7"/>
  <c r="BG4" i="7"/>
  <c r="BJ4" i="7"/>
  <c r="AD18" i="7"/>
  <c r="BU4" i="7"/>
  <c r="AD29" i="7"/>
  <c r="AD8" i="7"/>
  <c r="AZ4" i="7"/>
  <c r="AV4" i="7"/>
  <c r="CP190" i="7"/>
  <c r="AV5" i="7"/>
  <c r="AD35" i="7"/>
  <c r="BZ5" i="7"/>
  <c r="AD65" i="7"/>
  <c r="BU5" i="7"/>
  <c r="BE5" i="7"/>
  <c r="AD44" i="7"/>
  <c r="BR5" i="7"/>
  <c r="BD5" i="7"/>
  <c r="AD43" i="7"/>
  <c r="BA5" i="7"/>
  <c r="AD40" i="7"/>
  <c r="AX5" i="7"/>
  <c r="AD37" i="7"/>
  <c r="BV5" i="7"/>
  <c r="BP5" i="7"/>
  <c r="BG5" i="7"/>
  <c r="AD46" i="7"/>
  <c r="BT5" i="7"/>
  <c r="BM5" i="7"/>
  <c r="BH5" i="7"/>
  <c r="AD47" i="7"/>
  <c r="BS5" i="7"/>
  <c r="BQ5" i="7"/>
  <c r="AW5" i="7"/>
  <c r="AD36" i="7"/>
  <c r="BI5" i="7"/>
  <c r="AD48" i="7"/>
  <c r="BB5" i="7"/>
  <c r="AD41" i="7"/>
  <c r="BO5" i="7"/>
  <c r="BF5" i="7"/>
  <c r="AD45" i="7"/>
  <c r="AY5" i="7"/>
  <c r="AD38" i="7"/>
  <c r="BK5" i="7"/>
  <c r="BX5" i="7"/>
  <c r="AZ5" i="7"/>
  <c r="AD39" i="7"/>
  <c r="BC5" i="7"/>
  <c r="AD42" i="7"/>
  <c r="BL5" i="7"/>
  <c r="BY5" i="7"/>
  <c r="BW5" i="7"/>
  <c r="BN5" i="7"/>
  <c r="BJ5" i="7"/>
  <c r="AR23" i="7"/>
  <c r="BA28" i="7"/>
  <c r="AR26" i="7"/>
  <c r="BE31" i="7"/>
  <c r="AR18" i="7"/>
  <c r="AZ23" i="7"/>
  <c r="AR14" i="7"/>
  <c r="AY19" i="7"/>
  <c r="AR30" i="7"/>
  <c r="BB35" i="7"/>
  <c r="AR8" i="7"/>
  <c r="AZ13" i="7"/>
  <c r="AR25" i="7"/>
  <c r="AZ30" i="7"/>
  <c r="AR20" i="7"/>
  <c r="BA25" i="7"/>
  <c r="AR7" i="7"/>
  <c r="AY12" i="7"/>
  <c r="AR21" i="7"/>
  <c r="AZ26" i="7"/>
  <c r="AR19" i="7"/>
  <c r="AY24" i="7"/>
  <c r="AR9" i="7"/>
  <c r="BC14" i="7"/>
  <c r="AR10" i="7"/>
  <c r="AY15" i="7"/>
  <c r="AR24" i="7"/>
  <c r="AZ29" i="7"/>
  <c r="AR22" i="7"/>
  <c r="AR6" i="7"/>
  <c r="AR12" i="7"/>
  <c r="AR16" i="7"/>
  <c r="AR29" i="7"/>
  <c r="AR11" i="7"/>
  <c r="AR15" i="7"/>
  <c r="AR13" i="7"/>
  <c r="AR4" i="7"/>
  <c r="AR28" i="7"/>
  <c r="AR17" i="7"/>
  <c r="AR27" i="7"/>
  <c r="AR5" i="7"/>
  <c r="E37" i="7" l="1" a="1"/>
  <c r="E37" i="7" s="1"/>
  <c r="CP37" i="7" a="1"/>
  <c r="CP37" i="7" s="1"/>
  <c r="Y51" i="7" a="1"/>
  <c r="Y51" i="7" s="1"/>
  <c r="J37" i="7" a="1"/>
  <c r="J37" i="7" s="1"/>
  <c r="CP99" i="7" s="1"/>
  <c r="DD34" i="7"/>
  <c r="CP97" i="7"/>
  <c r="HL7" i="4"/>
  <c r="HK6" i="4"/>
  <c r="CP159" i="7"/>
  <c r="DE34" i="7"/>
  <c r="DW6" i="4"/>
  <c r="DX7" i="4"/>
  <c r="AJ7" i="4"/>
  <c r="AI6" i="4"/>
  <c r="CU36" i="7"/>
  <c r="CU37" i="7"/>
  <c r="BL3" i="7"/>
  <c r="DB23" i="7"/>
  <c r="DB25" i="7"/>
  <c r="CP236" i="7"/>
  <c r="DB28" i="7"/>
  <c r="DB32" i="7"/>
  <c r="DB18" i="7"/>
  <c r="DB20" i="7"/>
  <c r="CP247" i="7"/>
  <c r="DB31" i="7"/>
  <c r="DB21" i="7"/>
  <c r="DB22" i="7"/>
  <c r="DB27" i="7"/>
  <c r="DB29" i="7"/>
  <c r="CP250" i="7"/>
  <c r="DB26" i="7"/>
  <c r="DB24" i="7"/>
  <c r="CP233" i="7"/>
  <c r="DB16" i="7"/>
  <c r="CP219" i="7"/>
  <c r="DA33" i="7"/>
  <c r="CP209" i="7"/>
  <c r="DA23" i="7"/>
  <c r="CP211" i="7"/>
  <c r="DA25" i="7"/>
  <c r="CP231" i="7"/>
  <c r="DB14" i="7"/>
  <c r="CP194" i="7"/>
  <c r="DA8" i="7"/>
  <c r="CP198" i="7"/>
  <c r="DA12" i="7"/>
  <c r="CP203" i="7"/>
  <c r="DA17" i="7"/>
  <c r="CP222" i="7"/>
  <c r="DB5" i="7"/>
  <c r="CP196" i="7"/>
  <c r="DA10" i="7"/>
  <c r="CP226" i="7"/>
  <c r="DB9" i="7"/>
  <c r="CP202" i="7"/>
  <c r="DA16" i="7"/>
  <c r="CP218" i="7"/>
  <c r="DA32" i="7"/>
  <c r="CP217" i="7"/>
  <c r="DA31" i="7"/>
  <c r="CP215" i="7"/>
  <c r="DA29" i="7"/>
  <c r="CP197" i="7"/>
  <c r="DA11" i="7"/>
  <c r="CP214" i="7"/>
  <c r="DA28" i="7"/>
  <c r="CP223" i="7"/>
  <c r="DB6" i="7"/>
  <c r="CP221" i="7"/>
  <c r="DB4" i="7"/>
  <c r="CP205" i="7"/>
  <c r="DA19" i="7"/>
  <c r="CP213" i="7"/>
  <c r="DA27" i="7"/>
  <c r="CP192" i="7"/>
  <c r="DA6" i="7"/>
  <c r="CP220" i="7"/>
  <c r="DA34" i="7"/>
  <c r="CP195" i="7"/>
  <c r="DA9" i="7"/>
  <c r="CP224" i="7"/>
  <c r="DB7" i="7"/>
  <c r="CP229" i="7"/>
  <c r="DB12" i="7"/>
  <c r="CP230" i="7"/>
  <c r="DB13" i="7"/>
  <c r="CP200" i="7"/>
  <c r="DA14" i="7"/>
  <c r="CP199" i="7"/>
  <c r="DA13" i="7"/>
  <c r="CP227" i="7"/>
  <c r="DB10" i="7"/>
  <c r="CP232" i="7"/>
  <c r="DB15" i="7"/>
  <c r="CP204" i="7"/>
  <c r="DA18" i="7"/>
  <c r="CP208" i="7"/>
  <c r="DA22" i="7"/>
  <c r="CP216" i="7"/>
  <c r="DA30" i="7"/>
  <c r="CP212" i="7"/>
  <c r="DA26" i="7"/>
  <c r="CP193" i="7"/>
  <c r="DA7" i="7"/>
  <c r="CP228" i="7"/>
  <c r="DB11" i="7"/>
  <c r="CP234" i="7"/>
  <c r="DB17" i="7"/>
  <c r="CP251" i="7"/>
  <c r="DB34" i="7"/>
  <c r="CP210" i="7"/>
  <c r="DA24" i="7"/>
  <c r="CP207" i="7"/>
  <c r="DA21" i="7"/>
  <c r="CP206" i="7"/>
  <c r="DA20" i="7"/>
  <c r="CP225" i="7"/>
  <c r="DB8" i="7"/>
  <c r="CP201" i="7"/>
  <c r="DA15" i="7"/>
  <c r="CP191" i="7"/>
  <c r="DA5" i="7"/>
  <c r="DY7" i="4" l="1"/>
  <c r="DX6" i="4"/>
  <c r="HM7" i="4"/>
  <c r="HL6" i="4"/>
  <c r="AK7" i="4"/>
  <c r="Y53" i="7" s="1" a="1"/>
  <c r="Y53" i="7" s="1"/>
  <c r="AJ6" i="4"/>
  <c r="CU38" i="7"/>
  <c r="CU39" i="7"/>
  <c r="BM3" i="7"/>
  <c r="J41" i="7" a="1"/>
  <c r="J41" i="7" s="1"/>
  <c r="CP103" i="7" s="1"/>
  <c r="Y52" i="7" a="1"/>
  <c r="Y52" i="7" s="1"/>
  <c r="E40" i="7" a="1"/>
  <c r="E40" i="7" s="1"/>
  <c r="E39" i="7" a="1"/>
  <c r="E39" i="7" s="1"/>
  <c r="Y83" i="7" a="1"/>
  <c r="Y83" i="7" s="1"/>
  <c r="Y21" i="7" a="1"/>
  <c r="Y21" i="7" s="1"/>
  <c r="E38" i="7" a="1"/>
  <c r="E38" i="7" s="1"/>
  <c r="CP39" i="7" a="1"/>
  <c r="CP39" i="7" s="1"/>
  <c r="E41" i="7" a="1"/>
  <c r="E41" i="7" s="1"/>
  <c r="J38" i="7" a="1"/>
  <c r="J38" i="7" s="1"/>
  <c r="CP100" i="7" s="1"/>
  <c r="CP38" i="7" a="1"/>
  <c r="CP38" i="7" s="1"/>
  <c r="J39" i="7" a="1"/>
  <c r="J39" i="7" s="1"/>
  <c r="CP101" i="7" s="1"/>
  <c r="CP40" i="7" l="1" a="1"/>
  <c r="CP40" i="7" s="1"/>
  <c r="O41" i="7" a="1"/>
  <c r="O41" i="7" s="1"/>
  <c r="CP165" i="7" s="1"/>
  <c r="O40" i="7" a="1"/>
  <c r="O40" i="7" s="1"/>
  <c r="CP164" i="7" s="1"/>
  <c r="Y84" i="7" a="1"/>
  <c r="Y84" i="7" s="1"/>
  <c r="CP41" i="7" a="1"/>
  <c r="CP41" i="7" s="1"/>
  <c r="Y22" i="7" a="1"/>
  <c r="Y22" i="7" s="1"/>
  <c r="J40" i="7" a="1"/>
  <c r="J40" i="7" s="1"/>
  <c r="CP102" i="7" s="1"/>
  <c r="AK6" i="4"/>
  <c r="AL7" i="4"/>
  <c r="CU41" i="7"/>
  <c r="CU40" i="7"/>
  <c r="BN3" i="7"/>
  <c r="HM6" i="4"/>
  <c r="HN7" i="4"/>
  <c r="DZ7" i="4"/>
  <c r="DY6" i="4"/>
  <c r="DZ6" i="4" l="1"/>
  <c r="EA7" i="4"/>
  <c r="HO7" i="4"/>
  <c r="HN6" i="4"/>
  <c r="AL6" i="4"/>
  <c r="AM7" i="4"/>
  <c r="E45" i="7" s="1" a="1"/>
  <c r="E45" i="7" s="1"/>
  <c r="CU43" i="7"/>
  <c r="CU42" i="7"/>
  <c r="BO3" i="7"/>
  <c r="J45" i="7" a="1"/>
  <c r="J45" i="7" s="1"/>
  <c r="CP107" i="7" s="1"/>
  <c r="Y24" i="7" a="1"/>
  <c r="Y24" i="7" s="1"/>
  <c r="Y23" i="7" a="1"/>
  <c r="Y23" i="7" s="1"/>
  <c r="E43" i="7" a="1"/>
  <c r="E43" i="7" s="1"/>
  <c r="CP43" i="7" a="1"/>
  <c r="CP43" i="7" s="1"/>
  <c r="Y85" i="7" a="1"/>
  <c r="Y85" i="7" s="1"/>
  <c r="J42" i="7" a="1"/>
  <c r="J42" i="7" s="1"/>
  <c r="CP104" i="7" s="1"/>
  <c r="O42" i="7" a="1"/>
  <c r="O42" i="7" s="1"/>
  <c r="CP166" i="7" s="1"/>
  <c r="CP42" i="7" a="1"/>
  <c r="CP42" i="7" s="1"/>
  <c r="J43" i="7" a="1"/>
  <c r="J43" i="7" s="1"/>
  <c r="CP105" i="7" s="1"/>
  <c r="E44" i="7" a="1"/>
  <c r="E44" i="7" s="1"/>
  <c r="E42" i="7" a="1"/>
  <c r="E42" i="7" s="1"/>
  <c r="Y54" i="7" a="1"/>
  <c r="Y54" i="7" s="1"/>
  <c r="O43" i="7" a="1"/>
  <c r="O43" i="7" s="1"/>
  <c r="CP167" i="7" s="1"/>
  <c r="O45" i="7" a="1"/>
  <c r="O45" i="7" s="1"/>
  <c r="CP169" i="7" s="1"/>
  <c r="J44" i="7" l="1" a="1"/>
  <c r="J44" i="7" s="1"/>
  <c r="CP106" i="7" s="1"/>
  <c r="CP44" i="7" a="1"/>
  <c r="CP44" i="7" s="1"/>
  <c r="AM6" i="4"/>
  <c r="AN7" i="4"/>
  <c r="Y56" i="7" s="1" a="1"/>
  <c r="Y56" i="7" s="1"/>
  <c r="CU45" i="7"/>
  <c r="CU44" i="7"/>
  <c r="BP3" i="7"/>
  <c r="Y86" i="7" a="1"/>
  <c r="Y86" i="7" s="1"/>
  <c r="O46" i="7" a="1"/>
  <c r="O46" i="7" s="1"/>
  <c r="CP170" i="7" s="1"/>
  <c r="Y55" i="7" a="1"/>
  <c r="Y55" i="7" s="1"/>
  <c r="CP45" i="7" a="1"/>
  <c r="CP45" i="7" s="1"/>
  <c r="HO6" i="4"/>
  <c r="HP7" i="4"/>
  <c r="E47" i="7" a="1"/>
  <c r="E47" i="7" s="1"/>
  <c r="EA6" i="4"/>
  <c r="EB7" i="4"/>
  <c r="O44" i="7" a="1"/>
  <c r="O44" i="7" s="1"/>
  <c r="CP168" i="7" s="1"/>
  <c r="EB6" i="4" l="1"/>
  <c r="EC7" i="4"/>
  <c r="AN6" i="4"/>
  <c r="AO7" i="4"/>
  <c r="O49" i="7" s="1" a="1"/>
  <c r="O49" i="7" s="1"/>
  <c r="CP173" i="7" s="1"/>
  <c r="CU47" i="7"/>
  <c r="CU46" i="7"/>
  <c r="BQ3" i="7"/>
  <c r="Y87" i="7" a="1"/>
  <c r="Y87" i="7" s="1"/>
  <c r="E46" i="7" a="1"/>
  <c r="E46" i="7" s="1"/>
  <c r="O47" i="7" a="1"/>
  <c r="O47" i="7" s="1"/>
  <c r="CP171" i="7" s="1"/>
  <c r="CP46" i="7" a="1"/>
  <c r="CP46" i="7" s="1"/>
  <c r="Y25" i="7" a="1"/>
  <c r="Y25" i="7" s="1"/>
  <c r="CP47" i="7" a="1"/>
  <c r="CP47" i="7" s="1"/>
  <c r="J46" i="7" a="1"/>
  <c r="J46" i="7" s="1"/>
  <c r="CP108" i="7" s="1"/>
  <c r="J47" i="7" a="1"/>
  <c r="J47" i="7" s="1"/>
  <c r="CP109" i="7" s="1"/>
  <c r="HP6" i="4"/>
  <c r="HQ7" i="4"/>
  <c r="E49" i="7" l="1" a="1"/>
  <c r="E49" i="7" s="1"/>
  <c r="O48" i="7" a="1"/>
  <c r="O48" i="7" s="1"/>
  <c r="CP172" i="7" s="1"/>
  <c r="Y88" i="7" a="1"/>
  <c r="Y88" i="7" s="1"/>
  <c r="Y26" i="7" a="1"/>
  <c r="Y26" i="7" s="1"/>
  <c r="AO6" i="4"/>
  <c r="AP7" i="4"/>
  <c r="Y58" i="7" s="1" a="1"/>
  <c r="Y58" i="7" s="1"/>
  <c r="CU49" i="7"/>
  <c r="CU48" i="7"/>
  <c r="BR3" i="7"/>
  <c r="E48" i="7" a="1"/>
  <c r="E48" i="7" s="1"/>
  <c r="CP48" i="7" a="1"/>
  <c r="CP48" i="7" s="1"/>
  <c r="J50" i="7" a="1"/>
  <c r="J50" i="7" s="1"/>
  <c r="CP112" i="7" s="1"/>
  <c r="J48" i="7" a="1"/>
  <c r="J48" i="7" s="1"/>
  <c r="CP110" i="7" s="1"/>
  <c r="J49" i="7" a="1"/>
  <c r="J49" i="7" s="1"/>
  <c r="CP111" i="7" s="1"/>
  <c r="CP49" i="7" a="1"/>
  <c r="CP49" i="7" s="1"/>
  <c r="Y27" i="7" a="1"/>
  <c r="Y27" i="7" s="1"/>
  <c r="EC6" i="4"/>
  <c r="ED7" i="4"/>
  <c r="HR7" i="4"/>
  <c r="HQ6" i="4"/>
  <c r="Y57" i="7" a="1"/>
  <c r="Y57" i="7" s="1"/>
  <c r="E51" i="7" l="1" a="1"/>
  <c r="E51" i="7" s="1"/>
  <c r="AP6" i="4"/>
  <c r="AQ7" i="4"/>
  <c r="J52" i="7" s="1" a="1"/>
  <c r="J52" i="7" s="1"/>
  <c r="CP114" i="7" s="1"/>
  <c r="CU51" i="7"/>
  <c r="CU50" i="7"/>
  <c r="BS3" i="7"/>
  <c r="J51" i="7" a="1"/>
  <c r="J51" i="7" s="1"/>
  <c r="CP113" i="7" s="1"/>
  <c r="E53" i="7" a="1"/>
  <c r="E53" i="7" s="1"/>
  <c r="O50" i="7" a="1"/>
  <c r="O50" i="7" s="1"/>
  <c r="CP174" i="7" s="1"/>
  <c r="Y90" i="7" a="1"/>
  <c r="Y90" i="7" s="1"/>
  <c r="Y59" i="7" a="1"/>
  <c r="Y59" i="7" s="1"/>
  <c r="Y28" i="7" a="1"/>
  <c r="Y28" i="7" s="1"/>
  <c r="CP51" i="7" a="1"/>
  <c r="CP51" i="7" s="1"/>
  <c r="Y89" i="7" a="1"/>
  <c r="Y89" i="7" s="1"/>
  <c r="CP50" i="7" a="1"/>
  <c r="CP50" i="7" s="1"/>
  <c r="E50" i="7" a="1"/>
  <c r="E50" i="7" s="1"/>
  <c r="O51" i="7" a="1"/>
  <c r="O51" i="7" s="1"/>
  <c r="CP175" i="7" s="1"/>
  <c r="O53" i="7" a="1"/>
  <c r="O53" i="7" s="1"/>
  <c r="CP177" i="7" s="1"/>
  <c r="ED6" i="4"/>
  <c r="EE7" i="4"/>
  <c r="HR6" i="4"/>
  <c r="HS7" i="4"/>
  <c r="E52" i="7" l="1" a="1"/>
  <c r="E52" i="7" s="1"/>
  <c r="CP52" i="7" a="1"/>
  <c r="CP52" i="7" s="1"/>
  <c r="CP53" i="7" a="1"/>
  <c r="CP53" i="7" s="1"/>
  <c r="J53" i="7" a="1"/>
  <c r="J53" i="7" s="1"/>
  <c r="CP115" i="7" s="1"/>
  <c r="HT7" i="4"/>
  <c r="HS6" i="4"/>
  <c r="AR7" i="4"/>
  <c r="AQ6" i="4"/>
  <c r="CU52" i="7"/>
  <c r="CU53" i="7"/>
  <c r="BT3" i="7"/>
  <c r="EE6" i="4"/>
  <c r="EF7" i="4"/>
  <c r="EF6" i="4" l="1"/>
  <c r="EG7" i="4"/>
  <c r="AS7" i="4"/>
  <c r="AR6" i="4"/>
  <c r="CU54" i="7"/>
  <c r="CU55" i="7"/>
  <c r="BU3" i="7"/>
  <c r="HU7" i="4"/>
  <c r="HT6" i="4"/>
  <c r="HV7" i="4" l="1"/>
  <c r="HU6" i="4"/>
  <c r="AT7" i="4"/>
  <c r="AS6" i="4"/>
  <c r="CU57" i="7"/>
  <c r="CU56" i="7"/>
  <c r="BV3" i="7"/>
  <c r="EH7" i="4"/>
  <c r="EG6" i="4"/>
  <c r="EH6" i="4" l="1"/>
  <c r="EI7" i="4"/>
  <c r="AU7" i="4"/>
  <c r="AT6" i="4"/>
  <c r="CU58" i="7"/>
  <c r="CU59" i="7"/>
  <c r="BW3" i="7"/>
  <c r="HW7" i="4"/>
  <c r="HV6" i="4"/>
  <c r="HX7" i="4" l="1"/>
  <c r="HW6" i="4"/>
  <c r="AV7" i="4"/>
  <c r="AU6" i="4"/>
  <c r="CU61" i="7"/>
  <c r="CU60" i="7"/>
  <c r="BX3" i="7"/>
  <c r="EJ7" i="4"/>
  <c r="EI6" i="4"/>
  <c r="EK7" i="4" l="1"/>
  <c r="EJ6" i="4"/>
  <c r="AW7" i="4"/>
  <c r="AV6" i="4"/>
  <c r="CU63" i="7"/>
  <c r="CU62" i="7"/>
  <c r="BY3" i="7"/>
  <c r="HY7" i="4"/>
  <c r="HX6" i="4"/>
  <c r="HY6" i="4" l="1"/>
  <c r="HZ7" i="4"/>
  <c r="AW6" i="4"/>
  <c r="AX7" i="4"/>
  <c r="CU65" i="7"/>
  <c r="CU64" i="7"/>
  <c r="O37" i="7" a="1"/>
  <c r="O37" i="7" s="1"/>
  <c r="CP161" i="7" s="1"/>
  <c r="Y114" i="7" a="1"/>
  <c r="Y114" i="7" s="1"/>
  <c r="T57" i="7" a="1"/>
  <c r="T57" i="7" s="1"/>
  <c r="CP305" i="7" s="1"/>
  <c r="BZ3" i="7"/>
  <c r="Y125" i="7" a="1"/>
  <c r="Y125" i="7" s="1"/>
  <c r="T38" i="7" a="1"/>
  <c r="T38" i="7" s="1"/>
  <c r="CP286" i="7" s="1"/>
  <c r="T35" i="7" a="1"/>
  <c r="T35" i="7" s="1"/>
  <c r="Y113" i="7" a="1"/>
  <c r="Y113" i="7" s="1"/>
  <c r="T48" i="7" a="1"/>
  <c r="T48" i="7" s="1"/>
  <c r="CP296" i="7" s="1"/>
  <c r="T53" i="7" a="1"/>
  <c r="T53" i="7" s="1"/>
  <c r="CP301" i="7" s="1"/>
  <c r="Y121" i="7" a="1"/>
  <c r="Y121" i="7" s="1"/>
  <c r="T65" i="7" a="1"/>
  <c r="T65" i="7" s="1"/>
  <c r="CP313" i="7" s="1"/>
  <c r="Y124" i="7" a="1"/>
  <c r="Y124" i="7" s="1"/>
  <c r="T62" i="7" a="1"/>
  <c r="T62" i="7" s="1"/>
  <c r="CP310" i="7" s="1"/>
  <c r="T37" i="7" a="1"/>
  <c r="T37" i="7" s="1"/>
  <c r="CP285" i="7" s="1"/>
  <c r="T42" i="7" a="1"/>
  <c r="T42" i="7" s="1"/>
  <c r="CP290" i="7" s="1"/>
  <c r="Y127" i="7" a="1"/>
  <c r="Y127" i="7" s="1"/>
  <c r="T61" i="7" a="1"/>
  <c r="T61" i="7" s="1"/>
  <c r="CP309" i="7" s="1"/>
  <c r="T41" i="7" a="1"/>
  <c r="T41" i="7" s="1"/>
  <c r="CP289" i="7" s="1"/>
  <c r="Y115" i="7" a="1"/>
  <c r="Y115" i="7" s="1"/>
  <c r="T56" i="7" a="1"/>
  <c r="T56" i="7" s="1"/>
  <c r="CP304" i="7" s="1"/>
  <c r="O36" i="7" a="1"/>
  <c r="O36" i="7" s="1"/>
  <c r="CP160" i="7" s="1"/>
  <c r="T64" i="7" a="1"/>
  <c r="T64" i="7" s="1"/>
  <c r="CP312" i="7" s="1"/>
  <c r="Y119" i="7" a="1"/>
  <c r="Y119" i="7" s="1"/>
  <c r="T43" i="7" a="1"/>
  <c r="T43" i="7" s="1"/>
  <c r="CP291" i="7" s="1"/>
  <c r="T51" i="7" a="1"/>
  <c r="T51" i="7" s="1"/>
  <c r="CP299" i="7" s="1"/>
  <c r="O39" i="7" a="1"/>
  <c r="O39" i="7" s="1"/>
  <c r="CP163" i="7" s="1"/>
  <c r="Y126" i="7" a="1"/>
  <c r="Y126" i="7" s="1"/>
  <c r="T58" i="7" a="1"/>
  <c r="T58" i="7" s="1"/>
  <c r="CP306" i="7" s="1"/>
  <c r="T36" i="7" a="1"/>
  <c r="T36" i="7" s="1"/>
  <c r="CP284" i="7" s="1"/>
  <c r="T44" i="7" a="1"/>
  <c r="T44" i="7" s="1"/>
  <c r="CP292" i="7" s="1"/>
  <c r="T40" i="7" a="1"/>
  <c r="T40" i="7" s="1"/>
  <c r="CP288" i="7" s="1"/>
  <c r="Y120" i="7" a="1"/>
  <c r="Y120" i="7" s="1"/>
  <c r="Y116" i="7" a="1"/>
  <c r="Y116" i="7" s="1"/>
  <c r="T45" i="7" a="1"/>
  <c r="T45" i="7" s="1"/>
  <c r="CP293" i="7" s="1"/>
  <c r="T55" i="7" a="1"/>
  <c r="T55" i="7" s="1"/>
  <c r="CP303" i="7" s="1"/>
  <c r="O38" i="7" a="1"/>
  <c r="O38" i="7" s="1"/>
  <c r="CP162" i="7" s="1"/>
  <c r="Y122" i="7" a="1"/>
  <c r="Y122" i="7" s="1"/>
  <c r="Y118" i="7" a="1"/>
  <c r="Y118" i="7" s="1"/>
  <c r="T63" i="7" a="1"/>
  <c r="T63" i="7" s="1"/>
  <c r="CP311" i="7" s="1"/>
  <c r="Y117" i="7" a="1"/>
  <c r="Y117" i="7" s="1"/>
  <c r="T52" i="7" a="1"/>
  <c r="T52" i="7" s="1"/>
  <c r="CP300" i="7" s="1"/>
  <c r="T50" i="7" a="1"/>
  <c r="T50" i="7" s="1"/>
  <c r="CP298" i="7" s="1"/>
  <c r="T39" i="7" a="1"/>
  <c r="T39" i="7" s="1"/>
  <c r="CP287" i="7" s="1"/>
  <c r="T47" i="7" a="1"/>
  <c r="T47" i="7" s="1"/>
  <c r="CP295" i="7" s="1"/>
  <c r="T46" i="7" a="1"/>
  <c r="T46" i="7" s="1"/>
  <c r="CP294" i="7" s="1"/>
  <c r="T60" i="7" a="1"/>
  <c r="T60" i="7" s="1"/>
  <c r="CP308" i="7" s="1"/>
  <c r="T59" i="7" a="1"/>
  <c r="T59" i="7" s="1"/>
  <c r="CP307" i="7" s="1"/>
  <c r="T49" i="7" a="1"/>
  <c r="T49" i="7" s="1"/>
  <c r="CP297" i="7" s="1"/>
  <c r="T54" i="7" a="1"/>
  <c r="T54" i="7" s="1"/>
  <c r="CP302" i="7" s="1"/>
  <c r="Y123" i="7" a="1"/>
  <c r="Y123" i="7" s="1"/>
  <c r="E65" i="7" a="1"/>
  <c r="E65" i="7" s="1"/>
  <c r="CP63" i="7" a="1"/>
  <c r="CP63" i="7" s="1"/>
  <c r="O52" i="7" a="1"/>
  <c r="O52" i="7" s="1"/>
  <c r="CP176" i="7" s="1"/>
  <c r="Y31" i="7" a="1"/>
  <c r="Y31" i="7" s="1"/>
  <c r="CP62" i="7" a="1"/>
  <c r="CP62" i="7" s="1"/>
  <c r="J62" i="7" a="1"/>
  <c r="J62" i="7" s="1"/>
  <c r="CP124" i="7" s="1"/>
  <c r="E56" i="7" a="1"/>
  <c r="E56" i="7" s="1"/>
  <c r="E59" i="7" a="1"/>
  <c r="E59" i="7" s="1"/>
  <c r="Y91" i="7" a="1"/>
  <c r="Y91" i="7" s="1"/>
  <c r="O63" i="7" a="1"/>
  <c r="O63" i="7" s="1"/>
  <c r="CP187" i="7" s="1"/>
  <c r="Y29" i="7" a="1"/>
  <c r="Y29" i="7" s="1"/>
  <c r="CP60" i="7" a="1"/>
  <c r="CP60" i="7" s="1"/>
  <c r="E58" i="7" a="1"/>
  <c r="E58" i="7" s="1"/>
  <c r="J65" i="7" a="1"/>
  <c r="J65" i="7" s="1"/>
  <c r="CP127" i="7" s="1"/>
  <c r="CP57" i="7" a="1"/>
  <c r="CP57" i="7" s="1"/>
  <c r="E62" i="7" a="1"/>
  <c r="E62" i="7" s="1"/>
  <c r="O59" i="7" a="1"/>
  <c r="O59" i="7" s="1"/>
  <c r="CP183" i="7" s="1"/>
  <c r="J58" i="7" a="1"/>
  <c r="J58" i="7" s="1"/>
  <c r="CP120" i="7" s="1"/>
  <c r="Y94" i="7" a="1"/>
  <c r="Y94" i="7" s="1"/>
  <c r="J59" i="7" a="1"/>
  <c r="J59" i="7" s="1"/>
  <c r="CP121" i="7" s="1"/>
  <c r="E64" i="7" a="1"/>
  <c r="E64" i="7" s="1"/>
  <c r="E57" i="7" a="1"/>
  <c r="E57" i="7" s="1"/>
  <c r="J55" i="7" a="1"/>
  <c r="J55" i="7" s="1"/>
  <c r="CP117" i="7" s="1"/>
  <c r="Y96" i="7" a="1"/>
  <c r="Y96" i="7" s="1"/>
  <c r="J64" i="7" a="1"/>
  <c r="J64" i="7" s="1"/>
  <c r="CP126" i="7" s="1"/>
  <c r="O55" i="7" a="1"/>
  <c r="O55" i="7" s="1"/>
  <c r="CP179" i="7" s="1"/>
  <c r="Y30" i="7" a="1"/>
  <c r="Y30" i="7" s="1"/>
  <c r="O61" i="7" a="1"/>
  <c r="O61" i="7" s="1"/>
  <c r="CP185" i="7" s="1"/>
  <c r="Y65" i="7" a="1"/>
  <c r="Y65" i="7" s="1"/>
  <c r="E55" i="7" a="1"/>
  <c r="E55" i="7" s="1"/>
  <c r="Y33" i="7" a="1"/>
  <c r="Y33" i="7" s="1"/>
  <c r="J63" i="7" a="1"/>
  <c r="J63" i="7" s="1"/>
  <c r="CP125" i="7" s="1"/>
  <c r="O64" i="7" a="1"/>
  <c r="O64" i="7" s="1"/>
  <c r="CP188" i="7" s="1"/>
  <c r="E61" i="7" a="1"/>
  <c r="E61" i="7" s="1"/>
  <c r="Y92" i="7" a="1"/>
  <c r="Y92" i="7" s="1"/>
  <c r="E54" i="7" a="1"/>
  <c r="E54" i="7" s="1"/>
  <c r="E63" i="7" a="1"/>
  <c r="E63" i="7" s="1"/>
  <c r="Y93" i="7" a="1"/>
  <c r="Y93" i="7" s="1"/>
  <c r="O58" i="7" a="1"/>
  <c r="O58" i="7" s="1"/>
  <c r="CP182" i="7" s="1"/>
  <c r="O56" i="7" a="1"/>
  <c r="O56" i="7" s="1"/>
  <c r="CP180" i="7" s="1"/>
  <c r="J61" i="7" a="1"/>
  <c r="J61" i="7" s="1"/>
  <c r="CP123" i="7" s="1"/>
  <c r="Y63" i="7" a="1"/>
  <c r="Y63" i="7" s="1"/>
  <c r="O65" i="7" a="1"/>
  <c r="O65" i="7" s="1"/>
  <c r="CP189" i="7" s="1"/>
  <c r="O54" i="7" a="1"/>
  <c r="O54" i="7" s="1"/>
  <c r="CP178" i="7" s="1"/>
  <c r="J54" i="7" a="1"/>
  <c r="J54" i="7" s="1"/>
  <c r="CP116" i="7" s="1"/>
  <c r="Y62" i="7" a="1"/>
  <c r="Y62" i="7" s="1"/>
  <c r="J57" i="7" a="1"/>
  <c r="J57" i="7" s="1"/>
  <c r="CP119" i="7" s="1"/>
  <c r="E60" i="7" a="1"/>
  <c r="E60" i="7" s="1"/>
  <c r="CP58" i="7" a="1"/>
  <c r="CP58" i="7" s="1"/>
  <c r="CP56" i="7" a="1"/>
  <c r="CP56" i="7" s="1"/>
  <c r="CP64" i="7" a="1"/>
  <c r="CP64" i="7" s="1"/>
  <c r="Y34" i="7" a="1"/>
  <c r="Y34" i="7" s="1"/>
  <c r="Y95" i="7" a="1"/>
  <c r="Y95" i="7" s="1"/>
  <c r="J60" i="7" a="1"/>
  <c r="J60" i="7" s="1"/>
  <c r="CP122" i="7" s="1"/>
  <c r="O57" i="7" a="1"/>
  <c r="O57" i="7" s="1"/>
  <c r="CP181" i="7" s="1"/>
  <c r="CP61" i="7" a="1"/>
  <c r="CP61" i="7" s="1"/>
  <c r="CP54" i="7" a="1"/>
  <c r="CP54" i="7" s="1"/>
  <c r="Y61" i="7" a="1"/>
  <c r="Y61" i="7" s="1"/>
  <c r="CP65" i="7" a="1"/>
  <c r="CP65" i="7" s="1"/>
  <c r="Y32" i="7" a="1"/>
  <c r="Y32" i="7" s="1"/>
  <c r="O60" i="7" a="1"/>
  <c r="O60" i="7" s="1"/>
  <c r="CP184" i="7" s="1"/>
  <c r="O62" i="7" a="1"/>
  <c r="O62" i="7" s="1"/>
  <c r="CP186" i="7" s="1"/>
  <c r="CP55" i="7" a="1"/>
  <c r="CP55" i="7" s="1"/>
  <c r="CP59" i="7" a="1"/>
  <c r="CP59" i="7" s="1"/>
  <c r="J56" i="7" a="1"/>
  <c r="J56" i="7" s="1"/>
  <c r="CP118" i="7" s="1"/>
  <c r="Y60" i="7" a="1"/>
  <c r="Y60" i="7" s="1"/>
  <c r="Y64" i="7" a="1"/>
  <c r="Y64" i="7" s="1"/>
  <c r="EK6" i="4"/>
  <c r="EL7" i="4"/>
  <c r="EL6" i="4" l="1"/>
  <c r="EM7" i="4"/>
  <c r="AY7" i="4"/>
  <c r="AX6" i="4"/>
  <c r="HZ6" i="4"/>
  <c r="IA7" i="4"/>
  <c r="CP283" i="7"/>
  <c r="DF34" i="7"/>
  <c r="IA6" i="4" l="1"/>
  <c r="IB7" i="4"/>
  <c r="AZ7" i="4"/>
  <c r="AY6" i="4"/>
  <c r="EM6" i="4"/>
  <c r="EN7" i="4"/>
  <c r="EN6" i="4" l="1"/>
  <c r="EO7" i="4"/>
  <c r="AZ6" i="4"/>
  <c r="BA7" i="4"/>
  <c r="IB6" i="4"/>
  <c r="IC7" i="4"/>
  <c r="BA6" i="4" l="1"/>
  <c r="BB7" i="4"/>
  <c r="IC6" i="4"/>
  <c r="ID7" i="4"/>
  <c r="EO6" i="4"/>
  <c r="EP7" i="4"/>
  <c r="BB6" i="4" l="1"/>
  <c r="BC7" i="4"/>
  <c r="EQ7" i="4"/>
  <c r="EP6" i="4"/>
  <c r="ID6" i="4"/>
  <c r="IE7" i="4"/>
  <c r="IF7" i="4" l="1"/>
  <c r="IE6" i="4"/>
  <c r="EQ6" i="4"/>
  <c r="ER7" i="4"/>
  <c r="BD7" i="4"/>
  <c r="BC6" i="4"/>
  <c r="BE7" i="4" l="1"/>
  <c r="BD6" i="4"/>
  <c r="ER6" i="4"/>
  <c r="ES7" i="4"/>
  <c r="IF6" i="4"/>
  <c r="IG7" i="4"/>
  <c r="IG6" i="4" l="1"/>
  <c r="IH7" i="4"/>
  <c r="ES6" i="4"/>
  <c r="ET7" i="4"/>
  <c r="BF7" i="4"/>
  <c r="BE6" i="4"/>
  <c r="BF6" i="4" l="1"/>
  <c r="BG7" i="4"/>
  <c r="ET6" i="4"/>
  <c r="EU7" i="4"/>
  <c r="II7" i="4"/>
  <c r="IH6" i="4"/>
  <c r="IJ7" i="4" l="1"/>
  <c r="II6" i="4"/>
  <c r="EU6" i="4"/>
  <c r="EV7" i="4"/>
  <c r="BG6" i="4"/>
  <c r="BH7" i="4"/>
  <c r="BI7" i="4" l="1"/>
  <c r="BH6" i="4"/>
  <c r="EW7" i="4"/>
  <c r="EV6" i="4"/>
  <c r="IJ6" i="4"/>
  <c r="IK7" i="4"/>
  <c r="IK6" i="4" l="1"/>
  <c r="IL7" i="4"/>
  <c r="EX7" i="4"/>
  <c r="EW6" i="4"/>
  <c r="BI6" i="4"/>
  <c r="BJ7" i="4"/>
  <c r="BJ6" i="4" l="1"/>
  <c r="BK7" i="4"/>
  <c r="EY7" i="4"/>
  <c r="EX6" i="4"/>
  <c r="IL6" i="4"/>
  <c r="IM7" i="4"/>
  <c r="IM6" i="4" l="1"/>
  <c r="IN7" i="4"/>
  <c r="EZ7" i="4"/>
  <c r="EY6" i="4"/>
  <c r="BL7" i="4"/>
  <c r="BK6" i="4"/>
  <c r="BL6" i="4" l="1"/>
  <c r="BM7" i="4"/>
  <c r="FA7" i="4"/>
  <c r="EZ6" i="4"/>
  <c r="IN6" i="4"/>
  <c r="IO7" i="4"/>
  <c r="IO6" i="4" l="1"/>
  <c r="IP7" i="4"/>
  <c r="FB7" i="4"/>
  <c r="FA6" i="4"/>
  <c r="BM6" i="4"/>
  <c r="BN7" i="4"/>
  <c r="BN6" i="4" l="1"/>
  <c r="BO7" i="4"/>
  <c r="FB6" i="4"/>
  <c r="FC7" i="4"/>
  <c r="IP6" i="4"/>
  <c r="IQ7" i="4"/>
  <c r="IR7" i="4" l="1"/>
  <c r="IQ6" i="4"/>
  <c r="FD7" i="4"/>
  <c r="FC6" i="4"/>
  <c r="BO6" i="4"/>
  <c r="BP7" i="4"/>
  <c r="BP6" i="4" l="1"/>
  <c r="BQ7" i="4"/>
  <c r="FE7" i="4"/>
  <c r="FD6" i="4"/>
  <c r="IS7" i="4"/>
  <c r="IR6" i="4"/>
  <c r="IT7" i="4" l="1"/>
  <c r="IS6" i="4"/>
  <c r="FF7" i="4"/>
  <c r="FE6" i="4"/>
  <c r="BR7" i="4"/>
  <c r="BQ6" i="4"/>
  <c r="BR6" i="4" l="1"/>
  <c r="BS7" i="4"/>
  <c r="FG7" i="4"/>
  <c r="FF6" i="4"/>
  <c r="IU7" i="4"/>
  <c r="IT6" i="4"/>
  <c r="IV7" i="4" l="1"/>
  <c r="IU6" i="4"/>
  <c r="FG6" i="4"/>
  <c r="FH7" i="4"/>
  <c r="BT7" i="4"/>
  <c r="BS6" i="4"/>
  <c r="BU7" i="4" l="1"/>
  <c r="BT6" i="4"/>
  <c r="FI7" i="4"/>
  <c r="FH6" i="4"/>
  <c r="IW7" i="4"/>
  <c r="IV6" i="4"/>
  <c r="IW6" i="4" l="1"/>
  <c r="IX7" i="4"/>
  <c r="FJ7" i="4"/>
  <c r="FI6" i="4"/>
  <c r="BU6" i="4"/>
  <c r="BV7" i="4"/>
  <c r="BW7" i="4" l="1"/>
  <c r="BV6" i="4"/>
  <c r="FK7" i="4"/>
  <c r="FJ6" i="4"/>
  <c r="IX6" i="4"/>
  <c r="IY7" i="4"/>
  <c r="IY6" i="4" l="1"/>
  <c r="IZ7" i="4"/>
  <c r="FL7" i="4"/>
  <c r="FK6" i="4"/>
  <c r="BW6" i="4"/>
  <c r="BX7" i="4"/>
  <c r="BX6" i="4" l="1"/>
  <c r="BY7" i="4"/>
  <c r="FL6" i="4"/>
  <c r="FM7" i="4"/>
  <c r="IZ6" i="4"/>
  <c r="JA7" i="4"/>
  <c r="JA6" i="4" l="1"/>
  <c r="JB7" i="4"/>
  <c r="FM6" i="4"/>
  <c r="FN7" i="4"/>
  <c r="BY6" i="4"/>
  <c r="BZ7" i="4"/>
  <c r="BZ6" i="4" l="1"/>
  <c r="CA7" i="4"/>
  <c r="FN6" i="4"/>
  <c r="FO7" i="4"/>
  <c r="JB6" i="4"/>
  <c r="JC7" i="4"/>
  <c r="JD7" i="4" l="1"/>
  <c r="JC6" i="4"/>
  <c r="FO6" i="4"/>
  <c r="FP7" i="4"/>
  <c r="CB7" i="4"/>
  <c r="CA6" i="4"/>
  <c r="CC7" i="4" l="1"/>
  <c r="CB6" i="4"/>
  <c r="FP6" i="4"/>
  <c r="FQ7" i="4"/>
  <c r="JE7" i="4"/>
  <c r="JD6" i="4"/>
  <c r="JF7" i="4" l="1"/>
  <c r="JE6" i="4"/>
  <c r="FQ6" i="4"/>
  <c r="FR7" i="4"/>
  <c r="CD7" i="4"/>
  <c r="CC6" i="4"/>
  <c r="CE7" i="4" l="1"/>
  <c r="CD6" i="4"/>
  <c r="FR6" i="4"/>
  <c r="FS7" i="4"/>
  <c r="JG7" i="4"/>
  <c r="JF6" i="4"/>
  <c r="JH7" i="4" l="1"/>
  <c r="JG6" i="4"/>
  <c r="FS6" i="4"/>
  <c r="FT7" i="4"/>
  <c r="CF7" i="4"/>
  <c r="CE6" i="4"/>
  <c r="CG7" i="4" l="1"/>
  <c r="CF6" i="4"/>
  <c r="FU7" i="4"/>
  <c r="FT6" i="4"/>
  <c r="JI7" i="4"/>
  <c r="JH6" i="4"/>
  <c r="JI6" i="4" l="1"/>
  <c r="JJ7" i="4"/>
  <c r="FV7" i="4"/>
  <c r="FU6" i="4"/>
  <c r="CG6" i="4"/>
  <c r="CH7" i="4"/>
  <c r="CH6" i="4" l="1"/>
  <c r="CI7" i="4"/>
  <c r="FW7" i="4"/>
  <c r="FV6" i="4"/>
  <c r="JJ6" i="4"/>
  <c r="JK7" i="4"/>
  <c r="JK6" i="4" l="1"/>
  <c r="JL7" i="4"/>
  <c r="FX7" i="4"/>
  <c r="FW6" i="4"/>
  <c r="CI6" i="4"/>
  <c r="CJ7" i="4"/>
  <c r="CJ6" i="4" l="1"/>
  <c r="CK7" i="4"/>
  <c r="FY7" i="4"/>
  <c r="FX6" i="4"/>
  <c r="JL6" i="4"/>
  <c r="JM7" i="4"/>
  <c r="JM6" i="4" l="1"/>
  <c r="JN7" i="4"/>
  <c r="FZ7" i="4"/>
  <c r="FY6" i="4"/>
  <c r="CK6" i="4"/>
  <c r="CL7" i="4"/>
  <c r="CL6" i="4" l="1"/>
  <c r="CM7" i="4"/>
  <c r="FZ6" i="4"/>
  <c r="GA7" i="4"/>
  <c r="JN6" i="4"/>
  <c r="JO7" i="4"/>
  <c r="JP7" i="4" l="1"/>
  <c r="JO6" i="4"/>
  <c r="GA6" i="4"/>
  <c r="GB7" i="4"/>
  <c r="CN7" i="4"/>
  <c r="CM6" i="4"/>
  <c r="CO7" i="4" l="1"/>
  <c r="CN6" i="4"/>
  <c r="GC7" i="4"/>
  <c r="GB6" i="4"/>
  <c r="JQ7" i="4"/>
  <c r="JP6" i="4"/>
  <c r="JR7" i="4" l="1"/>
  <c r="JQ6" i="4"/>
  <c r="GD7" i="4"/>
  <c r="GC6" i="4"/>
  <c r="CP7" i="4"/>
  <c r="CO6" i="4"/>
  <c r="CQ7" i="4" l="1"/>
  <c r="CP6" i="4"/>
  <c r="GE7" i="4"/>
  <c r="GD6" i="4"/>
  <c r="JS7" i="4"/>
  <c r="JR6" i="4"/>
  <c r="JT7" i="4" l="1"/>
  <c r="JS6" i="4"/>
  <c r="GF7" i="4"/>
  <c r="GE6" i="4"/>
  <c r="CR7" i="4"/>
  <c r="CQ6" i="4"/>
  <c r="CS7" i="4" l="1"/>
  <c r="CR6" i="4"/>
  <c r="GG7" i="4"/>
  <c r="GF6" i="4"/>
  <c r="JU7" i="4"/>
  <c r="JT6" i="4"/>
  <c r="JU6" i="4" l="1"/>
  <c r="JV7" i="4"/>
  <c r="GH7" i="4"/>
  <c r="GG6" i="4"/>
  <c r="CS6" i="4"/>
  <c r="CT7" i="4"/>
  <c r="CT6" i="4" l="1"/>
  <c r="CU7" i="4"/>
  <c r="GH6" i="4"/>
  <c r="GI7" i="4"/>
  <c r="JV6" i="4"/>
  <c r="JW7" i="4"/>
  <c r="JW6" i="4" l="1"/>
  <c r="JX7" i="4"/>
  <c r="GI6" i="4"/>
  <c r="GJ7" i="4"/>
  <c r="CU6" i="4"/>
  <c r="CV7" i="4"/>
  <c r="CV6" i="4" l="1"/>
  <c r="CW7" i="4"/>
  <c r="GJ6" i="4"/>
  <c r="GK7" i="4"/>
  <c r="JX6" i="4"/>
  <c r="JY7" i="4"/>
  <c r="JY6" i="4" l="1"/>
  <c r="JZ7" i="4"/>
  <c r="GK6" i="4"/>
  <c r="GL7" i="4"/>
  <c r="CW6" i="4"/>
  <c r="CX7" i="4"/>
  <c r="CX6" i="4" l="1"/>
  <c r="CY7" i="4"/>
  <c r="GL6" i="4"/>
  <c r="GM7" i="4"/>
  <c r="JZ6" i="4"/>
  <c r="KA7" i="4"/>
  <c r="KB7" i="4" l="1"/>
  <c r="KA6" i="4"/>
  <c r="GM6" i="4"/>
  <c r="GN7" i="4"/>
  <c r="CZ7" i="4"/>
  <c r="CY6" i="4"/>
  <c r="DA7" i="4" l="1"/>
  <c r="CZ6" i="4"/>
  <c r="GN6" i="4"/>
  <c r="GO7" i="4"/>
  <c r="KC7" i="4"/>
  <c r="KB6" i="4"/>
  <c r="KD7" i="4" l="1"/>
  <c r="KC6" i="4"/>
  <c r="GO6" i="4"/>
  <c r="GP7" i="4"/>
  <c r="DB7" i="4"/>
  <c r="DA6" i="4"/>
  <c r="DC7" i="4" l="1"/>
  <c r="DB6" i="4"/>
  <c r="GP6" i="4"/>
  <c r="GQ7" i="4"/>
  <c r="KD6" i="4"/>
  <c r="KE7" i="4"/>
  <c r="KF7" i="4" l="1"/>
  <c r="KE6" i="4"/>
  <c r="GQ6" i="4"/>
  <c r="GR7" i="4"/>
  <c r="DD7" i="4"/>
  <c r="DC6" i="4"/>
  <c r="DE7" i="4" l="1"/>
  <c r="DE6" i="4" s="1"/>
  <c r="DD6" i="4"/>
  <c r="GS7" i="4"/>
  <c r="GS6" i="4" s="1"/>
  <c r="GR6" i="4"/>
  <c r="KG7" i="4"/>
  <c r="KG6" i="4" s="1"/>
  <c r="KF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18E88-3CE1-4038-93AF-F04BCE55FC67}"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<sst xmlns="http://schemas.openxmlformats.org/spreadsheetml/2006/main" count="4676" uniqueCount="239">
  <si>
    <t>BRAINSTORMING (PROBLEM)</t>
  </si>
  <si>
    <t>PIC</t>
  </si>
  <si>
    <t>Quick Action</t>
  </si>
  <si>
    <t>Long Term / Development</t>
  </si>
  <si>
    <t>ANDREAS</t>
  </si>
  <si>
    <t>HC</t>
  </si>
  <si>
    <t>SLD</t>
  </si>
  <si>
    <t>AGUS Y</t>
  </si>
  <si>
    <t>AMIN</t>
  </si>
  <si>
    <t>HO</t>
  </si>
  <si>
    <t>PLANT-LOG</t>
  </si>
  <si>
    <t>YOHANES</t>
  </si>
  <si>
    <t>OLOWAN</t>
  </si>
  <si>
    <t>CLOSE</t>
  </si>
  <si>
    <t>klo perlu MTBF</t>
  </si>
  <si>
    <t>GS</t>
  </si>
  <si>
    <t>GS HO</t>
  </si>
  <si>
    <t>JUNI</t>
  </si>
  <si>
    <t>PA ALL DOZER</t>
  </si>
  <si>
    <t>DOZER READINESS</t>
  </si>
  <si>
    <t>MTBF</t>
  </si>
  <si>
    <t>PLAN</t>
  </si>
  <si>
    <t>ACTUAL</t>
  </si>
  <si>
    <t>PLAN START</t>
  </si>
  <si>
    <t>ACTUAL START</t>
  </si>
  <si>
    <t>ACTUAL FINISH</t>
  </si>
  <si>
    <t>DUE DATA</t>
  </si>
  <si>
    <t>STATUS</t>
  </si>
  <si>
    <t>NO</t>
  </si>
  <si>
    <t>CATEGORY</t>
  </si>
  <si>
    <t>MAN</t>
  </si>
  <si>
    <t>5 FACTOR</t>
  </si>
  <si>
    <t>MATERIAL</t>
  </si>
  <si>
    <t>MACHINE</t>
  </si>
  <si>
    <t>METHOD</t>
  </si>
  <si>
    <t>ENVIRONMENT</t>
  </si>
  <si>
    <t>PLAN DURATION</t>
  </si>
  <si>
    <t>ACTUAL DURATION</t>
  </si>
  <si>
    <t>OPEN</t>
  </si>
  <si>
    <t>ACHIVE</t>
  </si>
  <si>
    <t>DAILY ACHIVEMENT</t>
  </si>
  <si>
    <t>COMPLETION</t>
  </si>
  <si>
    <t>ACTION PLAN</t>
  </si>
  <si>
    <t>PARAMETER</t>
  </si>
  <si>
    <t>DATE</t>
  </si>
  <si>
    <t>VALUE</t>
  </si>
  <si>
    <t>TBL_PA ALL DOZER</t>
  </si>
  <si>
    <t>TBL_MTBF</t>
  </si>
  <si>
    <t>ACHIVEMENT</t>
  </si>
  <si>
    <t>Tbl_Summary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</si>
  <si>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</si>
  <si>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</si>
  <si>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</si>
  <si>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</si>
  <si>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</si>
  <si>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</si>
  <si>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</si>
  <si>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</si>
  <si>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</si>
  <si>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</si>
  <si>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</si>
  <si>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</si>
  <si>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</si>
  <si>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</si>
  <si>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</si>
  <si>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</si>
  <si>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</si>
  <si>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</si>
  <si>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</si>
  <si>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</si>
  <si>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</si>
  <si>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</si>
  <si>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</si>
  <si>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</si>
  <si>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</si>
  <si>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</si>
  <si>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</si>
  <si>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</si>
  <si>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</si>
  <si>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</si>
  <si>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</si>
  <si>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Attribute</t>
  </si>
  <si>
    <t>Value</t>
  </si>
  <si>
    <t>Tbl_Daily ACH</t>
  </si>
  <si>
    <t>Tbl_ACH</t>
  </si>
  <si>
    <t>Tbl_Daily</t>
  </si>
  <si>
    <t>TBL_DOZER_READINESS</t>
  </si>
  <si>
    <t>Row Labels</t>
  </si>
  <si>
    <t>Grand Total</t>
  </si>
  <si>
    <t>Sum of VALUE</t>
  </si>
  <si>
    <t>Column Labels</t>
  </si>
  <si>
    <t>Count of NO</t>
  </si>
  <si>
    <t>ON PROGRESS</t>
  </si>
  <si>
    <t>DUE STATUS</t>
  </si>
  <si>
    <t>JUMLAH</t>
  </si>
  <si>
    <t>COMPLETION RATE</t>
  </si>
  <si>
    <t>TOTAL</t>
  </si>
  <si>
    <t>OVERDUE</t>
  </si>
  <si>
    <t>JUMLAH OVERDUE</t>
  </si>
  <si>
    <t>JUMLAH TOTAL</t>
  </si>
  <si>
    <t>PT2</t>
  </si>
  <si>
    <t>PT3</t>
  </si>
  <si>
    <t>&gt; 14 Hari</t>
  </si>
  <si>
    <t>&lt; 14 Hari</t>
  </si>
  <si>
    <t>&lt; 7 Hari</t>
  </si>
  <si>
    <t>&lt; 3 Hari</t>
  </si>
  <si>
    <t>Overdue</t>
  </si>
  <si>
    <t>CLOSED</t>
  </si>
  <si>
    <t>DASHBOARD IMPROVEMENT DOZER</t>
  </si>
  <si>
    <t>Count of STATUS</t>
  </si>
  <si>
    <t>DEPARTMENT</t>
  </si>
  <si>
    <t>PROGRESS</t>
  </si>
  <si>
    <t>UNCLOSED</t>
  </si>
  <si>
    <t>(Multiple Items)</t>
  </si>
  <si>
    <t>COMPLETE</t>
  </si>
  <si>
    <t>STILL PROGRESS</t>
  </si>
  <si>
    <t>UNDER TARGET (Actual &lt; Plan)</t>
  </si>
  <si>
    <t>DELAY / GAP / KETERLAMBATAN</t>
  </si>
  <si>
    <t>PROGRESS ON SCHEDULE</t>
  </si>
  <si>
    <t>COMPLETED ON PLAN</t>
  </si>
  <si>
    <t>AHEAD OF SCHEDULE</t>
  </si>
  <si>
    <t>IMPROVEMENT DOZER CAM — PROJECT DEVELOPMENT PLAN</t>
  </si>
  <si>
    <t>BULAN</t>
  </si>
  <si>
    <t>JANUARI</t>
  </si>
  <si>
    <t>FEBRUARI</t>
  </si>
  <si>
    <t>MARET</t>
  </si>
  <si>
    <t>APRIL</t>
  </si>
  <si>
    <t>MEI</t>
  </si>
  <si>
    <t>JULI</t>
  </si>
  <si>
    <t>AGUSTUS</t>
  </si>
  <si>
    <t>SEPTEMBER</t>
  </si>
  <si>
    <t>OKTOBER</t>
  </si>
  <si>
    <t>NOVEMBER</t>
  </si>
  <si>
    <t>DESEMBER</t>
  </si>
  <si>
    <t>&lt; 80%</t>
  </si>
  <si>
    <t>&gt; 90% &amp; &lt; 95%</t>
  </si>
  <si>
    <t>&gt; 80% &amp; &lt; 90%</t>
  </si>
  <si>
    <t>&gt; 95% &amp; &lt; 100%</t>
  </si>
  <si>
    <t>MTTR</t>
  </si>
  <si>
    <t>TBL_MTTR</t>
  </si>
  <si>
    <t>ACHIVEMENT PARAMETER</t>
  </si>
  <si>
    <t>PT7</t>
  </si>
  <si>
    <t>COMPLETION_FLAG</t>
  </si>
  <si>
    <t>PT5</t>
  </si>
  <si>
    <t>PA DOZER</t>
  </si>
  <si>
    <t>ACHIEVEMENT</t>
  </si>
  <si>
    <t>TYPE</t>
  </si>
  <si>
    <t>DAY</t>
  </si>
  <si>
    <t>ACH</t>
  </si>
  <si>
    <t>DAYS</t>
  </si>
  <si>
    <t>FACTOR</t>
  </si>
  <si>
    <t>&lt; 14 HARI</t>
  </si>
  <si>
    <t>SS</t>
  </si>
  <si>
    <t>DAILY_PLAN</t>
  </si>
  <si>
    <t>DAILY_ACTUAL</t>
  </si>
  <si>
    <t>DOZER_READINESS</t>
  </si>
  <si>
    <t>PA_DOZER</t>
  </si>
  <si>
    <t>SUM_ACT</t>
  </si>
  <si>
    <t>Sum of DOZER_READINESS</t>
  </si>
  <si>
    <t>DAILY ACTUAL</t>
  </si>
  <si>
    <t>DAILY PLAN</t>
  </si>
  <si>
    <t>Sum of PA_DOZER</t>
  </si>
  <si>
    <t>Sum of MTBF</t>
  </si>
  <si>
    <t>MTBF (H)</t>
  </si>
  <si>
    <t>MTTR (H)</t>
  </si>
  <si>
    <t xml:space="preserve">ACHIVEMENT ACTION PLAN VS ACTUAL </t>
  </si>
  <si>
    <t>&gt; 100%</t>
  </si>
  <si>
    <t>PROJECT START</t>
  </si>
  <si>
    <t>ENVIRONTMENT</t>
  </si>
  <si>
    <t>TAHUN</t>
  </si>
  <si>
    <t>DURASI (D)</t>
  </si>
  <si>
    <t>GS-PLANT</t>
  </si>
  <si>
    <t>LOG-PLANT</t>
  </si>
  <si>
    <t>MEASUREMENT</t>
  </si>
  <si>
    <t>TEMA :  MENINGKATKAN PHYSICAL AVAILABILITY (PA) LIGHT VEHICLE (LV)</t>
  </si>
  <si>
    <t>JUDUL : MENURUNKAN BREAKDOWN UNSCHEDULE LV</t>
  </si>
  <si>
    <t>User tetap mengoperasikan LV dengan gejala abnormal karena belum memahami batas aman, tidak ada konsekuensi, dan temuan P2H tidak mendapat feedback.</t>
  </si>
  <si>
    <t>Lakukan refreshment care unit dan sosialisasi kriteria STOP/GO kepada seluruh user LV.</t>
  </si>
  <si>
    <t>GS-PLANT-SHE</t>
  </si>
  <si>
    <t>Kepedulian rendah karena tidak ada ownership unit dan kinerja pemeliharaan user tidak diukur.</t>
  </si>
  <si>
    <t>Tetapkan user/PIC tetap per LV, KPI compliance P2H, serta evaluasi bulanan per departemen.</t>
  </si>
  <si>
    <t>GS-HC-USER</t>
  </si>
  <si>
    <t>PIC LV belum konsisten menindaklanjuti temuan karena tidak ada daily control board dan forum eskalasi.</t>
  </si>
  <si>
    <t>Buat daily control board: status unit, temuan P2H, aging repair, kebutuhan part, dan PIC follow-up.</t>
  </si>
  <si>
    <t>GS-PIC LV</t>
  </si>
  <si>
    <t>Kualitas troubleshooting mekanik bervariasi dan repeat job belum menjadi bahan evaluasi.</t>
  </si>
  <si>
    <t>Review mingguan mekanik berdasarkan diagnosis time, repair time, repeat job, dan kualitas closing WO.</t>
  </si>
  <si>
    <t>PLANT-GS</t>
  </si>
  <si>
    <t>Kompetensi electrical, engine, brake, dan AC belum merata karena belum ada skill matrix LV.</t>
  </si>
  <si>
    <t>Susun skill matrix; lakukan coaching, pairing mekanik, dan evaluasi kompetensi per sistem.</t>
  </si>
  <si>
    <t>PLANT-SLD</t>
  </si>
  <si>
    <t>P2H menjadi formalitas karena checklist terlalu umum dan tidak memberi panduan gejala abnormal.</t>
  </si>
  <si>
    <t>Revisi checklist P2H dengan foto standar, item kritikal, klasifikasi temuan, dan bukti pemeriksaan.</t>
  </si>
  <si>
    <t>Temuan P2H tidak tertutup karena tidak ada SLA, prioritas risiko, dan verifikasi closing.</t>
  </si>
  <si>
    <t>Buat register temuan P2H dengan klasifikasi A/B/C, SLA, PIC, evidence, dan verifikasi closing.</t>
  </si>
  <si>
    <t>PM check tidak efektif karena hanya fokus penggantian periodik, belum berbasis kondisi unit.</t>
  </si>
  <si>
    <t>Tambahkan condition-based inspection saat PM: leak, brake, steering, suspension, electrical, tire, dan abnormal noise.</t>
  </si>
  <si>
    <t>PLANT</t>
  </si>
  <si>
    <t>Tidak ada inspeksi menyeluruh sehingga kerusakan laten baru diketahui saat breakdown.</t>
  </si>
  <si>
    <t>Laksanakan baseline comprehensive inspection seluruh LV dan keluarkan health score serta repair recommendation.</t>
  </si>
  <si>
    <t>Lead time repair panjang karena tidak ada jalur eskalasi berdasarkan aging.</t>
  </si>
  <si>
    <t>Terapkan SOP eskalasi repair &gt;24 jam, &gt;3 hari, &gt;7 hari dengan kebutuhan keputusan yang jelas.</t>
  </si>
  <si>
    <t>GS-PLANT-LOG</t>
  </si>
  <si>
    <t>Jadwal PM bentrok dengan kebutuhan operasi sehingga PM tertunda.</t>
  </si>
  <si>
    <t>Susun weekly maintenance window dan koordinasi unit replacement dengan user.</t>
  </si>
  <si>
    <t>GS-PLANT-USER</t>
  </si>
  <si>
    <t>Sebagian LV memiliki health score rendah akibat usia pakai dan backlog repair.</t>
  </si>
  <si>
    <t>Mapping health condition: fit, monitor, restricted, stop use; buat recovery plan per unit.</t>
  </si>
  <si>
    <t>Unit breakdown menekan PA karena tidak tersedia pool/standby sesuai kebutuhan kritikal.</t>
  </si>
  <si>
    <t>Hitung kebutuhan minimum unit dan usulkan standby/replacement berdasarkan utilization serta service level.</t>
  </si>
  <si>
    <t>GS-HO-OPS</t>
  </si>
  <si>
    <t>Diagnosis dan repair lambat karena tools/scanner belum lengkap atau tidak terkalibrasi.</t>
  </si>
  <si>
    <t>Inventarisasi dan lengkapi scanner, battery tester, pressure gauge, torque wrench, dan special tools.</t>
  </si>
  <si>
    <t>Kerusakan ban/suspensi berulang akibat unit tidak sesuai medan/rute.</t>
  </si>
  <si>
    <t>Review kesesuaian spesifikasi LV, tire type, payload, dan rute penggunaan per unit.</t>
  </si>
  <si>
    <t>GS-PLANT-OPS</t>
  </si>
  <si>
    <t>Fast moving part sering kosong karena min-max tidak berbasis konsumsi dan lead time.</t>
  </si>
  <si>
    <t>Analisis histori 12 bulan dan tetapkan min-max fast moving part LV per model.</t>
  </si>
  <si>
    <t>Critical part belum tersedia karena belum ada klasifikasi dampak terhadap PA.</t>
  </si>
  <si>
    <t>Susun critical spare list dan buffer stock untuk part berdampak tinggi terhadap PA.</t>
  </si>
  <si>
    <t>LOG-GS-PLANT</t>
  </si>
  <si>
    <t>Part urgent menunggu approval panjang karena alur non-budget tidak memiliki fast track.</t>
  </si>
  <si>
    <t>Usulkan batas otorisasi dan fast-track approval part urgent disertai kontrol penggunaan.</t>
  </si>
  <si>
    <t>GS-LOG-HO</t>
  </si>
  <si>
    <t>Part datang tidak sesuai karena identifikasi part number dan data unit tidak akurat.</t>
  </si>
  <si>
    <t>Validasi master unit, serial number, part book, serta proses double-check sebelum PR/PO.</t>
  </si>
  <si>
    <t>PA LV hanya dilihat sebagai angka akhir sehingga penyebab loss availability tidak terlihat.</t>
  </si>
  <si>
    <t>Buat dashboard PA per unit dan loss tree: unscheduled, PM, waiting part, waiting mechanic, repeat repair.</t>
  </si>
  <si>
    <t>Data P2H, PM, WO, downtime, dan part tersebar sehingga sulit dianalisis.</t>
  </si>
  <si>
    <t>Bangun database per LV yang menghubungkan P2H, PM, WO, downtime, part, biaya, dan closing.</t>
  </si>
  <si>
    <t>Jalan rusak, genangan, dan debu mempercepat kerusakan ban, suspensi, filter, serta underbody.</t>
  </si>
  <si>
    <t>Mapping hotspot kerusakan; koordinasikan road maintenance, dust control, dan inspeksi rute.</t>
  </si>
  <si>
    <t>GS-OPS-SHE</t>
  </si>
  <si>
    <t>Area parkir tidak tertata sehingga inspeksi dan kontrol status unit tidak konsisten.</t>
  </si>
  <si>
    <t>Bangun inspection point sederhana dengan penerangan, papan status, dan area karantina unit.</t>
  </si>
  <si>
    <t>GS-SHE</t>
  </si>
  <si>
    <t>Budaya kejar operasional menyebabkan unit dengan temuan tetap digunakan.</t>
  </si>
  <si>
    <t>Masukkan kepatuhan STOP/GO dan care unit dalam safety accountability meeting.</t>
  </si>
  <si>
    <t>GS-SHE-OPS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</si>
</sst>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21]dd\-mmm\-yy"/>
    <numFmt numFmtId="165" formatCode="[$-421]mmm\ yyyy"/>
    <numFmt numFmtId="166" formatCode="d"/>
    <numFmt numFmtId="167" formatCode="0.0%"/>
    <numFmt numFmtId="168" formatCode="d\-m\-yy"/>
  </numFmts>
  <fonts count="32" x14ac:knownFonts="1">
    <font>
      <sz val="11"/>
      <color theme="1"/>
      <name val="Calibri"/>
      <family val="2"/>
      <scheme val="minor"/>
    </font>
    <font>
      <sz val="10"/>
      <name val="Arial"/>
      <family val="2"/>
    </font>
    <font>
      <sz val="10"/>
      <name val="Calibri"/>
      <family val="2"/>
      <scheme val="minor"/>
    </font>
    <font>
      <b/>
      <sz val="12"/>
      <name val="Calibri"/>
      <family val="2"/>
      <scheme val="minor"/>
    </font>
    <font>
      <b/>
      <sz val="10"/>
      <color theme="0"/>
      <name val="Calibri"/>
      <family val="2"/>
      <scheme val="minor"/>
    </font>
    <font>
      <b/>
      <sz val="10"/>
      <name val="Calibri"/>
      <family val="2"/>
      <scheme val="minor"/>
    </font>
    <font>
      <b/>
      <i/>
      <sz val="10"/>
      <name val="Calibri"/>
      <family val="2"/>
      <scheme val="minor"/>
    </font>
    <font>
      <b/>
      <sz val="10"/>
      <color rgb="FFFF0000"/>
      <name val="Calibri"/>
      <family val="2"/>
      <scheme val="minor"/>
    </font>
    <font>
      <sz val="10"/>
      <color theme="1"/>
      <name val="Calibri"/>
      <family val="2"/>
      <scheme val="minor"/>
    </font>
    <font>
      <sz val="11"/>
      <color theme="1"/>
      <name val="Calibri"/>
      <family val="2"/>
      <scheme val="minor"/>
    </font>
    <font>
      <sz val="11"/>
      <color theme="1"/>
      <name val="Calibri"/>
      <family val="2"/>
      <charset val="1"/>
      <scheme val="minor"/>
    </font>
    <font>
      <sz val="8"/>
      <name val="Calibri"/>
      <family val="2"/>
      <scheme val="minor"/>
    </font>
    <font>
      <b/>
      <sz val="16"/>
      <color rgb="FFFFFFFF"/>
      <name val="Arial"/>
      <family val="2"/>
    </font>
    <font>
      <sz val="10"/>
      <color rgb="FF007BB8"/>
      <name val="Calibri"/>
      <family val="2"/>
      <scheme val="minor"/>
    </font>
    <font>
      <b/>
      <sz val="18"/>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0"/>
      <name val="Calibri"/>
      <family val="2"/>
      <scheme val="minor"/>
    </font>
    <font>
      <sz val="10"/>
      <color theme="0"/>
      <name val="Calibri"/>
      <family val="2"/>
      <scheme val="minor"/>
    </font>
    <font>
      <b/>
      <i/>
      <sz val="10"/>
      <color theme="0"/>
      <name val="Aptos Narrow"/>
      <family val="2"/>
    </font>
    <font>
      <b/>
      <sz val="12"/>
      <color theme="1"/>
      <name val="Calibri"/>
      <family val="2"/>
      <scheme val="minor"/>
    </font>
    <font>
      <b/>
      <sz val="12"/>
      <color theme="0"/>
      <name val="Calibri"/>
      <family val="2"/>
      <scheme val="minor"/>
    </font>
    <font>
      <sz val="11"/>
      <color theme="1"/>
      <name val="Bahnschrift SemiBold"/>
      <family val="2"/>
    </font>
    <font>
      <b/>
      <sz val="20"/>
      <color rgb="FF34495E"/>
      <name val="Bahnschrift SemiBold"/>
      <family val="2"/>
    </font>
    <font>
      <b/>
      <sz val="10"/>
      <color rgb="FF64748B"/>
      <name val="Calibri"/>
      <family val="2"/>
      <scheme val="minor"/>
    </font>
    <font>
      <sz val="10"/>
      <color rgb="FF4682B4"/>
      <name val="Bahnschrift Light Condensed"/>
      <family val="2"/>
    </font>
    <font>
      <sz val="11"/>
      <color rgb="FFFF0000"/>
      <name val="Calibri"/>
      <family val="2"/>
      <scheme val="minor"/>
    </font>
    <font>
      <b/>
      <sz val="14"/>
      <color rgb="FF595959"/>
      <name val="Bahnschrift Condensed"/>
      <family val="2"/>
    </font>
    <font>
      <b/>
      <sz val="10"/>
      <color theme="0"/>
      <name val="Aptos Narrow"/>
      <family val="2"/>
    </font>
    <font>
      <sz val="10"/>
      <color rgb="FFFF0000"/>
      <name val="Calibri"/>
      <family val="2"/>
      <scheme val="minor"/>
    </font>
    <font>
      <sz val="10"/>
      <color rgb="FFF39C12"/>
      <name val="Calibri"/>
      <family val="2"/>
      <scheme val="minor"/>
    </font>
  </fonts>
  <fills count="35">
    <fill>
      <patternFill patternType="none"/>
    </fill>
    <fill>
      <patternFill patternType="gray125"/>
    </fill>
    <fill>
      <patternFill patternType="solid">
        <fgColor theme="5"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249977111117893"/>
        <bgColor indexed="64"/>
      </patternFill>
    </fill>
    <fill>
      <patternFill patternType="solid">
        <fgColor rgb="FF17375E"/>
        <bgColor rgb="FF1F3864"/>
      </patternFill>
    </fill>
    <fill>
      <patternFill patternType="solid">
        <fgColor rgb="FFD6E4F7"/>
        <bgColor rgb="FFD6DCE4"/>
      </patternFill>
    </fill>
    <fill>
      <patternFill patternType="solid">
        <fgColor theme="9"/>
        <bgColor indexed="64"/>
      </patternFill>
    </fill>
    <fill>
      <patternFill patternType="solid">
        <fgColor theme="9" tint="-0.499984740745262"/>
        <bgColor indexed="64"/>
      </patternFill>
    </fill>
    <fill>
      <patternFill patternType="solid">
        <fgColor rgb="FF004F88"/>
        <bgColor indexed="64"/>
      </patternFill>
    </fill>
    <fill>
      <patternFill patternType="solid">
        <fgColor theme="1"/>
        <bgColor indexed="64"/>
      </patternFill>
    </fill>
    <fill>
      <patternFill patternType="solid">
        <fgColor theme="9" tint="0.7999816888943144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bgColor indexed="64"/>
      </patternFill>
    </fill>
    <fill>
      <patternFill patternType="solid">
        <fgColor theme="0" tint="-0.249977111117893"/>
        <bgColor indexed="64"/>
      </patternFill>
    </fill>
    <fill>
      <patternFill patternType="solid">
        <fgColor rgb="FF1E293B"/>
        <bgColor indexed="64"/>
      </patternFill>
    </fill>
    <fill>
      <patternFill patternType="solid">
        <fgColor rgb="FFF8FAFC"/>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rgb="FF85C1E9"/>
        <bgColor indexed="64"/>
      </patternFill>
    </fill>
    <fill>
      <patternFill patternType="solid">
        <fgColor rgb="FF27AE60"/>
        <bgColor indexed="64"/>
      </patternFill>
    </fill>
    <fill>
      <patternFill patternType="solid">
        <fgColor rgb="FFF39C12"/>
        <bgColor indexed="64"/>
      </patternFill>
    </fill>
    <fill>
      <patternFill patternType="solid">
        <fgColor rgb="FFF5B7B1"/>
        <bgColor indexed="64"/>
      </patternFill>
    </fill>
    <fill>
      <patternFill patternType="solid">
        <fgColor rgb="FFE74C3C"/>
        <bgColor indexed="64"/>
      </patternFill>
    </fill>
    <fill>
      <patternFill patternType="solid">
        <fgColor rgb="FFABEBC6"/>
        <bgColor indexed="64"/>
      </patternFill>
    </fill>
    <fill>
      <patternFill patternType="solid">
        <fgColor rgb="FFFACF8A"/>
        <bgColor indexed="64"/>
      </patternFill>
    </fill>
    <fill>
      <patternFill patternType="solid">
        <fgColor theme="0"/>
        <bgColor rgb="FFD6DCE4"/>
      </patternFill>
    </fill>
    <fill>
      <patternFill patternType="solid">
        <fgColor theme="4" tint="0.79998168889431442"/>
        <bgColor rgb="FFD6DCE4"/>
      </patternFill>
    </fill>
  </fills>
  <borders count="9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top style="thin">
        <color indexed="64"/>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style="medium">
        <color rgb="FF34495E"/>
      </left>
      <right/>
      <top style="medium">
        <color rgb="FF34495E"/>
      </top>
      <bottom/>
      <diagonal/>
    </border>
    <border>
      <left/>
      <right/>
      <top style="medium">
        <color rgb="FF34495E"/>
      </top>
      <bottom/>
      <diagonal/>
    </border>
    <border>
      <left/>
      <right style="medium">
        <color rgb="FF34495E"/>
      </right>
      <top style="medium">
        <color rgb="FF34495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34495E"/>
      </left>
      <right/>
      <top/>
      <bottom/>
      <diagonal/>
    </border>
    <border>
      <left/>
      <right style="medium">
        <color rgb="FF34495E"/>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style="hair">
        <color auto="1"/>
      </bottom>
      <diagonal/>
    </border>
    <border>
      <left style="medium">
        <color indexed="64"/>
      </left>
      <right style="medium">
        <color indexed="64"/>
      </right>
      <top style="hair">
        <color indexed="64"/>
      </top>
      <bottom style="hair">
        <color indexed="64"/>
      </bottom>
      <diagonal/>
    </border>
    <border>
      <left style="medium">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right style="medium">
        <color indexed="64"/>
      </right>
      <top style="hair">
        <color indexed="64"/>
      </top>
      <bottom style="hair">
        <color indexed="64"/>
      </bottom>
      <diagonal/>
    </border>
    <border>
      <left style="medium">
        <color auto="1"/>
      </left>
      <right style="medium">
        <color auto="1"/>
      </right>
      <top style="hair">
        <color auto="1"/>
      </top>
      <bottom/>
      <diagonal/>
    </border>
    <border>
      <left style="medium">
        <color auto="1"/>
      </left>
      <right style="medium">
        <color auto="1"/>
      </right>
      <top/>
      <bottom style="hair">
        <color auto="1"/>
      </bottom>
      <diagonal/>
    </border>
    <border>
      <left style="thin">
        <color theme="5"/>
      </left>
      <right style="thin">
        <color theme="5"/>
      </right>
      <top/>
      <bottom style="medium">
        <color theme="5"/>
      </bottom>
      <diagonal/>
    </border>
    <border>
      <left style="medium">
        <color theme="0" tint="-0.2499465926084170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tint="-0.24994659260841701"/>
      </right>
      <top style="medium">
        <color theme="0"/>
      </top>
      <bottom style="medium">
        <color theme="0"/>
      </bottom>
      <diagonal/>
    </border>
    <border>
      <left style="medium">
        <color theme="0" tint="-0.24994659260841701"/>
      </left>
      <right style="medium">
        <color theme="0"/>
      </right>
      <top style="medium">
        <color theme="0"/>
      </top>
      <bottom style="medium">
        <color theme="0" tint="-0.24994659260841701"/>
      </bottom>
      <diagonal/>
    </border>
    <border>
      <left style="medium">
        <color theme="0"/>
      </left>
      <right style="medium">
        <color theme="0"/>
      </right>
      <top style="medium">
        <color theme="0"/>
      </top>
      <bottom style="medium">
        <color theme="0" tint="-0.24994659260841701"/>
      </bottom>
      <diagonal/>
    </border>
    <border>
      <left style="medium">
        <color theme="0"/>
      </left>
      <right style="medium">
        <color theme="0" tint="-0.24994659260841701"/>
      </right>
      <top style="medium">
        <color theme="0"/>
      </top>
      <bottom style="medium">
        <color theme="0" tint="-0.24994659260841701"/>
      </bottom>
      <diagonal/>
    </border>
    <border>
      <left style="medium">
        <color theme="0" tint="-0.14993743705557422"/>
      </left>
      <right style="medium">
        <color theme="0"/>
      </right>
      <top style="medium">
        <color theme="0" tint="-0.14993743705557422"/>
      </top>
      <bottom style="medium">
        <color theme="0"/>
      </bottom>
      <diagonal/>
    </border>
    <border>
      <left style="medium">
        <color theme="0"/>
      </left>
      <right style="medium">
        <color theme="0"/>
      </right>
      <top style="medium">
        <color theme="0" tint="-0.14993743705557422"/>
      </top>
      <bottom style="medium">
        <color theme="0"/>
      </bottom>
      <diagonal/>
    </border>
    <border>
      <left style="medium">
        <color theme="0"/>
      </left>
      <right style="medium">
        <color theme="0" tint="-0.14993743705557422"/>
      </right>
      <top style="medium">
        <color theme="0" tint="-0.14993743705557422"/>
      </top>
      <bottom style="medium">
        <color theme="0"/>
      </bottom>
      <diagonal/>
    </border>
    <border>
      <left style="medium">
        <color theme="0" tint="-0.14993743705557422"/>
      </left>
      <right style="medium">
        <color theme="0"/>
      </right>
      <top style="medium">
        <color theme="0"/>
      </top>
      <bottom style="medium">
        <color theme="0"/>
      </bottom>
      <diagonal/>
    </border>
    <border>
      <left style="medium">
        <color theme="0"/>
      </left>
      <right style="medium">
        <color theme="0" tint="-0.14993743705557422"/>
      </right>
      <top style="medium">
        <color theme="0"/>
      </top>
      <bottom style="medium">
        <color theme="0"/>
      </bottom>
      <diagonal/>
    </border>
    <border>
      <left/>
      <right/>
      <top style="medium">
        <color rgb="FF34495E"/>
      </top>
      <bottom style="medium">
        <color rgb="FF34495E"/>
      </bottom>
      <diagonal/>
    </border>
    <border>
      <left style="medium">
        <color rgb="FF34495E"/>
      </left>
      <right/>
      <top/>
      <bottom style="medium">
        <color rgb="FF34495E"/>
      </bottom>
      <diagonal/>
    </border>
    <border>
      <left/>
      <right/>
      <top/>
      <bottom style="medium">
        <color rgb="FF34495E"/>
      </bottom>
      <diagonal/>
    </border>
    <border>
      <left/>
      <right style="medium">
        <color rgb="FF34495E"/>
      </right>
      <top/>
      <bottom style="medium">
        <color rgb="FF34495E"/>
      </bottom>
      <diagonal/>
    </border>
    <border>
      <left/>
      <right style="thin">
        <color indexed="64"/>
      </right>
      <top/>
      <bottom/>
      <diagonal/>
    </border>
    <border>
      <left/>
      <right/>
      <top/>
      <bottom style="thin">
        <color indexed="64"/>
      </bottom>
      <diagonal/>
    </border>
    <border>
      <left style="medium">
        <color theme="0" tint="-0.24994659260841701"/>
      </left>
      <right/>
      <top style="medium">
        <color theme="0"/>
      </top>
      <bottom style="medium">
        <color theme="0"/>
      </bottom>
      <diagonal/>
    </border>
    <border>
      <left/>
      <right/>
      <top style="medium">
        <color theme="0"/>
      </top>
      <bottom style="medium">
        <color theme="0"/>
      </bottom>
      <diagonal/>
    </border>
    <border>
      <left/>
      <right style="thin">
        <color indexed="64"/>
      </right>
      <top style="thin">
        <color indexed="64"/>
      </top>
      <bottom/>
      <diagonal/>
    </border>
    <border>
      <left/>
      <right style="medium">
        <color theme="0" tint="-0.24994659260841701"/>
      </right>
      <top style="medium">
        <color theme="0"/>
      </top>
      <bottom style="medium">
        <color theme="0"/>
      </bottom>
      <diagonal/>
    </border>
    <border>
      <left/>
      <right style="thin">
        <color theme="0"/>
      </right>
      <top style="thin">
        <color theme="0"/>
      </top>
      <bottom/>
      <diagonal/>
    </border>
    <border>
      <left style="medium">
        <color theme="0"/>
      </left>
      <right style="medium">
        <color theme="0" tint="-0.14990691854609822"/>
      </right>
      <top style="medium">
        <color theme="0"/>
      </top>
      <bottom style="medium">
        <color theme="0"/>
      </bottom>
      <diagonal/>
    </border>
    <border>
      <left style="medium">
        <color theme="0" tint="-0.24994659260841701"/>
      </left>
      <right style="medium">
        <color theme="0" tint="-0.24994659260841701"/>
      </right>
      <top style="medium">
        <color theme="0" tint="-0.24994659260841701"/>
      </top>
      <bottom style="medium">
        <color theme="0"/>
      </bottom>
      <diagonal/>
    </border>
    <border>
      <left style="medium">
        <color theme="0" tint="-0.14990691854609822"/>
      </left>
      <right style="medium">
        <color theme="0"/>
      </right>
      <top style="medium">
        <color theme="0" tint="-0.14990691854609822"/>
      </top>
      <bottom/>
      <diagonal/>
    </border>
    <border>
      <left style="medium">
        <color theme="0"/>
      </left>
      <right style="medium">
        <color theme="0"/>
      </right>
      <top style="medium">
        <color theme="0" tint="-0.14990691854609822"/>
      </top>
      <bottom/>
      <diagonal/>
    </border>
    <border>
      <left style="medium">
        <color theme="0"/>
      </left>
      <right style="medium">
        <color theme="0" tint="-0.14990691854609822"/>
      </right>
      <top style="medium">
        <color theme="0" tint="-0.14990691854609822"/>
      </top>
      <bottom/>
      <diagonal/>
    </border>
    <border>
      <left style="medium">
        <color theme="0" tint="-0.1498764000366222"/>
      </left>
      <right style="medium">
        <color theme="0"/>
      </right>
      <top style="medium">
        <color theme="0"/>
      </top>
      <bottom style="medium">
        <color theme="0"/>
      </bottom>
      <diagonal/>
    </border>
    <border>
      <left style="medium">
        <color theme="0" tint="-0.1498764000366222"/>
      </left>
      <right style="medium">
        <color theme="0"/>
      </right>
      <top style="medium">
        <color theme="0"/>
      </top>
      <bottom style="medium">
        <color theme="0" tint="-0.1498764000366222"/>
      </bottom>
      <diagonal/>
    </border>
    <border>
      <left style="medium">
        <color theme="0"/>
      </left>
      <right style="medium">
        <color theme="0"/>
      </right>
      <top style="medium">
        <color theme="0"/>
      </top>
      <bottom style="medium">
        <color theme="0" tint="-0.1498764000366222"/>
      </bottom>
      <diagonal/>
    </border>
    <border>
      <left style="medium">
        <color theme="0"/>
      </left>
      <right style="medium">
        <color theme="0" tint="-0.14990691854609822"/>
      </right>
      <top style="medium">
        <color theme="0"/>
      </top>
      <bottom style="medium">
        <color theme="0" tint="-0.1498764000366222"/>
      </bottom>
      <diagonal/>
    </border>
    <border>
      <left style="medium">
        <color theme="0" tint="-0.1498764000366222"/>
      </left>
      <right/>
      <top style="medium">
        <color theme="0" tint="-0.1498764000366222"/>
      </top>
      <bottom style="medium">
        <color theme="0"/>
      </bottom>
      <diagonal/>
    </border>
    <border>
      <left/>
      <right/>
      <top style="medium">
        <color theme="0" tint="-0.1498764000366222"/>
      </top>
      <bottom style="medium">
        <color theme="0"/>
      </bottom>
      <diagonal/>
    </border>
    <border>
      <left/>
      <right style="medium">
        <color theme="0"/>
      </right>
      <top style="medium">
        <color theme="0" tint="-0.1498764000366222"/>
      </top>
      <bottom style="medium">
        <color theme="0"/>
      </bottom>
      <diagonal/>
    </border>
  </borders>
  <cellStyleXfs count="5">
    <xf numFmtId="0" fontId="0" fillId="0" borderId="0"/>
    <xf numFmtId="0" fontId="1" fillId="0" borderId="0"/>
    <xf numFmtId="9" fontId="9" fillId="0" borderId="0" applyFont="0" applyFill="0" applyBorder="0" applyAlignment="0" applyProtection="0"/>
    <xf numFmtId="0" fontId="10" fillId="0" borderId="0"/>
    <xf numFmtId="9" fontId="9" fillId="0" borderId="0" applyFont="0" applyFill="0" applyBorder="0" applyAlignment="0" applyProtection="0"/>
  </cellStyleXfs>
  <cellXfs count="283">
    <xf numFmtId="0" fontId="0" fillId="0" borderId="0" xfId="0"/>
    <xf numFmtId="0" fontId="2" fillId="0" borderId="1"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horizontal="center" vertical="center"/>
    </xf>
    <xf numFmtId="0" fontId="2" fillId="0" borderId="2" xfId="1" applyFont="1" applyBorder="1" applyAlignment="1">
      <alignment vertical="center"/>
    </xf>
    <xf numFmtId="0" fontId="2" fillId="0" borderId="5" xfId="1" applyFont="1" applyBorder="1" applyAlignment="1">
      <alignment horizontal="left" vertical="center" wrapText="1" indent="1"/>
    </xf>
    <xf numFmtId="0" fontId="2" fillId="0" borderId="5" xfId="1" applyFont="1" applyBorder="1" applyAlignment="1">
      <alignment horizontal="center" vertical="center" wrapText="1"/>
    </xf>
    <xf numFmtId="0" fontId="2" fillId="0" borderId="8" xfId="1" applyFont="1" applyBorder="1" applyAlignment="1">
      <alignment vertical="center"/>
    </xf>
    <xf numFmtId="0" fontId="5" fillId="0" borderId="1" xfId="1" applyFont="1" applyBorder="1" applyAlignment="1">
      <alignment vertical="center"/>
    </xf>
    <xf numFmtId="0" fontId="7" fillId="0" borderId="5" xfId="1" applyFont="1" applyBorder="1" applyAlignment="1">
      <alignment horizontal="left" vertical="center" wrapText="1" indent="1"/>
    </xf>
    <xf numFmtId="0" fontId="8" fillId="0" borderId="5" xfId="1" applyFont="1" applyBorder="1" applyAlignment="1">
      <alignment horizontal="left" vertical="center" wrapText="1" indent="1"/>
    </xf>
    <xf numFmtId="0" fontId="3" fillId="0" borderId="4" xfId="1" applyFont="1" applyBorder="1" applyAlignment="1">
      <alignment horizontal="center" vertical="center"/>
    </xf>
    <xf numFmtId="0" fontId="2" fillId="0" borderId="9" xfId="1" applyFont="1" applyBorder="1" applyAlignment="1">
      <alignment vertical="center"/>
    </xf>
    <xf numFmtId="0" fontId="2" fillId="0" borderId="4" xfId="1" applyFont="1" applyBorder="1" applyAlignment="1">
      <alignment vertical="center"/>
    </xf>
    <xf numFmtId="0" fontId="5" fillId="3" borderId="5" xfId="1" applyFont="1" applyFill="1" applyBorder="1" applyAlignment="1">
      <alignment horizontal="center" vertical="center" wrapText="1"/>
    </xf>
    <xf numFmtId="0" fontId="2" fillId="0" borderId="1" xfId="1" applyFont="1" applyBorder="1" applyAlignment="1">
      <alignment horizontal="center" vertical="center"/>
    </xf>
    <xf numFmtId="16" fontId="5" fillId="0" borderId="10" xfId="1" applyNumberFormat="1" applyFont="1" applyBorder="1" applyAlignment="1">
      <alignment horizontal="center" vertical="center" wrapText="1"/>
    </xf>
    <xf numFmtId="0" fontId="2" fillId="0" borderId="8" xfId="1" applyFont="1" applyBorder="1" applyAlignment="1">
      <alignment horizontal="center" vertical="center"/>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2" fillId="0" borderId="6" xfId="1" applyFont="1" applyBorder="1" applyAlignment="1">
      <alignment horizontal="left" vertical="center" wrapText="1" indent="1"/>
    </xf>
    <xf numFmtId="16" fontId="6" fillId="0" borderId="5"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13" fillId="0" borderId="5" xfId="1" applyFont="1" applyBorder="1" applyAlignment="1">
      <alignment horizontal="center" vertical="center" wrapText="1"/>
    </xf>
    <xf numFmtId="0" fontId="2" fillId="0" borderId="3" xfId="1" applyFont="1" applyBorder="1" applyAlignment="1">
      <alignment vertical="center"/>
    </xf>
    <xf numFmtId="0" fontId="3" fillId="0" borderId="3" xfId="1" applyFont="1" applyBorder="1" applyAlignment="1">
      <alignment horizontal="center" vertical="center"/>
    </xf>
    <xf numFmtId="0" fontId="2" fillId="0" borderId="22" xfId="1" applyFont="1" applyBorder="1" applyAlignment="1">
      <alignment vertical="center"/>
    </xf>
    <xf numFmtId="0" fontId="2" fillId="0" borderId="21" xfId="1" applyFont="1" applyBorder="1" applyAlignment="1">
      <alignment horizontal="left" vertical="center"/>
    </xf>
    <xf numFmtId="0" fontId="2" fillId="0" borderId="25" xfId="1" applyFont="1" applyBorder="1" applyAlignment="1">
      <alignment horizontal="center" vertical="center"/>
    </xf>
    <xf numFmtId="0" fontId="2" fillId="0" borderId="21" xfId="1" applyFont="1" applyBorder="1" applyAlignment="1">
      <alignment horizontal="center" vertical="center"/>
    </xf>
    <xf numFmtId="0" fontId="2" fillId="3" borderId="0" xfId="1" applyFont="1" applyFill="1" applyAlignment="1">
      <alignment vertical="center"/>
    </xf>
    <xf numFmtId="0" fontId="0" fillId="3" borderId="0" xfId="0" applyFill="1"/>
    <xf numFmtId="9" fontId="2" fillId="3" borderId="0" xfId="1" applyNumberFormat="1" applyFont="1" applyFill="1" applyAlignment="1">
      <alignment horizontal="center" vertical="center"/>
    </xf>
    <xf numFmtId="0" fontId="2" fillId="3" borderId="4" xfId="1" applyFont="1" applyFill="1" applyBorder="1" applyAlignment="1">
      <alignment vertical="center"/>
    </xf>
    <xf numFmtId="0" fontId="2" fillId="3" borderId="0" xfId="1" applyFont="1" applyFill="1" applyAlignment="1">
      <alignment horizontal="center" vertical="center"/>
    </xf>
    <xf numFmtId="9" fontId="2" fillId="3" borderId="0" xfId="2" applyFont="1" applyFill="1" applyBorder="1" applyAlignment="1">
      <alignment horizontal="center" vertical="center"/>
    </xf>
    <xf numFmtId="0" fontId="2" fillId="3" borderId="2" xfId="1" applyFont="1" applyFill="1" applyBorder="1" applyAlignment="1">
      <alignment vertical="center"/>
    </xf>
    <xf numFmtId="0" fontId="2" fillId="3" borderId="1" xfId="1" applyFont="1" applyFill="1" applyBorder="1" applyAlignment="1">
      <alignment vertical="center"/>
    </xf>
    <xf numFmtId="0" fontId="2" fillId="3" borderId="8" xfId="1" applyFont="1" applyFill="1" applyBorder="1" applyAlignment="1">
      <alignment horizontal="center" vertical="center"/>
    </xf>
    <xf numFmtId="0" fontId="2" fillId="3" borderId="8" xfId="1" applyFont="1" applyFill="1" applyBorder="1" applyAlignment="1">
      <alignment vertical="center"/>
    </xf>
    <xf numFmtId="0" fontId="2" fillId="3" borderId="1" xfId="1" applyFont="1" applyFill="1" applyBorder="1" applyAlignment="1">
      <alignment horizontal="center" vertical="center"/>
    </xf>
    <xf numFmtId="0" fontId="2" fillId="3" borderId="9" xfId="1" applyFont="1" applyFill="1" applyBorder="1" applyAlignment="1">
      <alignment vertical="center"/>
    </xf>
    <xf numFmtId="0" fontId="5" fillId="3" borderId="1" xfId="1" applyFont="1" applyFill="1" applyBorder="1" applyAlignment="1">
      <alignment vertical="center"/>
    </xf>
    <xf numFmtId="0" fontId="2" fillId="3" borderId="28" xfId="1" applyFont="1" applyFill="1" applyBorder="1" applyAlignment="1">
      <alignment vertical="center"/>
    </xf>
    <xf numFmtId="0" fontId="2" fillId="3" borderId="13" xfId="1" applyFont="1" applyFill="1" applyBorder="1" applyAlignment="1">
      <alignment vertical="center"/>
    </xf>
    <xf numFmtId="0" fontId="2" fillId="3" borderId="16" xfId="1" applyFont="1" applyFill="1" applyBorder="1" applyAlignment="1">
      <alignment vertical="center"/>
    </xf>
    <xf numFmtId="0" fontId="2" fillId="3" borderId="11" xfId="1" applyFont="1" applyFill="1" applyBorder="1" applyAlignment="1">
      <alignment vertical="center"/>
    </xf>
    <xf numFmtId="0" fontId="2" fillId="3" borderId="12" xfId="1" applyFont="1" applyFill="1" applyBorder="1" applyAlignment="1">
      <alignment vertical="center"/>
    </xf>
    <xf numFmtId="0" fontId="18" fillId="10" borderId="21" xfId="1" applyFont="1" applyFill="1" applyBorder="1" applyAlignment="1">
      <alignment horizontal="left" vertical="center"/>
    </xf>
    <xf numFmtId="9" fontId="2" fillId="0" borderId="21" xfId="2" applyFont="1" applyBorder="1" applyAlignment="1">
      <alignment horizontal="center" vertical="center"/>
    </xf>
    <xf numFmtId="9" fontId="20" fillId="0" borderId="29" xfId="4" applyFont="1" applyBorder="1" applyAlignment="1">
      <alignment horizontal="center" vertical="center"/>
    </xf>
    <xf numFmtId="9" fontId="20" fillId="0" borderId="17" xfId="4" applyFont="1" applyBorder="1" applyAlignment="1">
      <alignment horizontal="center" vertical="center"/>
    </xf>
    <xf numFmtId="0" fontId="2" fillId="0" borderId="21" xfId="1" applyFont="1" applyBorder="1" applyAlignment="1">
      <alignment horizontal="center"/>
    </xf>
    <xf numFmtId="0" fontId="2" fillId="14" borderId="25" xfId="1" applyFont="1" applyFill="1" applyBorder="1" applyAlignment="1">
      <alignment horizontal="center" vertical="center"/>
    </xf>
    <xf numFmtId="0" fontId="2" fillId="14" borderId="21" xfId="1" applyFont="1" applyFill="1" applyBorder="1" applyAlignment="1">
      <alignment horizontal="center" vertical="center"/>
    </xf>
    <xf numFmtId="9" fontId="20" fillId="14" borderId="29" xfId="4" applyFont="1" applyFill="1" applyBorder="1" applyAlignment="1">
      <alignment horizontal="center" vertical="center"/>
    </xf>
    <xf numFmtId="9" fontId="2" fillId="14" borderId="21" xfId="2" applyFont="1" applyFill="1" applyBorder="1" applyAlignment="1">
      <alignment horizontal="center" vertical="center"/>
    </xf>
    <xf numFmtId="0" fontId="2" fillId="14" borderId="21" xfId="1" applyFont="1" applyFill="1" applyBorder="1" applyAlignment="1">
      <alignment horizontal="center"/>
    </xf>
    <xf numFmtId="0" fontId="2" fillId="0" borderId="14" xfId="1" applyFont="1" applyBorder="1" applyAlignment="1">
      <alignment horizontal="center" vertical="center" wrapText="1"/>
    </xf>
    <xf numFmtId="0" fontId="4" fillId="7" borderId="30" xfId="1" applyFont="1" applyFill="1" applyBorder="1" applyAlignment="1">
      <alignment horizontal="center" vertical="center"/>
    </xf>
    <xf numFmtId="0" fontId="4" fillId="7" borderId="7" xfId="1" applyFont="1" applyFill="1" applyBorder="1" applyAlignment="1">
      <alignment horizontal="center" vertical="center"/>
    </xf>
    <xf numFmtId="0" fontId="4" fillId="7" borderId="7" xfId="1" applyFont="1" applyFill="1" applyBorder="1" applyAlignment="1">
      <alignment horizontal="center" vertical="center" wrapText="1"/>
    </xf>
    <xf numFmtId="0" fontId="4" fillId="2" borderId="31" xfId="1" applyFont="1" applyFill="1" applyBorder="1" applyAlignment="1">
      <alignment horizontal="center" vertical="center" wrapText="1"/>
    </xf>
    <xf numFmtId="0" fontId="4" fillId="7" borderId="6" xfId="1" applyFont="1" applyFill="1" applyBorder="1" applyAlignment="1">
      <alignment vertical="center"/>
    </xf>
    <xf numFmtId="0" fontId="4" fillId="7" borderId="6" xfId="1" applyFont="1" applyFill="1" applyBorder="1" applyAlignment="1">
      <alignment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vertical="center" wrapText="1"/>
    </xf>
    <xf numFmtId="1" fontId="5" fillId="0" borderId="5" xfId="1" applyNumberFormat="1" applyFont="1" applyBorder="1" applyAlignment="1">
      <alignment horizontal="center" vertical="center" wrapText="1"/>
    </xf>
    <xf numFmtId="9" fontId="0" fillId="0" borderId="0" xfId="2" applyFont="1"/>
    <xf numFmtId="10" fontId="0" fillId="0" borderId="0" xfId="2" applyNumberFormat="1" applyFont="1"/>
    <xf numFmtId="0" fontId="0" fillId="0" borderId="0" xfId="0" applyAlignment="1">
      <alignment horizontal="center"/>
    </xf>
    <xf numFmtId="1" fontId="0" fillId="0" borderId="0" xfId="2" applyNumberFormat="1" applyFont="1"/>
    <xf numFmtId="164" fontId="2" fillId="0" borderId="0" xfId="1" applyNumberFormat="1" applyFont="1" applyAlignment="1">
      <alignment horizontal="center" vertical="center" wrapText="1"/>
    </xf>
    <xf numFmtId="1" fontId="2" fillId="0" borderId="0" xfId="1" applyNumberFormat="1" applyFont="1" applyAlignment="1">
      <alignment horizontal="center" vertical="center" wrapText="1"/>
    </xf>
    <xf numFmtId="0" fontId="17" fillId="0" borderId="0" xfId="0" applyFont="1" applyAlignment="1">
      <alignment horizontal="center" vertical="center"/>
    </xf>
    <xf numFmtId="164" fontId="19" fillId="0" borderId="0" xfId="1" applyNumberFormat="1" applyFont="1" applyAlignment="1">
      <alignment horizontal="center" vertical="center" wrapText="1"/>
    </xf>
    <xf numFmtId="168" fontId="0" fillId="0" borderId="0" xfId="0" applyNumberFormat="1"/>
    <xf numFmtId="9" fontId="0" fillId="0" borderId="0" xfId="0" applyNumberFormat="1"/>
    <xf numFmtId="0" fontId="0" fillId="10" borderId="5" xfId="0" applyFill="1" applyBorder="1"/>
    <xf numFmtId="166" fontId="21" fillId="10" borderId="5" xfId="0" applyNumberFormat="1" applyFont="1" applyFill="1" applyBorder="1" applyAlignment="1">
      <alignment horizontal="center" vertical="center"/>
    </xf>
    <xf numFmtId="10" fontId="2" fillId="0" borderId="0" xfId="1" applyNumberFormat="1" applyFont="1" applyAlignment="1">
      <alignment horizontal="center" vertical="center" wrapText="1"/>
    </xf>
    <xf numFmtId="0" fontId="0" fillId="16" borderId="33" xfId="0" applyFill="1" applyBorder="1" applyAlignment="1">
      <alignment horizontal="center"/>
    </xf>
    <xf numFmtId="9" fontId="0" fillId="3" borderId="0" xfId="0" applyNumberFormat="1" applyFill="1" applyAlignment="1">
      <alignment horizontal="center"/>
    </xf>
    <xf numFmtId="9" fontId="0" fillId="3" borderId="0" xfId="0" applyNumberFormat="1" applyFill="1"/>
    <xf numFmtId="0" fontId="15" fillId="15" borderId="35" xfId="0" applyFont="1" applyFill="1" applyBorder="1" applyAlignment="1">
      <alignment horizontal="center" vertical="center"/>
    </xf>
    <xf numFmtId="0" fontId="15" fillId="15" borderId="34" xfId="0" applyFont="1" applyFill="1" applyBorder="1" applyAlignment="1">
      <alignment horizontal="center" vertical="center"/>
    </xf>
    <xf numFmtId="166" fontId="22" fillId="13" borderId="7"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3" fillId="18" borderId="36" xfId="0" applyFont="1" applyFill="1" applyBorder="1"/>
    <xf numFmtId="0" fontId="24" fillId="18" borderId="37" xfId="0" applyFont="1" applyFill="1" applyBorder="1"/>
    <xf numFmtId="0" fontId="23" fillId="18" borderId="37" xfId="0" applyFont="1" applyFill="1" applyBorder="1"/>
    <xf numFmtId="0" fontId="23" fillId="18" borderId="38" xfId="0" applyFont="1" applyFill="1" applyBorder="1"/>
    <xf numFmtId="0" fontId="23" fillId="0" borderId="0" xfId="0" applyFont="1"/>
    <xf numFmtId="0" fontId="23" fillId="18" borderId="42" xfId="0" applyFont="1" applyFill="1" applyBorder="1"/>
    <xf numFmtId="0" fontId="23" fillId="18" borderId="0" xfId="0" applyFont="1" applyFill="1"/>
    <xf numFmtId="0" fontId="23" fillId="18" borderId="43" xfId="0" applyFont="1" applyFill="1" applyBorder="1"/>
    <xf numFmtId="16" fontId="5" fillId="0" borderId="32" xfId="1" applyNumberFormat="1" applyFont="1" applyBorder="1" applyAlignment="1">
      <alignment horizontal="center" vertical="center" wrapText="1"/>
    </xf>
    <xf numFmtId="0" fontId="0" fillId="19" borderId="18" xfId="0" applyFill="1" applyBorder="1" applyAlignment="1">
      <alignment horizontal="center"/>
    </xf>
    <xf numFmtId="0" fontId="0" fillId="4" borderId="49" xfId="0" applyFill="1" applyBorder="1" applyAlignment="1">
      <alignment horizontal="center"/>
    </xf>
    <xf numFmtId="10" fontId="0" fillId="4" borderId="49" xfId="2" applyNumberFormat="1" applyFont="1" applyFill="1" applyBorder="1" applyAlignment="1">
      <alignment horizontal="center"/>
    </xf>
    <xf numFmtId="0" fontId="0" fillId="0" borderId="50" xfId="0" applyBorder="1" applyAlignment="1">
      <alignment horizontal="center"/>
    </xf>
    <xf numFmtId="10" fontId="0" fillId="0" borderId="50" xfId="2" applyNumberFormat="1" applyFont="1" applyFill="1" applyBorder="1" applyAlignment="1">
      <alignment horizontal="center"/>
    </xf>
    <xf numFmtId="0" fontId="0" fillId="4" borderId="50" xfId="0" applyFill="1" applyBorder="1" applyAlignment="1">
      <alignment horizontal="center"/>
    </xf>
    <xf numFmtId="0" fontId="0" fillId="0" borderId="51" xfId="0" applyBorder="1" applyAlignment="1">
      <alignment horizontal="center"/>
    </xf>
    <xf numFmtId="0" fontId="0" fillId="4" borderId="52" xfId="0" applyFill="1" applyBorder="1" applyAlignment="1">
      <alignment horizontal="center"/>
    </xf>
    <xf numFmtId="0" fontId="0" fillId="0" borderId="53" xfId="0" applyBorder="1" applyAlignment="1">
      <alignment horizontal="center"/>
    </xf>
    <xf numFmtId="0" fontId="0" fillId="4" borderId="53" xfId="0" applyFill="1" applyBorder="1" applyAlignment="1">
      <alignment horizontal="center"/>
    </xf>
    <xf numFmtId="0" fontId="0" fillId="19" borderId="39" xfId="0" applyFill="1" applyBorder="1" applyAlignment="1">
      <alignment horizontal="center"/>
    </xf>
    <xf numFmtId="0" fontId="0" fillId="19" borderId="18" xfId="0" applyFill="1" applyBorder="1"/>
    <xf numFmtId="0" fontId="0" fillId="19" borderId="20" xfId="0" applyFill="1" applyBorder="1"/>
    <xf numFmtId="0" fontId="0" fillId="19" borderId="17" xfId="0" applyFill="1" applyBorder="1" applyAlignment="1">
      <alignment horizontal="center"/>
    </xf>
    <xf numFmtId="0" fontId="0" fillId="0" borderId="54" xfId="0" applyBorder="1" applyAlignment="1">
      <alignment horizontal="center"/>
    </xf>
    <xf numFmtId="0" fontId="0" fillId="4" borderId="55" xfId="0" applyFill="1" applyBorder="1" applyAlignment="1">
      <alignment horizontal="center"/>
    </xf>
    <xf numFmtId="0" fontId="24" fillId="18" borderId="0" xfId="0" applyFont="1" applyFill="1"/>
    <xf numFmtId="0" fontId="0" fillId="7" borderId="18" xfId="0" applyFill="1" applyBorder="1"/>
    <xf numFmtId="0" fontId="0" fillId="7" borderId="19" xfId="0" applyFill="1" applyBorder="1"/>
    <xf numFmtId="0" fontId="0" fillId="7" borderId="20" xfId="0" applyFill="1" applyBorder="1"/>
    <xf numFmtId="0" fontId="0" fillId="7" borderId="17" xfId="0" applyFill="1" applyBorder="1" applyAlignment="1">
      <alignment horizontal="center" vertical="center"/>
    </xf>
    <xf numFmtId="0" fontId="0" fillId="7" borderId="20" xfId="0" applyFill="1" applyBorder="1" applyAlignment="1">
      <alignment horizontal="center" vertical="center"/>
    </xf>
    <xf numFmtId="0" fontId="0" fillId="7" borderId="17" xfId="0" applyFill="1" applyBorder="1"/>
    <xf numFmtId="0" fontId="0" fillId="4" borderId="49" xfId="0" applyFill="1" applyBorder="1" applyAlignment="1">
      <alignment horizontal="center" vertical="center"/>
    </xf>
    <xf numFmtId="10" fontId="0" fillId="4" borderId="49" xfId="2" applyNumberFormat="1" applyFont="1" applyFill="1" applyBorder="1" applyAlignment="1">
      <alignment horizontal="center" vertical="center"/>
    </xf>
    <xf numFmtId="0" fontId="0" fillId="0" borderId="50" xfId="0" applyBorder="1" applyAlignment="1">
      <alignment horizontal="center" vertical="center"/>
    </xf>
    <xf numFmtId="10" fontId="0" fillId="0" borderId="50" xfId="2" applyNumberFormat="1" applyFont="1" applyBorder="1" applyAlignment="1">
      <alignment horizontal="center" vertical="center"/>
    </xf>
    <xf numFmtId="0" fontId="0" fillId="4" borderId="50" xfId="0" applyFill="1" applyBorder="1" applyAlignment="1">
      <alignment horizontal="center" vertical="center"/>
    </xf>
    <xf numFmtId="10" fontId="0" fillId="4" borderId="50" xfId="2" applyNumberFormat="1" applyFont="1" applyFill="1" applyBorder="1" applyAlignment="1">
      <alignment horizontal="center" vertical="center"/>
    </xf>
    <xf numFmtId="10" fontId="0" fillId="4" borderId="50" xfId="0" applyNumberFormat="1" applyFill="1" applyBorder="1" applyAlignment="1">
      <alignment horizontal="center" vertical="center"/>
    </xf>
    <xf numFmtId="10" fontId="0" fillId="0" borderId="50" xfId="0" applyNumberFormat="1" applyBorder="1" applyAlignment="1">
      <alignment horizontal="center" vertical="center"/>
    </xf>
    <xf numFmtId="0" fontId="0" fillId="4" borderId="51" xfId="0" applyFill="1" applyBorder="1" applyAlignment="1">
      <alignment horizontal="center" vertical="center"/>
    </xf>
    <xf numFmtId="167" fontId="0" fillId="4" borderId="49" xfId="2" applyNumberFormat="1" applyFont="1" applyFill="1" applyBorder="1" applyAlignment="1">
      <alignment horizontal="center" vertical="center"/>
    </xf>
    <xf numFmtId="167" fontId="0" fillId="0" borderId="50" xfId="2" applyNumberFormat="1" applyFont="1" applyBorder="1" applyAlignment="1">
      <alignment horizontal="center" vertical="center"/>
    </xf>
    <xf numFmtId="167" fontId="0" fillId="4" borderId="50" xfId="2" applyNumberFormat="1" applyFont="1" applyFill="1" applyBorder="1" applyAlignment="1">
      <alignment horizontal="center" vertical="center"/>
    </xf>
    <xf numFmtId="167" fontId="0" fillId="4" borderId="51" xfId="2" applyNumberFormat="1" applyFont="1" applyFill="1" applyBorder="1" applyAlignment="1">
      <alignment horizontal="center" vertical="center"/>
    </xf>
    <xf numFmtId="0" fontId="23" fillId="20" borderId="39" xfId="0" applyFont="1" applyFill="1" applyBorder="1"/>
    <xf numFmtId="0" fontId="23" fillId="20" borderId="40" xfId="0" applyFont="1" applyFill="1" applyBorder="1"/>
    <xf numFmtId="0" fontId="23" fillId="20" borderId="41" xfId="0" applyFont="1" applyFill="1" applyBorder="1"/>
    <xf numFmtId="0" fontId="23" fillId="20" borderId="44" xfId="0" applyFont="1" applyFill="1" applyBorder="1"/>
    <xf numFmtId="0" fontId="23" fillId="20" borderId="0" xfId="0" applyFont="1" applyFill="1"/>
    <xf numFmtId="0" fontId="23" fillId="20" borderId="45" xfId="0" applyFont="1" applyFill="1" applyBorder="1"/>
    <xf numFmtId="0" fontId="23" fillId="20" borderId="46" xfId="0" applyFont="1" applyFill="1" applyBorder="1"/>
    <xf numFmtId="0" fontId="23" fillId="20" borderId="47" xfId="0" applyFont="1" applyFill="1" applyBorder="1"/>
    <xf numFmtId="0" fontId="23" fillId="20" borderId="48" xfId="0" applyFont="1" applyFill="1" applyBorder="1"/>
    <xf numFmtId="1" fontId="0" fillId="0" borderId="0" xfId="0" applyNumberFormat="1"/>
    <xf numFmtId="10" fontId="0" fillId="0" borderId="0" xfId="0" applyNumberFormat="1"/>
    <xf numFmtId="10" fontId="0" fillId="0" borderId="0" xfId="2" applyNumberFormat="1" applyFont="1" applyFill="1"/>
    <xf numFmtId="9" fontId="0" fillId="0" borderId="0" xfId="2" applyFont="1" applyFill="1" applyBorder="1"/>
    <xf numFmtId="1" fontId="0" fillId="0" borderId="0" xfId="2" applyNumberFormat="1" applyFont="1" applyFill="1" applyBorder="1"/>
    <xf numFmtId="10" fontId="0" fillId="0" borderId="0" xfId="2" applyNumberFormat="1" applyFont="1" applyFill="1" applyBorder="1"/>
    <xf numFmtId="0" fontId="16" fillId="0" borderId="34" xfId="0" applyFont="1" applyBorder="1"/>
    <xf numFmtId="0" fontId="16" fillId="0" borderId="34" xfId="0" applyFont="1" applyBorder="1" applyAlignment="1">
      <alignment horizontal="center"/>
    </xf>
    <xf numFmtId="16" fontId="2" fillId="0" borderId="3" xfId="1" applyNumberFormat="1" applyFont="1" applyBorder="1" applyAlignment="1">
      <alignment vertical="center"/>
    </xf>
    <xf numFmtId="1" fontId="2" fillId="0" borderId="3" xfId="1" applyNumberFormat="1" applyFont="1" applyBorder="1" applyAlignment="1">
      <alignment horizontal="center" vertical="center"/>
    </xf>
    <xf numFmtId="166" fontId="25" fillId="22" borderId="57" xfId="1" applyNumberFormat="1" applyFont="1" applyFill="1" applyBorder="1" applyAlignment="1">
      <alignment horizontal="center" vertical="center"/>
    </xf>
    <xf numFmtId="166" fontId="25" fillId="22" borderId="58" xfId="1" applyNumberFormat="1" applyFont="1" applyFill="1" applyBorder="1" applyAlignment="1">
      <alignment horizontal="center" vertical="center"/>
    </xf>
    <xf numFmtId="166" fontId="25" fillId="22" borderId="59" xfId="1" applyNumberFormat="1" applyFont="1" applyFill="1" applyBorder="1" applyAlignment="1">
      <alignment horizontal="center" vertical="center"/>
    </xf>
    <xf numFmtId="9" fontId="26" fillId="0" borderId="57" xfId="2" applyFont="1" applyBorder="1" applyAlignment="1">
      <alignment horizontal="center" vertical="center"/>
    </xf>
    <xf numFmtId="9" fontId="26" fillId="0" borderId="58" xfId="2" applyFont="1" applyBorder="1" applyAlignment="1">
      <alignment horizontal="center" vertical="center"/>
    </xf>
    <xf numFmtId="9" fontId="26" fillId="0" borderId="59" xfId="2" applyFont="1" applyBorder="1" applyAlignment="1">
      <alignment horizontal="center" vertical="center"/>
    </xf>
    <xf numFmtId="9" fontId="26" fillId="0" borderId="60" xfId="2" applyFont="1" applyBorder="1" applyAlignment="1">
      <alignment horizontal="center" vertical="center"/>
    </xf>
    <xf numFmtId="9" fontId="26" fillId="0" borderId="61" xfId="2" applyFont="1" applyBorder="1" applyAlignment="1">
      <alignment horizontal="center" vertical="center"/>
    </xf>
    <xf numFmtId="9" fontId="26" fillId="0" borderId="62" xfId="2" applyFont="1" applyBorder="1" applyAlignment="1">
      <alignment horizontal="center" vertical="center"/>
    </xf>
    <xf numFmtId="9" fontId="5" fillId="0" borderId="58" xfId="2" applyFont="1" applyBorder="1" applyAlignment="1">
      <alignment horizontal="center" vertical="center"/>
    </xf>
    <xf numFmtId="0" fontId="0" fillId="0" borderId="5" xfId="0" applyBorder="1" applyAlignment="1">
      <alignment horizontal="center" vertical="center"/>
    </xf>
    <xf numFmtId="0" fontId="2" fillId="27" borderId="1" xfId="1" applyFont="1" applyFill="1" applyBorder="1" applyAlignment="1">
      <alignment vertical="center"/>
    </xf>
    <xf numFmtId="0" fontId="2" fillId="31" borderId="1" xfId="1" applyFont="1" applyFill="1" applyBorder="1" applyAlignment="1">
      <alignment vertical="center"/>
    </xf>
    <xf numFmtId="0" fontId="2" fillId="26" borderId="1" xfId="1" applyFont="1" applyFill="1" applyBorder="1" applyAlignment="1">
      <alignment vertical="center"/>
    </xf>
    <xf numFmtId="0" fontId="2" fillId="30" borderId="1" xfId="1" applyFont="1" applyFill="1" applyBorder="1" applyAlignment="1">
      <alignment vertical="center"/>
    </xf>
    <xf numFmtId="0" fontId="2" fillId="29" borderId="1" xfId="1" applyFont="1" applyFill="1" applyBorder="1" applyAlignment="1">
      <alignment vertical="center"/>
    </xf>
    <xf numFmtId="0" fontId="27" fillId="3" borderId="0" xfId="0" applyFont="1" applyFill="1"/>
    <xf numFmtId="0" fontId="30" fillId="3" borderId="0" xfId="1" applyFont="1" applyFill="1" applyAlignment="1">
      <alignment vertical="center"/>
    </xf>
    <xf numFmtId="0" fontId="30" fillId="3" borderId="0" xfId="1" applyFont="1" applyFill="1" applyAlignment="1">
      <alignment horizontal="center" vertical="center"/>
    </xf>
    <xf numFmtId="0" fontId="30" fillId="3" borderId="4" xfId="1" applyFont="1" applyFill="1" applyBorder="1" applyAlignment="1">
      <alignment vertical="center"/>
    </xf>
    <xf numFmtId="0" fontId="30" fillId="3" borderId="1" xfId="1" applyFont="1" applyFill="1" applyBorder="1" applyAlignment="1">
      <alignment vertical="center"/>
    </xf>
    <xf numFmtId="0" fontId="2" fillId="13" borderId="9" xfId="1" applyFont="1" applyFill="1" applyBorder="1" applyAlignment="1">
      <alignment horizontal="center" vertical="center"/>
    </xf>
    <xf numFmtId="0" fontId="2" fillId="25" borderId="9" xfId="1" applyFont="1" applyFill="1" applyBorder="1" applyAlignment="1">
      <alignment vertical="center"/>
    </xf>
    <xf numFmtId="0" fontId="2" fillId="24" borderId="9" xfId="1" applyFont="1" applyFill="1" applyBorder="1" applyAlignment="1">
      <alignment vertical="center"/>
    </xf>
    <xf numFmtId="9" fontId="2" fillId="0" borderId="9" xfId="1" applyNumberFormat="1" applyFont="1" applyBorder="1" applyAlignment="1">
      <alignment vertical="center"/>
    </xf>
    <xf numFmtId="0" fontId="2" fillId="6" borderId="9" xfId="1" applyFont="1" applyFill="1" applyBorder="1" applyAlignment="1">
      <alignment vertical="center"/>
    </xf>
    <xf numFmtId="0" fontId="2" fillId="32" borderId="1" xfId="1" applyFont="1" applyFill="1" applyBorder="1" applyAlignment="1">
      <alignment vertical="center"/>
    </xf>
    <xf numFmtId="0" fontId="31" fillId="28" borderId="1" xfId="1" applyFont="1" applyFill="1" applyBorder="1" applyAlignment="1">
      <alignment vertical="center"/>
    </xf>
    <xf numFmtId="0" fontId="2" fillId="5" borderId="9" xfId="1" applyFont="1" applyFill="1" applyBorder="1" applyAlignment="1">
      <alignment vertical="center"/>
    </xf>
    <xf numFmtId="0" fontId="23" fillId="0" borderId="68" xfId="0" applyFont="1" applyBorder="1"/>
    <xf numFmtId="0" fontId="23" fillId="18" borderId="69" xfId="0" applyFont="1" applyFill="1" applyBorder="1"/>
    <xf numFmtId="0" fontId="23" fillId="18" borderId="70" xfId="0" applyFont="1" applyFill="1" applyBorder="1"/>
    <xf numFmtId="0" fontId="23" fillId="18" borderId="71" xfId="0" applyFont="1" applyFill="1" applyBorder="1"/>
    <xf numFmtId="0" fontId="0" fillId="0" borderId="5" xfId="0" applyBorder="1" applyAlignment="1">
      <alignment horizontal="center"/>
    </xf>
    <xf numFmtId="0" fontId="2" fillId="0" borderId="4" xfId="1" applyFont="1" applyBorder="1" applyAlignment="1">
      <alignment horizontal="center" vertical="center"/>
    </xf>
    <xf numFmtId="0" fontId="4" fillId="2" borderId="72" xfId="1" applyFont="1" applyFill="1" applyBorder="1" applyAlignment="1">
      <alignment horizontal="center" vertical="center" wrapText="1"/>
    </xf>
    <xf numFmtId="9" fontId="4" fillId="0" borderId="5" xfId="1" applyNumberFormat="1" applyFont="1" applyBorder="1" applyAlignment="1">
      <alignment horizontal="center" vertical="center" wrapText="1"/>
    </xf>
    <xf numFmtId="0" fontId="0" fillId="0" borderId="5" xfId="0" applyBorder="1"/>
    <xf numFmtId="0" fontId="0" fillId="17" borderId="5" xfId="0" applyFill="1" applyBorder="1" applyAlignment="1">
      <alignment horizontal="center"/>
    </xf>
    <xf numFmtId="167" fontId="0" fillId="17" borderId="5" xfId="0" applyNumberFormat="1" applyFill="1" applyBorder="1" applyAlignment="1">
      <alignment horizontal="center"/>
    </xf>
    <xf numFmtId="167" fontId="0" fillId="0" borderId="5" xfId="0" applyNumberFormat="1" applyBorder="1" applyAlignment="1">
      <alignment horizontal="center" vertical="center"/>
    </xf>
    <xf numFmtId="167" fontId="0" fillId="0" borderId="0" xfId="2" applyNumberFormat="1" applyFont="1"/>
    <xf numFmtId="1" fontId="0" fillId="0" borderId="0" xfId="2" applyNumberFormat="1" applyFont="1" applyFill="1"/>
    <xf numFmtId="0" fontId="16" fillId="0" borderId="56" xfId="0" applyFont="1" applyBorder="1"/>
    <xf numFmtId="1" fontId="16" fillId="0" borderId="56" xfId="2" applyNumberFormat="1" applyFont="1" applyFill="1" applyBorder="1"/>
    <xf numFmtId="1" fontId="0" fillId="0" borderId="0" xfId="0" applyNumberFormat="1" applyAlignment="1">
      <alignment wrapText="1"/>
    </xf>
    <xf numFmtId="10" fontId="0" fillId="0" borderId="0" xfId="0" applyNumberFormat="1" applyAlignment="1">
      <alignment wrapText="1"/>
    </xf>
    <xf numFmtId="167" fontId="0" fillId="0" borderId="0" xfId="2" applyNumberFormat="1" applyFont="1" applyAlignment="1">
      <alignment wrapText="1"/>
    </xf>
    <xf numFmtId="167" fontId="0" fillId="0" borderId="0" xfId="0" applyNumberFormat="1"/>
    <xf numFmtId="0" fontId="23" fillId="0" borderId="70" xfId="0" applyFont="1" applyBorder="1"/>
    <xf numFmtId="0" fontId="5" fillId="3" borderId="10" xfId="0" applyFont="1" applyFill="1" applyBorder="1" applyAlignment="1">
      <alignment horizontal="left" vertical="center"/>
    </xf>
    <xf numFmtId="0" fontId="5" fillId="3" borderId="15" xfId="0" applyFont="1" applyFill="1" applyBorder="1" applyAlignment="1">
      <alignment horizontal="left" vertical="center"/>
    </xf>
    <xf numFmtId="0" fontId="5" fillId="3" borderId="14" xfId="0" applyFont="1" applyFill="1" applyBorder="1" applyAlignment="1">
      <alignment horizontal="left" vertical="center"/>
    </xf>
    <xf numFmtId="0" fontId="5" fillId="33" borderId="15" xfId="0" applyFont="1" applyFill="1" applyBorder="1" applyAlignment="1">
      <alignment vertical="center" wrapText="1"/>
    </xf>
    <xf numFmtId="0" fontId="5" fillId="33" borderId="14" xfId="0" applyFont="1" applyFill="1" applyBorder="1" applyAlignment="1">
      <alignment vertical="center" wrapText="1"/>
    </xf>
    <xf numFmtId="9" fontId="0" fillId="0" borderId="5" xfId="0" applyNumberFormat="1" applyBorder="1"/>
    <xf numFmtId="165" fontId="22" fillId="21" borderId="74" xfId="1" applyNumberFormat="1" applyFont="1" applyFill="1" applyBorder="1" applyAlignment="1">
      <alignment vertical="center"/>
    </xf>
    <xf numFmtId="165" fontId="22" fillId="21" borderId="75" xfId="1" applyNumberFormat="1" applyFont="1" applyFill="1" applyBorder="1" applyAlignment="1">
      <alignment vertical="center"/>
    </xf>
    <xf numFmtId="0" fontId="5" fillId="34" borderId="15" xfId="0" applyFont="1" applyFill="1" applyBorder="1" applyAlignment="1">
      <alignment vertical="center" wrapText="1"/>
    </xf>
    <xf numFmtId="0" fontId="5" fillId="34" borderId="14" xfId="0" applyFont="1" applyFill="1" applyBorder="1" applyAlignment="1">
      <alignment vertical="center" wrapText="1"/>
    </xf>
    <xf numFmtId="14" fontId="19" fillId="3" borderId="0" xfId="1" applyNumberFormat="1" applyFont="1" applyFill="1" applyAlignment="1">
      <alignment vertical="center"/>
    </xf>
    <xf numFmtId="14" fontId="2" fillId="0" borderId="1" xfId="1" applyNumberFormat="1" applyFont="1" applyBorder="1" applyAlignment="1">
      <alignment vertical="center"/>
    </xf>
    <xf numFmtId="165" fontId="22" fillId="21" borderId="77" xfId="1" applyNumberFormat="1" applyFont="1" applyFill="1" applyBorder="1" applyAlignment="1">
      <alignment vertical="center"/>
    </xf>
    <xf numFmtId="0" fontId="2" fillId="0" borderId="9" xfId="1" applyFont="1" applyBorder="1" applyAlignment="1">
      <alignment horizontal="center" vertical="center"/>
    </xf>
    <xf numFmtId="0" fontId="2" fillId="0" borderId="78" xfId="1" applyFont="1" applyBorder="1" applyAlignment="1">
      <alignment vertical="center"/>
    </xf>
    <xf numFmtId="9" fontId="5" fillId="0" borderId="79" xfId="2" applyFont="1" applyBorder="1" applyAlignment="1">
      <alignment horizontal="center" vertical="center"/>
    </xf>
    <xf numFmtId="9" fontId="29" fillId="0" borderId="66" xfId="4" applyFont="1" applyBorder="1" applyAlignment="1">
      <alignment horizontal="center" vertical="center"/>
    </xf>
    <xf numFmtId="9" fontId="29" fillId="0" borderId="58" xfId="4" applyFont="1" applyBorder="1" applyAlignment="1">
      <alignment horizontal="center" vertical="center"/>
    </xf>
    <xf numFmtId="9" fontId="29" fillId="0" borderId="67" xfId="4" applyFont="1" applyBorder="1" applyAlignment="1">
      <alignment horizontal="center" vertical="center"/>
    </xf>
    <xf numFmtId="14" fontId="8" fillId="3" borderId="0" xfId="1" applyNumberFormat="1" applyFont="1" applyFill="1" applyAlignment="1">
      <alignment vertical="center"/>
    </xf>
    <xf numFmtId="14" fontId="19" fillId="3" borderId="0" xfId="1" applyNumberFormat="1" applyFont="1" applyFill="1" applyAlignment="1">
      <alignment horizontal="left" vertical="center"/>
    </xf>
    <xf numFmtId="166" fontId="25" fillId="22" borderId="84" xfId="1" applyNumberFormat="1" applyFont="1" applyFill="1" applyBorder="1" applyAlignment="1">
      <alignment horizontal="center" vertical="center"/>
    </xf>
    <xf numFmtId="9" fontId="5" fillId="0" borderId="84" xfId="2" applyFont="1" applyBorder="1" applyAlignment="1">
      <alignment horizontal="center" vertical="center"/>
    </xf>
    <xf numFmtId="9" fontId="5" fillId="0" borderId="85" xfId="2" applyFont="1" applyBorder="1" applyAlignment="1">
      <alignment horizontal="center" vertical="center"/>
    </xf>
    <xf numFmtId="9" fontId="5" fillId="0" borderId="86" xfId="2" applyFont="1" applyBorder="1" applyAlignment="1">
      <alignment horizontal="center" vertical="center"/>
    </xf>
    <xf numFmtId="9" fontId="5" fillId="0" borderId="87" xfId="2" applyFont="1" applyBorder="1" applyAlignment="1">
      <alignment horizontal="center" vertical="center"/>
    </xf>
    <xf numFmtId="165" fontId="22" fillId="21" borderId="88" xfId="1" applyNumberFormat="1" applyFont="1" applyFill="1" applyBorder="1" applyAlignment="1">
      <alignment vertical="center"/>
    </xf>
    <xf numFmtId="165" fontId="22" fillId="21" borderId="89" xfId="1" applyNumberFormat="1" applyFont="1" applyFill="1" applyBorder="1" applyAlignment="1">
      <alignment vertical="center"/>
    </xf>
    <xf numFmtId="165" fontId="22" fillId="21" borderId="90" xfId="1" applyNumberFormat="1" applyFont="1" applyFill="1" applyBorder="1" applyAlignment="1">
      <alignment vertical="center"/>
    </xf>
    <xf numFmtId="0" fontId="28" fillId="9" borderId="15" xfId="0" applyFont="1" applyFill="1" applyBorder="1" applyAlignment="1">
      <alignment horizontal="center" vertical="center" wrapText="1"/>
    </xf>
    <xf numFmtId="0" fontId="28" fillId="9" borderId="14" xfId="0" applyFont="1" applyFill="1" applyBorder="1" applyAlignment="1">
      <alignment horizontal="center" vertical="center" wrapText="1"/>
    </xf>
    <xf numFmtId="0" fontId="5" fillId="33" borderId="10" xfId="0" applyFont="1" applyFill="1" applyBorder="1" applyAlignment="1">
      <alignment horizontal="left" vertical="center" wrapText="1"/>
    </xf>
    <xf numFmtId="0" fontId="5" fillId="33" borderId="15" xfId="0" applyFont="1" applyFill="1" applyBorder="1" applyAlignment="1">
      <alignment horizontal="left" vertical="center" wrapText="1"/>
    </xf>
    <xf numFmtId="0" fontId="12" fillId="8" borderId="32"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76"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12" fillId="8" borderId="73" xfId="0" applyFont="1" applyFill="1" applyBorder="1" applyAlignment="1">
      <alignment horizontal="center" vertical="center" wrapText="1"/>
    </xf>
    <xf numFmtId="0" fontId="12" fillId="8" borderId="30" xfId="0" applyFont="1" applyFill="1" applyBorder="1" applyAlignment="1">
      <alignment horizontal="center" vertical="center" wrapText="1"/>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4" fillId="11" borderId="26" xfId="1" applyFont="1" applyFill="1" applyBorder="1" applyAlignment="1">
      <alignment horizontal="center" vertical="center"/>
    </xf>
    <xf numFmtId="0" fontId="4" fillId="11" borderId="27" xfId="1" applyFont="1" applyFill="1" applyBorder="1" applyAlignment="1">
      <alignment horizontal="center" vertical="center"/>
    </xf>
    <xf numFmtId="0" fontId="5" fillId="34" borderId="10" xfId="0" applyFont="1" applyFill="1" applyBorder="1" applyAlignment="1">
      <alignment horizontal="left" vertical="center" wrapText="1"/>
    </xf>
    <xf numFmtId="0" fontId="5" fillId="34" borderId="15" xfId="0" applyFont="1" applyFill="1" applyBorder="1" applyAlignment="1">
      <alignment horizontal="left" vertical="center" wrapText="1"/>
    </xf>
    <xf numFmtId="0" fontId="28" fillId="9" borderId="5" xfId="0" applyFont="1" applyFill="1" applyBorder="1" applyAlignment="1">
      <alignment horizontal="center" vertical="center" wrapText="1"/>
    </xf>
    <xf numFmtId="0" fontId="14" fillId="10" borderId="81" xfId="1" applyFont="1" applyFill="1" applyBorder="1" applyAlignment="1">
      <alignment horizontal="center" vertical="center"/>
    </xf>
    <xf numFmtId="0" fontId="14" fillId="10" borderId="82" xfId="1" applyFont="1" applyFill="1" applyBorder="1" applyAlignment="1">
      <alignment horizontal="center" vertical="center"/>
    </xf>
    <xf numFmtId="0" fontId="14" fillId="10" borderId="83" xfId="1" applyFont="1" applyFill="1" applyBorder="1" applyAlignment="1">
      <alignment horizontal="center" vertical="center"/>
    </xf>
    <xf numFmtId="0" fontId="14" fillId="12" borderId="63" xfId="1" applyFont="1" applyFill="1" applyBorder="1" applyAlignment="1">
      <alignment horizontal="center" vertical="center"/>
    </xf>
    <xf numFmtId="0" fontId="14" fillId="12" borderId="64" xfId="1" applyFont="1" applyFill="1" applyBorder="1" applyAlignment="1">
      <alignment horizontal="center" vertical="center"/>
    </xf>
    <xf numFmtId="0" fontId="14" fillId="12" borderId="65" xfId="1" applyFont="1" applyFill="1" applyBorder="1" applyAlignment="1">
      <alignment horizontal="center" vertical="center"/>
    </xf>
    <xf numFmtId="0" fontId="14" fillId="23" borderId="80" xfId="1" applyFont="1" applyFill="1" applyBorder="1" applyAlignment="1">
      <alignment horizontal="center" vertical="center"/>
    </xf>
    <xf numFmtId="0" fontId="4" fillId="2" borderId="10"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14" xfId="1" applyFont="1" applyFill="1" applyBorder="1" applyAlignment="1">
      <alignment horizontal="center" vertical="center" wrapText="1"/>
    </xf>
    <xf numFmtId="0" fontId="0" fillId="0" borderId="0" xfId="0" applyAlignment="1">
      <alignment horizontal="center"/>
    </xf>
    <xf numFmtId="0" fontId="0" fillId="0" borderId="5" xfId="0" applyBorder="1" applyAlignment="1">
      <alignment horizontal="center" vertical="center"/>
    </xf>
    <xf numFmtId="0" fontId="0" fillId="3" borderId="10" xfId="0" applyFill="1" applyBorder="1" applyAlignment="1">
      <alignment horizontal="center"/>
    </xf>
    <xf numFmtId="0" fontId="0" fillId="3" borderId="1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7" borderId="17" xfId="0" applyFill="1" applyBorder="1" applyAlignment="1">
      <alignment horizontal="center"/>
    </xf>
    <xf numFmtId="0" fontId="2" fillId="0" borderId="13" xfId="1" applyFont="1" applyBorder="1" applyAlignment="1">
      <alignment horizontal="center" vertical="center" wrapText="1"/>
    </xf>
    <xf numFmtId="0" fontId="5" fillId="3" borderId="13" xfId="1" applyFont="1" applyFill="1" applyBorder="1" applyAlignment="1">
      <alignment horizontal="center" vertical="center" wrapText="1"/>
    </xf>
    <xf numFmtId="0" fontId="7" fillId="0" borderId="13" xfId="1" applyFont="1" applyBorder="1" applyAlignment="1">
      <alignment horizontal="left" vertical="center" wrapText="1" indent="1"/>
    </xf>
    <xf numFmtId="0" fontId="2" fillId="0" borderId="13" xfId="1" applyFont="1" applyBorder="1" applyAlignment="1">
      <alignment horizontal="left" vertical="center" wrapText="1" indent="1"/>
    </xf>
    <xf numFmtId="164" fontId="2" fillId="0" borderId="13" xfId="1" applyNumberFormat="1" applyFont="1" applyBorder="1" applyAlignment="1">
      <alignment horizontal="center" vertical="center" wrapText="1"/>
    </xf>
    <xf numFmtId="1" fontId="5" fillId="0" borderId="13" xfId="1" applyNumberFormat="1" applyFont="1" applyBorder="1" applyAlignment="1">
      <alignment horizontal="center" vertical="center" wrapText="1"/>
    </xf>
    <xf numFmtId="16" fontId="6" fillId="0" borderId="0" xfId="1" applyNumberFormat="1" applyFont="1" applyBorder="1" applyAlignment="1">
      <alignment horizontal="center" vertical="center" wrapText="1"/>
    </xf>
    <xf numFmtId="16" fontId="5" fillId="0" borderId="0" xfId="1" applyNumberFormat="1" applyFont="1" applyBorder="1" applyAlignment="1">
      <alignment horizontal="center" vertical="center" wrapText="1"/>
    </xf>
    <xf numFmtId="9" fontId="4" fillId="0" borderId="0" xfId="1" applyNumberFormat="1" applyFont="1" applyBorder="1" applyAlignment="1">
      <alignment horizontal="center" vertical="center" wrapText="1"/>
    </xf>
    <xf numFmtId="9" fontId="0" fillId="0" borderId="17" xfId="4" applyFont="1" applyBorder="1" applyAlignment="1">
      <alignment horizontal="center" vertical="center"/>
    </xf>
    <xf numFmtId="164" fontId="2" fillId="0" borderId="10" xfId="1" applyNumberFormat="1" applyFont="1" applyBorder="1" applyAlignment="1">
      <alignment horizontal="center" vertical="center" wrapText="1"/>
    </xf>
    <xf numFmtId="164" fontId="2" fillId="0" borderId="14" xfId="1" applyNumberFormat="1" applyFont="1" applyBorder="1" applyAlignment="1">
      <alignment horizontal="center" vertical="center" wrapText="1"/>
    </xf>
    <xf numFmtId="16" fontId="6" fillId="0" borderId="15" xfId="1" applyNumberFormat="1" applyFont="1" applyBorder="1" applyAlignment="1">
      <alignment horizontal="center" vertical="center" wrapText="1"/>
    </xf>
  </cellXfs>
  <cellStyles count="5">
    <cellStyle name="Normal" xfId="0" builtinId="0"/>
    <cellStyle name="Normal 2" xfId="1" xr:uid="{822906E6-BE18-4A33-AF75-73C07EBED422}"/>
    <cellStyle name="Normal 3" xfId="3" xr:uid="{B7FE8E30-749F-48DE-A19B-9E8D3013597A}"/>
    <cellStyle name="Percent" xfId="2" builtinId="5"/>
    <cellStyle name="Percent 3" xfId="4" xr:uid="{C6EE96B5-2956-4BB7-8EC9-05E3AC2150D5}"/>
  </cellStyles>
  <dxfs count="129">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0"/>
      </font>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bgColor rgb="FFE74C3C"/>
        </patternFill>
      </fill>
    </dxf>
    <dxf>
      <font>
        <b/>
        <i val="0"/>
        <color rgb="FF1B4F72"/>
      </font>
      <fill>
        <patternFill>
          <bgColor rgb="FF85C1E9"/>
        </patternFill>
      </fill>
    </dxf>
    <dxf>
      <font>
        <b/>
        <i val="0"/>
        <color theme="0"/>
      </font>
      <fill>
        <patternFill>
          <bgColor rgb="FF27AE60"/>
        </patternFill>
      </fill>
    </dxf>
    <dxf>
      <font>
        <b/>
        <i val="0"/>
        <color theme="1"/>
      </font>
      <fill>
        <patternFill>
          <bgColor rgb="FFABEBC6"/>
        </patternFill>
      </fill>
    </dxf>
    <dxf>
      <font>
        <b/>
        <i val="0"/>
        <color rgb="FF922B21"/>
      </font>
      <fill>
        <patternFill patternType="solid">
          <bgColor rgb="FFF5B7B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patternType="solid">
          <fgColor auto="1"/>
          <bgColor rgb="FFF39C12"/>
        </patternFill>
      </fill>
    </dxf>
    <dxf>
      <font>
        <b/>
        <i val="0"/>
        <color theme="1"/>
      </font>
      <fill>
        <patternFill patternType="solid">
          <bgColor rgb="FFFACF8A"/>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rgb="FFC00000"/>
      </font>
    </dxf>
    <dxf>
      <font>
        <b/>
        <i val="0"/>
        <color rgb="FF0070C0"/>
      </font>
    </dxf>
    <dxf>
      <alignment horizontal="center"/>
    </dxf>
    <dxf>
      <numFmt numFmtId="13" formatCode="0%"/>
    </dxf>
    <dxf>
      <numFmt numFmtId="13" formatCode="0%"/>
    </dxf>
    <dxf>
      <numFmt numFmtId="14" formatCode="0.00%"/>
    </dxf>
    <dxf>
      <font>
        <b val="0"/>
        <i val="0"/>
        <strike val="0"/>
        <condense val="0"/>
        <extend val="0"/>
        <outline val="0"/>
        <shadow val="0"/>
        <u val="none"/>
        <vertAlign val="baseline"/>
        <sz val="11"/>
        <color theme="1"/>
        <name val="Calibri"/>
        <family val="2"/>
        <scheme val="minor"/>
      </font>
      <numFmt numFmtId="167" formatCode="0.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4" formatCode="0.00%"/>
    </dxf>
    <dxf>
      <numFmt numFmtId="14" formatCode="0.00%"/>
      <alignment horizontal="general" vertical="bottom" textRotation="0" wrapText="1" indent="0" justifyLastLine="0" shrinkToFit="0" readingOrder="0"/>
    </dxf>
    <dxf>
      <numFmt numFmtId="167" formatCode="0.0%"/>
    </dxf>
    <dxf>
      <numFmt numFmtId="1" formatCode="0"/>
    </dxf>
    <dxf>
      <numFmt numFmtId="13" formatCode="0%"/>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border outline="0">
        <top style="thin">
          <color theme="1"/>
        </top>
      </border>
    </dxf>
    <dxf>
      <fill>
        <patternFill patternType="none">
          <bgColor auto="1"/>
        </patternFill>
      </fill>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border outline="0">
        <top style="thin">
          <color theme="5"/>
        </top>
      </border>
    </dxf>
    <dxf>
      <fill>
        <patternFill patternType="none">
          <fgColor indexed="64"/>
          <bgColor auto="1"/>
        </patternFill>
      </fill>
    </dxf>
    <dxf>
      <border outline="0">
        <bottom style="medium">
          <color theme="5"/>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theme="5"/>
        </left>
        <right style="thin">
          <color theme="5"/>
        </right>
        <top/>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3" formatCode="0%"/>
    </dxf>
    <dxf>
      <numFmt numFmtId="0" formatCode="General"/>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166" formatCode="d"/>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164" formatCode="[$-421]dd\-mmm\-yy"/>
    </dxf>
    <dxf>
      <numFmt numFmtId="1" formatCode="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font>
        <strike val="0"/>
        <outline val="0"/>
        <shadow val="0"/>
        <u val="none"/>
        <vertAlign val="baseline"/>
        <color theme="0"/>
        <name val="Calibri"/>
        <family val="2"/>
        <scheme val="minor"/>
      </font>
      <alignment horizontal="center" vertical="center" textRotation="0" indent="0" justifyLastLine="0" shrinkToFit="0" readingOrder="0"/>
    </dxf>
    <dxf>
      <numFmt numFmtId="1" formatCode="0"/>
    </dxf>
    <dxf>
      <numFmt numFmtId="13" formatCode="0%"/>
    </dxf>
    <dxf>
      <numFmt numFmtId="14" formatCode="0.0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theme="0"/>
        <name val="Calibri"/>
        <family val="2"/>
        <scheme val="minor"/>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border>
    </dxf>
    <dxf>
      <font>
        <b/>
        <i val="0"/>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outline="0">
        <left style="thin">
          <color indexed="64"/>
        </left>
        <right/>
        <top style="thin">
          <color indexed="64"/>
        </top>
        <bottom/>
      </border>
    </dxf>
    <dxf>
      <font>
        <b/>
        <i/>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left/>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theme="5"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39C12"/>
      <color rgb="FF85C1E9"/>
      <color rgb="FF27AE60"/>
      <color rgb="FFE74C3C"/>
      <color rgb="FFFACF8A"/>
      <color rgb="FF45D382"/>
      <color rgb="FFC9C9C9"/>
      <color rgb="FFF5B7B1"/>
      <color rgb="FFABEBC6"/>
      <color rgb="FFDBE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externalLink" Target="externalLinks/externalLink1.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6CFD-4595-9605-83C244A4568B}"/>
            </c:ext>
          </c:extLst>
        </c:ser>
        <c:ser>
          <c:idx val="1"/>
          <c:order val="1"/>
          <c:tx>
            <c:strRef>
              <c:f>PIVOT!$D$88:$D$89</c:f>
              <c:strCache>
                <c:ptCount val="1"/>
                <c:pt idx="0">
                  <c:v>ACTUAL</c:v>
                </c:pt>
              </c:strCache>
            </c:strRef>
          </c:tx>
          <c:spPr>
            <a:ln w="28575" cap="rnd">
              <a:solidFill>
                <a:schemeClr val="accent2"/>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0"/>
          <c:extLst>
            <c:ext xmlns:c16="http://schemas.microsoft.com/office/drawing/2014/chart" uri="{C3380CC4-5D6E-409C-BE32-E72D297353CC}">
              <c16:uniqueId val="{00000001-6CFD-4595-9605-83C244A4568B}"/>
            </c:ext>
          </c:extLst>
        </c:ser>
        <c:dLbls>
          <c:showLegendKey val="0"/>
          <c:showVal val="0"/>
          <c:showCatName val="0"/>
          <c:showSerName val="0"/>
          <c:showPercent val="0"/>
          <c:showBubbleSize val="0"/>
        </c:dLbls>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DC2D-4E95-B827-D56A2B3E75EF}"/>
            </c:ext>
          </c:extLst>
        </c:ser>
        <c:ser>
          <c:idx val="1"/>
          <c:order val="1"/>
          <c:tx>
            <c:strRef>
              <c:f>PIVOT!$D$127:$D$128</c:f>
              <c:strCache>
                <c:ptCount val="1"/>
                <c:pt idx="0">
                  <c:v>ACTUAL</c:v>
                </c:pt>
              </c:strCache>
            </c:strRef>
          </c:tx>
          <c:spPr>
            <a:ln w="28575" cap="rnd">
              <a:solidFill>
                <a:schemeClr val="accent2"/>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0"/>
          <c:extLst>
            <c:ext xmlns:c16="http://schemas.microsoft.com/office/drawing/2014/chart" uri="{C3380CC4-5D6E-409C-BE32-E72D297353CC}">
              <c16:uniqueId val="{00000001-DC2D-4E95-B827-D56A2B3E75EF}"/>
            </c:ext>
          </c:extLst>
        </c:ser>
        <c:dLbls>
          <c:showLegendKey val="0"/>
          <c:showVal val="0"/>
          <c:showCatName val="0"/>
          <c:showSerName val="0"/>
          <c:showPercent val="0"/>
          <c:showBubbleSize val="0"/>
        </c:dLbls>
        <c:smooth val="0"/>
        <c:axId val="960530623"/>
        <c:axId val="960525823"/>
      </c:lineChart>
      <c:catAx>
        <c:axId val="9605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25823"/>
        <c:crosses val="autoZero"/>
        <c:auto val="1"/>
        <c:lblAlgn val="ctr"/>
        <c:lblOffset val="100"/>
        <c:noMultiLvlLbl val="0"/>
      </c:catAx>
      <c:valAx>
        <c:axId val="96052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8324-41D6-883E-AAC307418F0E}"/>
            </c:ext>
          </c:extLst>
        </c:ser>
        <c:ser>
          <c:idx val="1"/>
          <c:order val="1"/>
          <c:tx>
            <c:strRef>
              <c:f>PIVOT!$D$166:$D$167</c:f>
              <c:strCache>
                <c:ptCount val="1"/>
                <c:pt idx="0">
                  <c:v>ACTUAL</c:v>
                </c:pt>
              </c:strCache>
            </c:strRef>
          </c:tx>
          <c:spPr>
            <a:ln w="28575" cap="rnd">
              <a:solidFill>
                <a:schemeClr val="accent2"/>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8324-41D6-883E-AAC307418F0E}"/>
            </c:ext>
          </c:extLst>
        </c:ser>
        <c:dLbls>
          <c:showLegendKey val="0"/>
          <c:showVal val="0"/>
          <c:showCatName val="0"/>
          <c:showSerName val="0"/>
          <c:showPercent val="0"/>
          <c:showBubbleSize val="0"/>
        </c:dLbls>
        <c:smooth val="0"/>
        <c:axId val="1096952575"/>
        <c:axId val="1096958335"/>
      </c:lineChart>
      <c:catAx>
        <c:axId val="10969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8335"/>
        <c:crosses val="autoZero"/>
        <c:auto val="1"/>
        <c:lblAlgn val="ctr"/>
        <c:lblOffset val="100"/>
        <c:noMultiLvlLbl val="0"/>
      </c:catAx>
      <c:valAx>
        <c:axId val="109695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PIVOT!$C$243:$C$244</c:f>
              <c:strCache>
                <c:ptCount val="1"/>
                <c:pt idx="0">
                  <c:v>DOZER READINESS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0"/>
          <c:extLst>
            <c:ext xmlns:c16="http://schemas.microsoft.com/office/drawing/2014/chart" uri="{C3380CC4-5D6E-409C-BE32-E72D297353CC}">
              <c16:uniqueId val="{00000000-6487-4163-BEBB-3A617CAE54EB}"/>
            </c:ext>
          </c:extLst>
        </c:ser>
        <c:ser>
          <c:idx val="1"/>
          <c:order val="1"/>
          <c:tx>
            <c:strRef>
              <c:f>PIVOT!$D$243:$D$244</c:f>
              <c:strCache>
                <c:ptCount val="1"/>
                <c:pt idx="0">
                  <c:v>MTBF</c:v>
                </c:pt>
              </c:strCache>
            </c:strRef>
          </c:tx>
          <c:spPr>
            <a:ln w="28575" cap="rnd">
              <a:solidFill>
                <a:schemeClr val="accent2"/>
              </a:solidFill>
              <a:round/>
            </a:ln>
            <a:effectLst/>
          </c:spPr>
          <c:marker>
            <c:symbol val="none"/>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0"/>
          <c:extLst>
            <c:ext xmlns:c16="http://schemas.microsoft.com/office/drawing/2014/chart" uri="{C3380CC4-5D6E-409C-BE32-E72D297353CC}">
              <c16:uniqueId val="{00000004-6487-4163-BEBB-3A617CAE54EB}"/>
            </c:ext>
          </c:extLst>
        </c:ser>
        <c:ser>
          <c:idx val="2"/>
          <c:order val="2"/>
          <c:tx>
            <c:strRef>
              <c:f>PIVOT!$E$243:$E$244</c:f>
              <c:strCache>
                <c:ptCount val="1"/>
                <c:pt idx="0">
                  <c:v>PA ALL DOZER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0"/>
          <c:extLst>
            <c:ext xmlns:c16="http://schemas.microsoft.com/office/drawing/2014/chart" uri="{C3380CC4-5D6E-409C-BE32-E72D297353CC}">
              <c16:uniqueId val="{00000005-6487-4163-BEBB-3A617CAE54EB}"/>
            </c:ext>
          </c:extLst>
        </c:ser>
        <c:ser>
          <c:idx val="3"/>
          <c:order val="3"/>
          <c:tx>
            <c:strRef>
              <c:f>PIVOT!$F$243:$F$244</c:f>
              <c:strCache>
                <c:ptCount val="1"/>
                <c:pt idx="0">
                  <c:v>MTTR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0"/>
          <c:extLst>
            <c:ext xmlns:c16="http://schemas.microsoft.com/office/drawing/2014/chart" uri="{C3380CC4-5D6E-409C-BE32-E72D297353CC}">
              <c16:uniqueId val="{00000000-C862-4EA9-B795-566B43634AE0}"/>
            </c:ext>
          </c:extLst>
        </c:ser>
        <c:dLbls>
          <c:showLegendKey val="0"/>
          <c:showVal val="0"/>
          <c:showCatName val="0"/>
          <c:showSerName val="0"/>
          <c:showPercent val="0"/>
          <c:showBubbleSize val="0"/>
        </c:dLbls>
        <c:marker val="1"/>
        <c:smooth val="0"/>
        <c:axId val="160345951"/>
        <c:axId val="160346431"/>
      </c:lineChart>
      <c:catAx>
        <c:axId val="1603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6431"/>
        <c:crosses val="autoZero"/>
        <c:auto val="1"/>
        <c:lblAlgn val="ctr"/>
        <c:lblOffset val="100"/>
        <c:noMultiLvlLbl val="0"/>
      </c:catAx>
      <c:valAx>
        <c:axId val="16034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PIVOT!$C$285:$C$287</c:f>
              <c:strCache>
                <c:ptCount val="1"/>
                <c:pt idx="0">
                  <c:v>DOZER READINESS - ACTUAL</c:v>
                </c:pt>
              </c:strCache>
            </c:strRef>
          </c:tx>
          <c:spPr>
            <a:solidFill>
              <a:schemeClr val="accent1"/>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PIVOT!$C$288:$C$319</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extLst>
            <c:ext xmlns:c16="http://schemas.microsoft.com/office/drawing/2014/chart" uri="{C3380CC4-5D6E-409C-BE32-E72D297353CC}">
              <c16:uniqueId val="{00000000-DDC4-448E-AE92-85A11D000698}"/>
            </c:ext>
          </c:extLst>
        </c:ser>
        <c:ser>
          <c:idx val="1"/>
          <c:order val="1"/>
          <c:tx>
            <c:strRef>
              <c:f>PIVOT!$D$285:$D$287</c:f>
              <c:strCache>
                <c:ptCount val="1"/>
                <c:pt idx="0">
                  <c:v>DOZER READINESS - PLAN</c:v>
                </c:pt>
              </c:strCache>
            </c:strRef>
          </c:tx>
          <c:spPr>
            <a:solidFill>
              <a:schemeClr val="accent2"/>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PIVOT!$D$288:$D$319</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extLst>
            <c:ext xmlns:c16="http://schemas.microsoft.com/office/drawing/2014/chart" uri="{C3380CC4-5D6E-409C-BE32-E72D297353CC}">
              <c16:uniqueId val="{00000001-DDC4-448E-AE92-85A11D000698}"/>
            </c:ext>
          </c:extLst>
        </c:ser>
        <c:ser>
          <c:idx val="2"/>
          <c:order val="2"/>
          <c:tx>
            <c:strRef>
              <c:f>PIVOT!$E$285:$E$287</c:f>
              <c:strCache>
                <c:ptCount val="1"/>
                <c:pt idx="0">
                  <c:v>DAILY ACHIVEMENT - ACTUAL</c:v>
                </c:pt>
              </c:strCache>
            </c:strRef>
          </c:tx>
          <c:spPr>
            <a:solidFill>
              <a:schemeClr val="accent3"/>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PIVOT!$E$288:$E$319</c:f>
              <c:numCache>
                <c:formatCode>General</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1-FD3B-413A-B761-192CDE87B30C}"/>
            </c:ext>
          </c:extLst>
        </c:ser>
        <c:ser>
          <c:idx val="3"/>
          <c:order val="3"/>
          <c:tx>
            <c:strRef>
              <c:f>PIVOT!$F$285:$F$287</c:f>
              <c:strCache>
                <c:ptCount val="1"/>
                <c:pt idx="0">
                  <c:v>DAILY ACHIVEMENT - PLAN</c:v>
                </c:pt>
              </c:strCache>
            </c:strRef>
          </c:tx>
          <c:spPr>
            <a:solidFill>
              <a:schemeClr val="accent4"/>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PIVOT!$F$288:$F$319</c:f>
              <c:numCache>
                <c:formatCode>General</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FD3B-413A-B761-192CDE87B30C}"/>
            </c:ext>
          </c:extLst>
        </c:ser>
        <c:dLbls>
          <c:showLegendKey val="0"/>
          <c:showVal val="0"/>
          <c:showCatName val="0"/>
          <c:showSerName val="0"/>
          <c:showPercent val="0"/>
          <c:showBubbleSize val="0"/>
        </c:dLbls>
        <c:gapWidth val="219"/>
        <c:axId val="160387711"/>
        <c:axId val="160405471"/>
      </c:barChart>
      <c:catAx>
        <c:axId val="1603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405471"/>
        <c:crosses val="autoZero"/>
        <c:auto val="1"/>
        <c:lblAlgn val="ctr"/>
        <c:lblOffset val="100"/>
        <c:noMultiLvlLbl val="0"/>
      </c:catAx>
      <c:valAx>
        <c:axId val="1604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CD10-452C-B9B1-1EB350FA859F}"/>
            </c:ext>
          </c:extLst>
        </c:ser>
        <c:ser>
          <c:idx val="1"/>
          <c:order val="1"/>
          <c:tx>
            <c:strRef>
              <c:f>PIVOT!$D$203:$D$204</c:f>
              <c:strCache>
                <c:ptCount val="1"/>
                <c:pt idx="0">
                  <c:v>ACTUAL</c:v>
                </c:pt>
              </c:strCache>
            </c:strRef>
          </c:tx>
          <c:spPr>
            <a:ln w="28575" cap="rnd">
              <a:solidFill>
                <a:schemeClr val="accent2"/>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CD10-452C-B9B1-1EB350FA859F}"/>
            </c:ext>
          </c:extLst>
        </c:ser>
        <c:dLbls>
          <c:showLegendKey val="0"/>
          <c:showVal val="0"/>
          <c:showCatName val="0"/>
          <c:showSerName val="0"/>
          <c:showPercent val="0"/>
          <c:showBubbleSize val="0"/>
        </c:dLbls>
        <c:smooth val="0"/>
        <c:axId val="1044648959"/>
        <c:axId val="1044652799"/>
      </c:lineChart>
      <c:catAx>
        <c:axId val="1044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52799"/>
        <c:crosses val="autoZero"/>
        <c:auto val="1"/>
        <c:lblAlgn val="ctr"/>
        <c:lblOffset val="100"/>
        <c:noMultiLvlLbl val="0"/>
      </c:catAx>
      <c:valAx>
        <c:axId val="1044652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PIVOT!$C$329:$C$330</c:f>
              <c:strCache>
                <c:ptCount val="1"/>
                <c:pt idx="0">
                  <c:v>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BBF6-417B-B1B1-15D5CF266B53}"/>
            </c:ext>
          </c:extLst>
        </c:ser>
        <c:ser>
          <c:idx val="1"/>
          <c:order val="1"/>
          <c:tx>
            <c:strRef>
              <c:f>PIVOT!$D$329:$D$330</c:f>
              <c:strCache>
                <c:ptCount val="1"/>
                <c:pt idx="0">
                  <c:v>PLAN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BBF6-417B-B1B1-15D5CF266B53}"/>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PIVOT!$C$369</c:f>
              <c:strCache>
                <c:ptCount val="1"/>
                <c:pt idx="0">
                  <c:v>DOZER READINESS</c:v>
                </c:pt>
              </c:strCache>
            </c:strRef>
          </c:tx>
          <c:spPr>
            <a:solidFill>
              <a:schemeClr val="accent1"/>
            </a:solidFill>
            <a:ln>
              <a:noFill/>
            </a:ln>
            <a:effectLst/>
          </c:spPr>
          <c:invertIfNegative val="0"/>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96D8-4C52-95A0-69A993748A8B}"/>
            </c:ext>
          </c:extLst>
        </c:ser>
        <c:dLbls>
          <c:showLegendKey val="0"/>
          <c:showVal val="0"/>
          <c:showCatName val="0"/>
          <c:showSerName val="0"/>
          <c:showPercent val="0"/>
          <c:showBubbleSize val="0"/>
        </c:dLbls>
        <c:gapWidth val="219"/>
        <c:overlap val="-27"/>
        <c:axId val="1000719231"/>
        <c:axId val="1000713471"/>
      </c:barChart>
      <c:lineChart>
        <c:grouping val="standard"/>
        <c:varyColors val="0"/>
        <c:ser>
          <c:idx val="1"/>
          <c:order val="1"/>
          <c:tx>
            <c:strRef>
              <c:f>PIVOT!$D$369</c:f>
              <c:strCache>
                <c:ptCount val="1"/>
                <c:pt idx="0">
                  <c:v>DAILY ACTUAL</c:v>
                </c:pt>
              </c:strCache>
            </c:strRef>
          </c:tx>
          <c:spPr>
            <a:ln w="28575" cap="rnd">
              <a:solidFill>
                <a:schemeClr val="accent2"/>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96D8-4C52-95A0-69A993748A8B}"/>
            </c:ext>
          </c:extLst>
        </c:ser>
        <c:ser>
          <c:idx val="2"/>
          <c:order val="2"/>
          <c:tx>
            <c:strRef>
              <c:f>PIVOT!$E$369</c:f>
              <c:strCache>
                <c:ptCount val="1"/>
                <c:pt idx="0">
                  <c:v>DAILY PLAN</c:v>
                </c:pt>
              </c:strCache>
            </c:strRef>
          </c:tx>
          <c:spPr>
            <a:ln w="28575" cap="rnd">
              <a:solidFill>
                <a:schemeClr val="accent3"/>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96D8-4C52-95A0-69A993748A8B}"/>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9231"/>
        <c:crosses val="autoZero"/>
        <c:crossBetween val="between"/>
      </c:valAx>
      <c:valAx>
        <c:axId val="10007091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7544860809594E-2"/>
          <c:y val="0.15175707203266259"/>
          <c:w val="0.70734772477386965"/>
          <c:h val="0.65853091280256637"/>
        </c:manualLayout>
      </c:layout>
      <c:barChart>
        <c:barDir val="col"/>
        <c:grouping val="clustered"/>
        <c:varyColors val="0"/>
        <c:ser>
          <c:idx val="2"/>
          <c:order val="2"/>
          <c:tx>
            <c:strRef>
              <c:f>PIVOT!$E$520</c:f>
              <c:strCache>
                <c:ptCount val="1"/>
                <c:pt idx="0">
                  <c:v>MTTR (H)</c:v>
                </c:pt>
              </c:strCache>
            </c:strRef>
          </c:tx>
          <c:spPr>
            <a:solidFill>
              <a:schemeClr val="accent3"/>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PIVOT!$E$521:$E$551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2-7BA2-483F-B73C-0813C85D5253}"/>
            </c:ext>
          </c:extLst>
        </c:ser>
        <c:ser>
          <c:idx val="3"/>
          <c:order val="3"/>
          <c:tx>
            <c:strRef>
              <c:f>PIVOT!$F$520</c:f>
              <c:strCache>
                <c:ptCount val="1"/>
                <c:pt idx="0">
                  <c:v>Sum of DOZER_READINESS</c:v>
                </c:pt>
              </c:strCache>
            </c:strRef>
          </c:tx>
          <c:spPr>
            <a:solidFill>
              <a:schemeClr val="accent4"/>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PIVOT!$F$521:$F$551</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3-7BA2-483F-B73C-0813C85D5253}"/>
            </c:ext>
          </c:extLst>
        </c:ser>
        <c:ser>
          <c:idx val="4"/>
          <c:order val="4"/>
          <c:tx>
            <c:strRef>
              <c:f>PIVOT!$G$520</c:f>
              <c:strCache>
                <c:ptCount val="1"/>
                <c:pt idx="0">
                  <c:v>Sum of PA_DOZER</c:v>
                </c:pt>
              </c:strCache>
            </c:strRef>
          </c:tx>
          <c:spPr>
            <a:solidFill>
              <a:schemeClr val="accent5"/>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PIVOT!$G$521:$G$551</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4-7BA2-483F-B73C-0813C85D5253}"/>
            </c:ext>
          </c:extLst>
        </c:ser>
        <c:ser>
          <c:idx val="5"/>
          <c:order val="5"/>
          <c:tx>
            <c:strRef>
              <c:f>PIVOT!$H$520</c:f>
              <c:strCache>
                <c:ptCount val="1"/>
                <c:pt idx="0">
                  <c:v>Sum of MTBF</c:v>
                </c:pt>
              </c:strCache>
            </c:strRef>
          </c:tx>
          <c:spPr>
            <a:solidFill>
              <a:schemeClr val="accent6"/>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PIVOT!$H$521:$H$551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5-7BA2-483F-B73C-0813C85D5253}"/>
            </c:ext>
          </c:extLst>
        </c:ser>
        <c:dLbls>
          <c:showLegendKey val="0"/>
          <c:showVal val="0"/>
          <c:showCatName val="0"/>
          <c:showSerName val="0"/>
          <c:showPercent val="0"/>
          <c:showBubbleSize val="0"/>
        </c:dLbls>
        <c:gapWidth val="219"/>
        <c:axId val="1922680863"/>
        <c:axId val="1922682303"/>
      </c:barChart>
      <c:lineChart>
        <c:grouping val="standard"/>
        <c:varyColors val="0"/>
        <c:ser>
          <c:idx val="0"/>
          <c:order val="0"/>
          <c:tx>
            <c:strRef>
              <c:f>PIVOT!$C$520</c:f>
              <c:strCache>
                <c:ptCount val="1"/>
                <c:pt idx="0">
                  <c:v>DAILY ACTUAL</c:v>
                </c:pt>
              </c:strCache>
            </c:strRef>
          </c:tx>
          <c:spPr>
            <a:ln w="28575" cap="rnd">
              <a:solidFill>
                <a:schemeClr val="accent1"/>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PIVOT!$C$521:$C$551</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7BA2-483F-B73C-0813C85D5253}"/>
            </c:ext>
          </c:extLst>
        </c:ser>
        <c:ser>
          <c:idx val="1"/>
          <c:order val="1"/>
          <c:tx>
            <c:strRef>
              <c:f>PIVOT!$D$520</c:f>
              <c:strCache>
                <c:ptCount val="1"/>
                <c:pt idx="0">
                  <c:v>DAILY PLAN</c:v>
                </c:pt>
              </c:strCache>
            </c:strRef>
          </c:tx>
          <c:spPr>
            <a:ln w="28575" cap="rnd">
              <a:solidFill>
                <a:schemeClr val="accent2"/>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PIVOT!$D$521:$D$551</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7BA2-483F-B73C-0813C85D5253}"/>
            </c:ext>
          </c:extLst>
        </c:ser>
        <c:dLbls>
          <c:showLegendKey val="0"/>
          <c:showVal val="0"/>
          <c:showCatName val="0"/>
          <c:showSerName val="0"/>
          <c:showPercent val="0"/>
          <c:showBubbleSize val="0"/>
        </c:dLbls>
        <c:marker val="1"/>
        <c:smooth val="0"/>
        <c:axId val="930891359"/>
        <c:axId val="930890879"/>
      </c:lineChart>
      <c:catAx>
        <c:axId val="19226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2303"/>
        <c:crosses val="autoZero"/>
        <c:auto val="1"/>
        <c:lblAlgn val="ctr"/>
        <c:lblOffset val="100"/>
        <c:noMultiLvlLbl val="0"/>
      </c:catAx>
      <c:valAx>
        <c:axId val="192268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0863"/>
        <c:crosses val="autoZero"/>
        <c:crossBetween val="between"/>
      </c:valAx>
      <c:valAx>
        <c:axId val="9308908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0891359"/>
        <c:crosses val="max"/>
        <c:crossBetween val="between"/>
      </c:valAx>
      <c:catAx>
        <c:axId val="930891359"/>
        <c:scaling>
          <c:orientation val="minMax"/>
        </c:scaling>
        <c:delete val="1"/>
        <c:axPos val="b"/>
        <c:numFmt formatCode="General" sourceLinked="1"/>
        <c:majorTickMark val="out"/>
        <c:minorTickMark val="none"/>
        <c:tickLblPos val="nextTo"/>
        <c:crossAx val="930890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PIVOT!$C$403</c:f>
              <c:strCache>
                <c:ptCount val="1"/>
                <c:pt idx="0">
                  <c:v>PA DOZER</c:v>
                </c:pt>
              </c:strCache>
            </c:strRef>
          </c:tx>
          <c:spPr>
            <a:solidFill>
              <a:schemeClr val="accent1"/>
            </a:solidFill>
            <a:ln>
              <a:noFill/>
            </a:ln>
            <a:effectLst/>
          </c:spPr>
          <c:invertIfNegative val="0"/>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6A87-486F-B80C-44BDF56C4424}"/>
            </c:ext>
          </c:extLst>
        </c:ser>
        <c:dLbls>
          <c:showLegendKey val="0"/>
          <c:showVal val="0"/>
          <c:showCatName val="0"/>
          <c:showSerName val="0"/>
          <c:showPercent val="0"/>
          <c:showBubbleSize val="0"/>
        </c:dLbls>
        <c:gapWidth val="219"/>
        <c:overlap val="-27"/>
        <c:axId val="47879711"/>
        <c:axId val="47887391"/>
      </c:barChart>
      <c:lineChart>
        <c:grouping val="standard"/>
        <c:varyColors val="0"/>
        <c:ser>
          <c:idx val="1"/>
          <c:order val="1"/>
          <c:tx>
            <c:strRef>
              <c:f>PIVOT!$D$403</c:f>
              <c:strCache>
                <c:ptCount val="1"/>
                <c:pt idx="0">
                  <c:v>DAILY ACTUAL</c:v>
                </c:pt>
              </c:strCache>
            </c:strRef>
          </c:tx>
          <c:spPr>
            <a:ln w="28575" cap="rnd">
              <a:solidFill>
                <a:schemeClr val="accent2"/>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6A87-486F-B80C-44BDF56C4424}"/>
            </c:ext>
          </c:extLst>
        </c:ser>
        <c:ser>
          <c:idx val="2"/>
          <c:order val="2"/>
          <c:tx>
            <c:strRef>
              <c:f>PIVOT!$E$403</c:f>
              <c:strCache>
                <c:ptCount val="1"/>
                <c:pt idx="0">
                  <c:v>DAILY PLAN</c:v>
                </c:pt>
              </c:strCache>
            </c:strRef>
          </c:tx>
          <c:spPr>
            <a:ln w="28575" cap="rnd">
              <a:solidFill>
                <a:schemeClr val="accent3"/>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6A87-486F-B80C-44BDF56C4424}"/>
            </c:ext>
          </c:extLst>
        </c:ser>
        <c:dLbls>
          <c:showLegendKey val="0"/>
          <c:showVal val="0"/>
          <c:showCatName val="0"/>
          <c:showSerName val="0"/>
          <c:showPercent val="0"/>
          <c:showBubbleSize val="0"/>
        </c:dLbls>
        <c:marker val="1"/>
        <c:smooth val="0"/>
        <c:axId val="924985903"/>
        <c:axId val="924976783"/>
      </c:lineChart>
      <c:catAx>
        <c:axId val="478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7391"/>
        <c:crosses val="autoZero"/>
        <c:auto val="1"/>
        <c:lblAlgn val="ctr"/>
        <c:lblOffset val="100"/>
        <c:noMultiLvlLbl val="0"/>
      </c:catAx>
      <c:valAx>
        <c:axId val="478873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79711"/>
        <c:crosses val="autoZero"/>
        <c:crossBetween val="between"/>
      </c:valAx>
      <c:valAx>
        <c:axId val="9249767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24985903"/>
        <c:crosses val="max"/>
        <c:crossBetween val="between"/>
      </c:valAx>
      <c:catAx>
        <c:axId val="924985903"/>
        <c:scaling>
          <c:orientation val="minMax"/>
        </c:scaling>
        <c:delete val="1"/>
        <c:axPos val="b"/>
        <c:numFmt formatCode="General" sourceLinked="1"/>
        <c:majorTickMark val="out"/>
        <c:minorTickMark val="none"/>
        <c:tickLblPos val="nextTo"/>
        <c:crossAx val="924976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[CAM_GS_PR002.xlsx]PIVOT!PivotTable8</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PIVOT!$E$442</c:f>
              <c:strCache>
                <c:ptCount val="1"/>
                <c:pt idx="0">
                  <c:v>DAILY PLAN</c:v>
                </c:pt>
              </c:strCache>
            </c:strRef>
          </c:tx>
          <c:spPr>
            <a:solidFill>
              <a:schemeClr val="accent3"/>
            </a:solidFill>
            <a:ln>
              <a:noFill/>
            </a:ln>
            <a:effectLst/>
          </c:spPr>
          <c:invertIfNegative val="0"/>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EDBF-4479-96CA-A4CB158DE8E2}"/>
            </c:ext>
          </c:extLst>
        </c:ser>
        <c:dLbls>
          <c:showLegendKey val="0"/>
          <c:showVal val="0"/>
          <c:showCatName val="0"/>
          <c:showSerName val="0"/>
          <c:showPercent val="0"/>
          <c:showBubbleSize val="0"/>
        </c:dLbls>
        <c:gapWidth val="219"/>
        <c:axId val="963337407"/>
        <c:axId val="963469407"/>
      </c:barChart>
      <c:lineChart>
        <c:grouping val="standard"/>
        <c:varyColors val="0"/>
        <c:ser>
          <c:idx val="0"/>
          <c:order val="0"/>
          <c:tx>
            <c:strRef>
              <c:f>PIVOT!$C$442</c:f>
              <c:strCache>
                <c:ptCount val="1"/>
                <c:pt idx="0">
                  <c:v>MTBF (H)</c:v>
                </c:pt>
              </c:strCache>
            </c:strRef>
          </c:tx>
          <c:spPr>
            <a:ln w="28575" cap="rnd">
              <a:solidFill>
                <a:schemeClr val="accent1"/>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EDBF-4479-96CA-A4CB158DE8E2}"/>
            </c:ext>
          </c:extLst>
        </c:ser>
        <c:ser>
          <c:idx val="1"/>
          <c:order val="1"/>
          <c:tx>
            <c:strRef>
              <c:f>PIVOT!$D$442</c:f>
              <c:strCache>
                <c:ptCount val="1"/>
                <c:pt idx="0">
                  <c:v>DAILY ACTUAL</c:v>
                </c:pt>
              </c:strCache>
            </c:strRef>
          </c:tx>
          <c:spPr>
            <a:ln w="28575" cap="rnd">
              <a:solidFill>
                <a:schemeClr val="accent2"/>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EDBF-4479-96CA-A4CB158DE8E2}"/>
            </c:ext>
          </c:extLst>
        </c:ser>
        <c:dLbls>
          <c:showLegendKey val="0"/>
          <c:showVal val="0"/>
          <c:showCatName val="0"/>
          <c:showSerName val="0"/>
          <c:showPercent val="0"/>
          <c:showBubbleSize val="0"/>
        </c:dLbls>
        <c:marker val="1"/>
        <c:smooth val="0"/>
        <c:axId val="47889311"/>
        <c:axId val="47881631"/>
      </c:lineChart>
      <c:catAx>
        <c:axId val="9633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469407"/>
        <c:crosses val="autoZero"/>
        <c:auto val="1"/>
        <c:lblAlgn val="ctr"/>
        <c:lblOffset val="100"/>
        <c:noMultiLvlLbl val="0"/>
      </c:catAx>
      <c:valAx>
        <c:axId val="96346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337407"/>
        <c:crosses val="autoZero"/>
        <c:crossBetween val="between"/>
      </c:valAx>
      <c:valAx>
        <c:axId val="47881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9311"/>
        <c:crosses val="max"/>
        <c:crossBetween val="between"/>
      </c:valAx>
      <c:catAx>
        <c:axId val="47889311"/>
        <c:scaling>
          <c:orientation val="minMax"/>
        </c:scaling>
        <c:delete val="1"/>
        <c:axPos val="b"/>
        <c:numFmt formatCode="General" sourceLinked="1"/>
        <c:majorTickMark val="out"/>
        <c:minorTickMark val="none"/>
        <c:tickLblPos val="nextTo"/>
        <c:crossAx val="47881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PIVOT!$E$483</c:f>
              <c:strCache>
                <c:ptCount val="1"/>
                <c:pt idx="0">
                  <c:v>DAILY PLAN</c:v>
                </c:pt>
              </c:strCache>
            </c:strRef>
          </c:tx>
          <c:spPr>
            <a:solidFill>
              <a:schemeClr val="accent3"/>
            </a:solidFill>
            <a:ln>
              <a:noFill/>
            </a:ln>
            <a:effectLst/>
          </c:spPr>
          <c:invertIfNegative val="0"/>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4DD7-4784-BFAC-813A94A69FC6}"/>
            </c:ext>
          </c:extLst>
        </c:ser>
        <c:dLbls>
          <c:showLegendKey val="0"/>
          <c:showVal val="0"/>
          <c:showCatName val="0"/>
          <c:showSerName val="0"/>
          <c:showPercent val="0"/>
          <c:showBubbleSize val="0"/>
        </c:dLbls>
        <c:gapWidth val="219"/>
        <c:axId val="1059218495"/>
        <c:axId val="1059219455"/>
      </c:barChart>
      <c:lineChart>
        <c:grouping val="standard"/>
        <c:varyColors val="0"/>
        <c:ser>
          <c:idx val="0"/>
          <c:order val="0"/>
          <c:tx>
            <c:strRef>
              <c:f>PIVOT!$C$483</c:f>
              <c:strCache>
                <c:ptCount val="1"/>
                <c:pt idx="0">
                  <c:v>MTTR (H)</c:v>
                </c:pt>
              </c:strCache>
            </c:strRef>
          </c:tx>
          <c:spPr>
            <a:ln w="28575" cap="rnd">
              <a:solidFill>
                <a:schemeClr val="accent1"/>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4DD7-4784-BFAC-813A94A69FC6}"/>
            </c:ext>
          </c:extLst>
        </c:ser>
        <c:ser>
          <c:idx val="1"/>
          <c:order val="1"/>
          <c:tx>
            <c:strRef>
              <c:f>PIVOT!$D$483</c:f>
              <c:strCache>
                <c:ptCount val="1"/>
                <c:pt idx="0">
                  <c:v>DAILY ACTUAL</c:v>
                </c:pt>
              </c:strCache>
            </c:strRef>
          </c:tx>
          <c:spPr>
            <a:ln w="28575" cap="rnd">
              <a:solidFill>
                <a:schemeClr val="accent2"/>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4DD7-4784-BFAC-813A94A69FC6}"/>
            </c:ext>
          </c:extLst>
        </c:ser>
        <c:dLbls>
          <c:showLegendKey val="0"/>
          <c:showVal val="0"/>
          <c:showCatName val="0"/>
          <c:showSerName val="0"/>
          <c:showPercent val="0"/>
          <c:showBubbleSize val="0"/>
        </c:dLbls>
        <c:marker val="1"/>
        <c:smooth val="0"/>
        <c:axId val="1608945375"/>
        <c:axId val="1608944895"/>
      </c:lineChart>
      <c:catAx>
        <c:axId val="10592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9455"/>
        <c:crosses val="autoZero"/>
        <c:auto val="1"/>
        <c:lblAlgn val="ctr"/>
        <c:lblOffset val="100"/>
        <c:noMultiLvlLbl val="0"/>
      </c:catAx>
      <c:valAx>
        <c:axId val="105921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8495"/>
        <c:crosses val="autoZero"/>
        <c:crossBetween val="between"/>
      </c:valAx>
      <c:valAx>
        <c:axId val="1608944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8945375"/>
        <c:crosses val="max"/>
        <c:crossBetween val="between"/>
      </c:valAx>
      <c:catAx>
        <c:axId val="1608945375"/>
        <c:scaling>
          <c:orientation val="minMax"/>
        </c:scaling>
        <c:delete val="1"/>
        <c:axPos val="b"/>
        <c:numFmt formatCode="General" sourceLinked="1"/>
        <c:majorTickMark val="out"/>
        <c:minorTickMark val="none"/>
        <c:tickLblPos val="nextTo"/>
        <c:crossAx val="1608944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5408188451794E-2"/>
          <c:y val="0.18700020614195953"/>
          <c:w val="0.9079618734511995"/>
          <c:h val="0.625999587716081"/>
        </c:manualLayout>
      </c:layout>
      <c:barChart>
        <c:barDir val="bar"/>
        <c:grouping val="stacked"/>
        <c:varyColors val="0"/>
        <c:ser>
          <c:idx val="0"/>
          <c:order val="0"/>
          <c:spPr>
            <a:solidFill>
              <a:srgbClr val="00B050"/>
            </a:solidFill>
            <a:ln>
              <a:noFill/>
            </a:ln>
            <a:effectLst/>
          </c:spPr>
          <c:invertIfNegative val="0"/>
          <c:val>
            <c:numRef>
              <c:f>PIVOT!$I$7</c:f>
              <c:numCache>
                <c:formatCode>0.00%</c:formatCode>
                <c:ptCount val="1"/>
                <c:pt idx="0">
                  <c:v>0.70370370370370372</c:v>
                </c:pt>
              </c:numCache>
            </c:numRef>
          </c:val>
          <c:extLst>
            <c:ext xmlns:c16="http://schemas.microsoft.com/office/drawing/2014/chart" uri="{C3380CC4-5D6E-409C-BE32-E72D297353CC}">
              <c16:uniqueId val="{00000000-4A83-4131-9186-FC13B8B06185}"/>
            </c:ext>
          </c:extLst>
        </c:ser>
        <c:ser>
          <c:idx val="1"/>
          <c:order val="1"/>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4A83-4131-9186-FC13B8B06185}"/>
              </c:ext>
            </c:extLst>
          </c:dPt>
          <c:val>
            <c:numRef>
              <c:f>PIVOT!$J$7</c:f>
              <c:numCache>
                <c:formatCode>0.00%</c:formatCode>
                <c:ptCount val="1"/>
                <c:pt idx="0">
                  <c:v>0.29629629629629628</c:v>
                </c:pt>
              </c:numCache>
            </c:numRef>
          </c:val>
          <c:extLst>
            <c:ext xmlns:c16="http://schemas.microsoft.com/office/drawing/2014/chart" uri="{C3380CC4-5D6E-409C-BE32-E72D297353CC}">
              <c16:uniqueId val="{00000003-4A83-4131-9186-FC13B8B06185}"/>
            </c:ext>
          </c:extLst>
        </c:ser>
        <c:dLbls>
          <c:showLegendKey val="0"/>
          <c:showVal val="0"/>
          <c:showCatName val="0"/>
          <c:showSerName val="0"/>
          <c:showPercent val="0"/>
          <c:showBubbleSize val="0"/>
        </c:dLbls>
        <c:gapWidth val="150"/>
        <c:overlap val="100"/>
        <c:axId val="761907743"/>
        <c:axId val="761906303"/>
      </c:barChart>
      <c:catAx>
        <c:axId val="761907743"/>
        <c:scaling>
          <c:orientation val="minMax"/>
        </c:scaling>
        <c:delete val="1"/>
        <c:axPos val="l"/>
        <c:majorGridlines>
          <c:spPr>
            <a:ln w="9525" cap="flat" cmpd="sng" algn="ctr">
              <a:noFill/>
              <a:round/>
            </a:ln>
            <a:effectLst/>
          </c:spPr>
        </c:majorGridlines>
        <c:majorTickMark val="none"/>
        <c:minorTickMark val="none"/>
        <c:tickLblPos val="nextTo"/>
        <c:crossAx val="761906303"/>
        <c:crosses val="autoZero"/>
        <c:auto val="1"/>
        <c:lblAlgn val="ctr"/>
        <c:lblOffset val="100"/>
        <c:noMultiLvlLbl val="0"/>
      </c:catAx>
      <c:valAx>
        <c:axId val="761906303"/>
        <c:scaling>
          <c:orientation val="minMax"/>
        </c:scaling>
        <c:delete val="0"/>
        <c:axPos val="b"/>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619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3C55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23C55E"/>
          </a:solidFill>
          <a:ln w="19050">
            <a:noFill/>
          </a:ln>
          <a:effectLst/>
        </c:spPr>
        <c:dLbl>
          <c:idx val="0"/>
          <c:layout>
            <c:manualLayout>
              <c:x val="0.1502898516423633"/>
              <c:y val="-0.182608633136380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C00000"/>
          </a:solidFill>
          <a:ln w="19050">
            <a:noFill/>
          </a:ln>
          <a:effectLst/>
        </c:spPr>
        <c:dLbl>
          <c:idx val="0"/>
          <c:layout>
            <c:manualLayout>
              <c:x val="-0.14043477940351981"/>
              <c:y val="0.10869561496213105"/>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id-ID"/>
                  <a:t>Add text</a:t>
                </a:r>
              </a:p>
            </c:rich>
          </c:tx>
          <c:spPr>
            <a:solidFill>
              <a:sysClr val="window" lastClr="FFFFFF"/>
            </a:solidFill>
            <a:ln>
              <a:solidFill>
                <a:sysClr val="windowText" lastClr="000000">
                  <a:lumMod val="25000"/>
                  <a:lumOff val="75000"/>
                </a:sysClr>
              </a:solidFill>
            </a:ln>
            <a:effectLst/>
          </c:sp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showDataLabelsRange val="0"/>
            </c:ext>
          </c:extLst>
        </c:dLbl>
      </c:pivotFmt>
      <c:pivotFmt>
        <c:idx val="7"/>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8166785845788295"/>
          <c:y val="9.4920077124020397E-2"/>
          <c:w val="0.44405578126085171"/>
          <c:h val="0.77373382207391139"/>
        </c:manualLayout>
      </c:layout>
      <c:doughnutChart>
        <c:varyColors val="1"/>
        <c:ser>
          <c:idx val="0"/>
          <c:order val="0"/>
          <c:spPr>
            <a:solidFill>
              <a:schemeClr val="accent4"/>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9-9FE1-453D-8F69-F310398D6F8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B-9FE1-453D-8F69-F310398D6F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D-9FE1-453D-8F69-F310398D6F89}"/>
              </c:ext>
            </c:extLst>
          </c:dPt>
          <c:dLbls>
            <c:dLbl>
              <c:idx val="0"/>
              <c:layout>
                <c:manualLayout>
                  <c:x val="0.19247875925757074"/>
                  <c:y val="7.95691154879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FE1-453D-8F69-F310398D6F89}"/>
                </c:ext>
              </c:extLst>
            </c:dLbl>
            <c:dLbl>
              <c:idx val="1"/>
              <c:layout>
                <c:manualLayout>
                  <c:x val="-0.24674805078627571"/>
                  <c:y val="-5.9186388444488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FE1-453D-8F69-F310398D6F89}"/>
                </c:ext>
              </c:extLst>
            </c:dLbl>
            <c:dLbl>
              <c:idx val="2"/>
              <c:layout>
                <c:manualLayout>
                  <c:x val="0.21629745907055095"/>
                  <c:y val="-8.72747412006189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FE1-453D-8F69-F310398D6F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PIVOT!$G$7:$G$9</c:f>
              <c:strCache>
                <c:ptCount val="3"/>
                <c:pt idx="0">
                  <c:v>CLOSE</c:v>
                </c:pt>
                <c:pt idx="1">
                  <c:v>OPEN</c:v>
                </c:pt>
                <c:pt idx="2">
                  <c:v>ON PROGRESS</c:v>
                </c:pt>
              </c:strCache>
            </c:strRef>
          </c:cat>
          <c:val>
            <c:numRef>
              <c:f>PIVOT!$H$7:$H$9</c:f>
              <c:numCache>
                <c:formatCode>General</c:formatCode>
                <c:ptCount val="3"/>
                <c:pt idx="0">
                  <c:v>19</c:v>
                </c:pt>
                <c:pt idx="1">
                  <c:v>1</c:v>
                </c:pt>
                <c:pt idx="2">
                  <c:v>7</c:v>
                </c:pt>
              </c:numCache>
            </c:numRef>
          </c:val>
          <c:extLst>
            <c:ext xmlns:c16="http://schemas.microsoft.com/office/drawing/2014/chart" uri="{C3380CC4-5D6E-409C-BE32-E72D297353CC}">
              <c16:uniqueId val="{0000000E-9FE1-453D-8F69-F310398D6F89}"/>
            </c:ext>
          </c:extLst>
        </c:ser>
        <c:dLbls>
          <c:showLegendKey val="0"/>
          <c:showVal val="0"/>
          <c:showCatName val="0"/>
          <c:showSerName val="0"/>
          <c:showPercent val="0"/>
          <c:showBubbleSize val="0"/>
          <c:showLeaderLines val="0"/>
        </c:dLbls>
        <c:firstSliceAng val="11"/>
        <c:holeSize val="60"/>
      </c:doughnutChart>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[CAM_GS_PR002.xlsx]PIVOT!PivotTable7</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00B050"/>
          </a:solidFill>
        </c:spPr>
        <c:marker>
          <c:symbol val="none"/>
        </c:marker>
        <c:dLbl>
          <c:idx val="0"/>
          <c:delete val="1"/>
          <c:extLst>
            <c:ext xmlns:c15="http://schemas.microsoft.com/office/drawing/2012/chart" uri="{CE6537A1-D6FC-4f65-9D91-7224C49458BB}"/>
          </c:extLst>
        </c:dLbl>
      </c:pivotFmt>
      <c:pivotFmt>
        <c:idx val="41"/>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2"/>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3"/>
        <c:spPr>
          <a:solidFill>
            <a:srgbClr val="00B050"/>
          </a:solidFill>
        </c:spPr>
        <c:marker>
          <c:symbol val="none"/>
        </c:marker>
        <c:dLbl>
          <c:idx val="0"/>
          <c:delete val="1"/>
          <c:extLst>
            <c:ext xmlns:c15="http://schemas.microsoft.com/office/drawing/2012/chart" uri="{CE6537A1-D6FC-4f65-9D91-7224C49458BB}"/>
          </c:extLst>
        </c:dLbl>
      </c:pivotFmt>
      <c:pivotFmt>
        <c:idx val="44"/>
        <c:spPr>
          <a:solidFill>
            <a:srgbClr val="00B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076026438132629"/>
          <c:y val="1.6517644543856826E-2"/>
          <c:w val="0.80679457174124325"/>
          <c:h val="0.86618951447506487"/>
        </c:manualLayout>
      </c:layout>
      <c:barChart>
        <c:barDir val="bar"/>
        <c:grouping val="stacked"/>
        <c:varyColors val="0"/>
        <c:ser>
          <c:idx val="0"/>
          <c:order val="0"/>
          <c:tx>
            <c:strRef>
              <c:f>PIVOT!$C$35:$C$36</c:f>
              <c:strCache>
                <c:ptCount val="1"/>
                <c:pt idx="0">
                  <c:v>OPEN</c:v>
                </c:pt>
              </c:strCache>
            </c:strRef>
          </c:tx>
          <c:spPr>
            <a:solidFill>
              <a:srgbClr val="C00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PIVOT!$C$37:$C$47</c:f>
              <c:numCache>
                <c:formatCode>General</c:formatCode>
                <c:ptCount val="11"/>
                <c:pt idx="5">
                  <c:v>1</c:v>
                </c:pt>
              </c:numCache>
            </c:numRef>
          </c:val>
          <c:extLst>
            <c:ext xmlns:c16="http://schemas.microsoft.com/office/drawing/2014/chart" uri="{C3380CC4-5D6E-409C-BE32-E72D297353CC}">
              <c16:uniqueId val="{00000003-F0C3-4544-88A6-C04042F344FF}"/>
            </c:ext>
          </c:extLst>
        </c:ser>
        <c:ser>
          <c:idx val="1"/>
          <c:order val="1"/>
          <c:tx>
            <c:strRef>
              <c:f>PIVOT!$D$35:$D$36</c:f>
              <c:strCache>
                <c:ptCount val="1"/>
                <c:pt idx="0">
                  <c:v>ON PROGRESS</c:v>
                </c:pt>
              </c:strCache>
            </c:strRef>
          </c:tx>
          <c:spPr>
            <a:solidFill>
              <a:srgbClr val="FFC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PIVOT!$D$37:$D$47</c:f>
              <c:numCache>
                <c:formatCode>General</c:formatCode>
                <c:ptCount val="11"/>
                <c:pt idx="2">
                  <c:v>4</c:v>
                </c:pt>
                <c:pt idx="5">
                  <c:v>1</c:v>
                </c:pt>
                <c:pt idx="9">
                  <c:v>2</c:v>
                </c:pt>
              </c:numCache>
            </c:numRef>
          </c:val>
          <c:extLst>
            <c:ext xmlns:c16="http://schemas.microsoft.com/office/drawing/2014/chart" uri="{C3380CC4-5D6E-409C-BE32-E72D297353CC}">
              <c16:uniqueId val="{00000006-18B2-4757-A73B-40594C2C5B76}"/>
            </c:ext>
          </c:extLst>
        </c:ser>
        <c:ser>
          <c:idx val="2"/>
          <c:order val="2"/>
          <c:tx>
            <c:strRef>
              <c:f>PIVOT!$E$35:$E$36</c:f>
              <c:strCache>
                <c:ptCount val="1"/>
                <c:pt idx="0">
                  <c:v>CLOSE</c:v>
                </c:pt>
              </c:strCache>
            </c:strRef>
          </c:tx>
          <c:spPr>
            <a:solidFill>
              <a:srgbClr val="00B050"/>
            </a:solidFill>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PIVOT!$E$37:$E$47</c:f>
              <c:numCache>
                <c:formatCode>General</c:formatCode>
                <c:ptCount val="11"/>
                <c:pt idx="0">
                  <c:v>3</c:v>
                </c:pt>
                <c:pt idx="1">
                  <c:v>2</c:v>
                </c:pt>
                <c:pt idx="2">
                  <c:v>2</c:v>
                </c:pt>
                <c:pt idx="3">
                  <c:v>1</c:v>
                </c:pt>
                <c:pt idx="4">
                  <c:v>2</c:v>
                </c:pt>
                <c:pt idx="6">
                  <c:v>2</c:v>
                </c:pt>
                <c:pt idx="7">
                  <c:v>1</c:v>
                </c:pt>
                <c:pt idx="8">
                  <c:v>1</c:v>
                </c:pt>
                <c:pt idx="9">
                  <c:v>3</c:v>
                </c:pt>
                <c:pt idx="10">
                  <c:v>2</c:v>
                </c:pt>
              </c:numCache>
            </c:numRef>
          </c:val>
          <c:extLst>
            <c:ext xmlns:c16="http://schemas.microsoft.com/office/drawing/2014/chart" uri="{C3380CC4-5D6E-409C-BE32-E72D297353CC}">
              <c16:uniqueId val="{00000008-18B2-4757-A73B-40594C2C5B76}"/>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legend>
      <c:legendPos val="b"/>
      <c:layout>
        <c:manualLayout>
          <c:xMode val="edge"/>
          <c:yMode val="edge"/>
          <c:x val="0.3100526426049886"/>
          <c:y val="0.93308318358502051"/>
          <c:w val="0.37941341513270949"/>
          <c:h val="5.1532354238658117E-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6933842594765393E-2"/>
          <c:y val="5.4000144236187847E-2"/>
          <c:w val="0.96596674868792631"/>
          <c:h val="0.84605278912535986"/>
        </c:manualLayout>
      </c:layout>
      <c:barChart>
        <c:barDir val="col"/>
        <c:grouping val="clustered"/>
        <c:varyColors val="0"/>
        <c:ser>
          <c:idx val="3"/>
          <c:order val="0"/>
          <c:tx>
            <c:strRef>
              <c:f>PIVOT!$G$7</c:f>
              <c:strCache>
                <c:ptCount val="1"/>
                <c:pt idx="0">
                  <c:v>CLOSE</c:v>
                </c:pt>
              </c:strCache>
            </c:strRef>
          </c:tx>
          <c:spPr>
            <a:solidFill>
              <a:srgbClr val="00B05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[1]PIVOT!$D$40:$F$40</c:f>
              <c:strCache>
                <c:ptCount val="3"/>
                <c:pt idx="0">
                  <c:v>CLOSED</c:v>
                </c:pt>
                <c:pt idx="1">
                  <c:v>OPEN</c:v>
                </c:pt>
                <c:pt idx="2">
                  <c:v>PROGRESS</c:v>
                </c:pt>
              </c:strCache>
            </c:strRef>
          </c:cat>
          <c:val>
            <c:numRef>
              <c:f>PIVOT!$H$7</c:f>
              <c:numCache>
                <c:formatCode>General</c:formatCode>
                <c:ptCount val="1"/>
                <c:pt idx="0">
                  <c:v>19</c:v>
                </c:pt>
              </c:numCache>
            </c:numRef>
          </c:val>
          <c:extLst>
            <c:ext xmlns:c16="http://schemas.microsoft.com/office/drawing/2014/chart" uri="{C3380CC4-5D6E-409C-BE32-E72D297353CC}">
              <c16:uniqueId val="{00000000-297C-42A1-A600-9DF76AA5FCE7}"/>
            </c:ext>
          </c:extLst>
        </c:ser>
        <c:ser>
          <c:idx val="0"/>
          <c:order val="1"/>
          <c:tx>
            <c:strRef>
              <c:f>PIVOT!$G$8</c:f>
              <c:strCache>
                <c:ptCount val="1"/>
                <c:pt idx="0">
                  <c:v>OPEN</c:v>
                </c:pt>
              </c:strCache>
            </c:strRef>
          </c:tx>
          <c:spPr>
            <a:solidFill>
              <a:srgbClr val="C00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PIVOT!$H$8</c:f>
              <c:numCache>
                <c:formatCode>General</c:formatCode>
                <c:ptCount val="1"/>
                <c:pt idx="0">
                  <c:v>1</c:v>
                </c:pt>
              </c:numCache>
            </c:numRef>
          </c:val>
          <c:extLst>
            <c:ext xmlns:c16="http://schemas.microsoft.com/office/drawing/2014/chart" uri="{C3380CC4-5D6E-409C-BE32-E72D297353CC}">
              <c16:uniqueId val="{00000001-297C-42A1-A600-9DF76AA5FCE7}"/>
            </c:ext>
          </c:extLst>
        </c:ser>
        <c:ser>
          <c:idx val="1"/>
          <c:order val="2"/>
          <c:tx>
            <c:strRef>
              <c:f>PIVOT!$G$9</c:f>
              <c:strCache>
                <c:ptCount val="1"/>
                <c:pt idx="0">
                  <c:v>ON PROGRESS</c:v>
                </c:pt>
              </c:strCache>
            </c:strRef>
          </c:tx>
          <c:spPr>
            <a:solidFill>
              <a:srgbClr val="FFC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PIVOT!$H$9</c:f>
              <c:numCache>
                <c:formatCode>General</c:formatCode>
                <c:ptCount val="1"/>
                <c:pt idx="0">
                  <c:v>7</c:v>
                </c:pt>
              </c:numCache>
            </c:numRef>
          </c:val>
          <c:extLst>
            <c:ext xmlns:c16="http://schemas.microsoft.com/office/drawing/2014/chart" uri="{C3380CC4-5D6E-409C-BE32-E72D297353CC}">
              <c16:uniqueId val="{00000002-297C-42A1-A600-9DF76AA5FCE7}"/>
            </c:ext>
          </c:extLst>
        </c:ser>
        <c:dLbls>
          <c:dLblPos val="ctr"/>
          <c:showLegendKey val="0"/>
          <c:showVal val="1"/>
          <c:showCatName val="0"/>
          <c:showSerName val="0"/>
          <c:showPercent val="0"/>
          <c:showBubbleSize val="0"/>
        </c:dLbls>
        <c:gapWidth val="150"/>
        <c:axId val="1981401728"/>
        <c:axId val="1981400288"/>
      </c:barChart>
      <c:catAx>
        <c:axId val="1981401728"/>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majorUnit val="1"/>
      </c:valAx>
      <c:spPr>
        <a:noFill/>
        <a:ln>
          <a:noFill/>
        </a:ln>
        <a:effectLst/>
        <a:sp3d/>
      </c:spPr>
    </c:plotArea>
    <c:legend>
      <c:legendPos val="tr"/>
      <c:layout>
        <c:manualLayout>
          <c:xMode val="edge"/>
          <c:yMode val="edge"/>
          <c:x val="0.46564151082961852"/>
          <c:y val="1.1677570165163709E-2"/>
          <c:w val="0.5333749123584538"/>
          <c:h val="5.487929426487914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[CAM_GS_PR002.xlsx]PIVOT!PivotTable11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38100" cap="rnd">
            <a:solidFill>
              <a:srgbClr val="00B050"/>
            </a:solidFill>
            <a:round/>
          </a:ln>
          <a:effectLst/>
        </c:spPr>
        <c:marker>
          <c:symbol val="circle"/>
          <c:size val="5"/>
          <c:spPr>
            <a:solidFill>
              <a:srgbClr val="00B0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00B050"/>
            </a:solidFill>
            <a:round/>
          </a:ln>
          <a:effectLst/>
        </c:spPr>
        <c:marker>
          <c:symbol val="circle"/>
          <c:size val="5"/>
        </c:marker>
      </c:pivotFmt>
      <c:pivotFmt>
        <c:idx val="9"/>
        <c:spPr>
          <a:ln w="38100" cap="rnd">
            <a:solidFill>
              <a:srgbClr val="F39C12"/>
            </a:solidFill>
            <a:round/>
          </a:ln>
          <a:effectLst/>
        </c:spPr>
        <c:marker>
          <c:symbol val="circle"/>
          <c:size val="5"/>
          <c:spPr>
            <a:solidFill>
              <a:srgbClr val="F39C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rgbClr val="85C1E9"/>
            </a:solidFill>
            <a:round/>
          </a:ln>
          <a:effectLst/>
        </c:spPr>
        <c:marker>
          <c:symbol val="circle"/>
          <c:size val="5"/>
          <c:spPr>
            <a:solidFill>
              <a:srgbClr val="85C1E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19862298111987E-2"/>
          <c:y val="4.9717514124293788E-2"/>
          <c:w val="0.95891877865119357"/>
          <c:h val="0.85098018607410153"/>
        </c:manualLayout>
      </c:layout>
      <c:lineChart>
        <c:grouping val="standard"/>
        <c:varyColors val="0"/>
        <c:ser>
          <c:idx val="0"/>
          <c:order val="0"/>
          <c:tx>
            <c:strRef>
              <c:f>PIVOT!$C$243:$C$244</c:f>
              <c:strCache>
                <c:ptCount val="1"/>
                <c:pt idx="0">
                  <c:v>DOZER READINESS</c:v>
                </c:pt>
              </c:strCache>
            </c:strRef>
          </c:tx>
          <c:spPr>
            <a:ln w="38100" cap="rnd">
              <a:solidFill>
                <a:srgbClr val="00B050"/>
              </a:solidFill>
              <a:round/>
            </a:ln>
            <a:effectLst/>
          </c:spPr>
          <c:marker>
            <c:symbol val="circle"/>
            <c:size val="5"/>
            <c:spPr>
              <a:solidFill>
                <a:srgbClr val="00B050"/>
              </a:solidFill>
              <a:ln w="9525">
                <a:noFill/>
              </a:ln>
              <a:effectLst/>
            </c:spPr>
          </c:marker>
          <c:dPt>
            <c:idx val="30"/>
            <c:marker>
              <c:symbol val="circle"/>
              <c:size val="5"/>
              <c:spPr>
                <a:solidFill>
                  <a:srgbClr val="00B050"/>
                </a:solidFill>
                <a:ln w="9525">
                  <a:noFill/>
                </a:ln>
                <a:effectLst/>
              </c:spPr>
            </c:marker>
            <c:bubble3D val="0"/>
            <c:spPr>
              <a:ln w="38100" cap="rnd">
                <a:solidFill>
                  <a:srgbClr val="00B050"/>
                </a:solidFill>
                <a:round/>
              </a:ln>
              <a:effectLst/>
            </c:spPr>
            <c:extLst>
              <c:ext xmlns:c16="http://schemas.microsoft.com/office/drawing/2014/chart" uri="{C3380CC4-5D6E-409C-BE32-E72D297353CC}">
                <c16:uniqueId val="{00000000-AEA6-4807-9508-C1DE91EF72AC}"/>
              </c:ext>
            </c:extLst>
          </c:dPt>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1"/>
          <c:extLst>
            <c:ext xmlns:c16="http://schemas.microsoft.com/office/drawing/2014/chart" uri="{C3380CC4-5D6E-409C-BE32-E72D297353CC}">
              <c16:uniqueId val="{00000000-C747-40CF-A739-5E4B073F6082}"/>
            </c:ext>
          </c:extLst>
        </c:ser>
        <c:ser>
          <c:idx val="1"/>
          <c:order val="1"/>
          <c:tx>
            <c:strRef>
              <c:f>PIVOT!$D$243:$D$244</c:f>
              <c:strCache>
                <c:ptCount val="1"/>
                <c:pt idx="0">
                  <c:v>MTBF</c:v>
                </c:pt>
              </c:strCache>
            </c:strRef>
          </c:tx>
          <c:spPr>
            <a:ln w="38100" cap="rnd">
              <a:solidFill>
                <a:srgbClr val="F39C12"/>
              </a:solidFill>
              <a:round/>
            </a:ln>
            <a:effectLst/>
          </c:spPr>
          <c:marker>
            <c:symbol val="circle"/>
            <c:size val="5"/>
            <c:spPr>
              <a:solidFill>
                <a:srgbClr val="F39C12"/>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1"/>
          <c:extLst>
            <c:ext xmlns:c16="http://schemas.microsoft.com/office/drawing/2014/chart" uri="{C3380CC4-5D6E-409C-BE32-E72D297353CC}">
              <c16:uniqueId val="{00000001-C747-40CF-A739-5E4B073F6082}"/>
            </c:ext>
          </c:extLst>
        </c:ser>
        <c:ser>
          <c:idx val="2"/>
          <c:order val="2"/>
          <c:tx>
            <c:strRef>
              <c:f>PIVOT!$E$243:$E$244</c:f>
              <c:strCache>
                <c:ptCount val="1"/>
                <c:pt idx="0">
                  <c:v>PA ALL DOZER</c:v>
                </c:pt>
              </c:strCache>
            </c:strRef>
          </c:tx>
          <c:spPr>
            <a:ln w="38100" cap="rnd">
              <a:solidFill>
                <a:srgbClr val="85C1E9"/>
              </a:solidFill>
              <a:round/>
            </a:ln>
            <a:effectLst/>
          </c:spPr>
          <c:marker>
            <c:symbol val="circle"/>
            <c:size val="5"/>
            <c:spPr>
              <a:solidFill>
                <a:srgbClr val="85C1E9"/>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1"/>
          <c:extLst>
            <c:ext xmlns:c16="http://schemas.microsoft.com/office/drawing/2014/chart" uri="{C3380CC4-5D6E-409C-BE32-E72D297353CC}">
              <c16:uniqueId val="{00000003-47A4-446F-9D30-65D58BB1211A}"/>
            </c:ext>
          </c:extLst>
        </c:ser>
        <c:ser>
          <c:idx val="3"/>
          <c:order val="3"/>
          <c:tx>
            <c:strRef>
              <c:f>PIVOT!$F$243:$F$244</c:f>
              <c:strCache>
                <c:ptCount val="1"/>
                <c:pt idx="0">
                  <c:v>MTTR</c:v>
                </c:pt>
              </c:strCache>
            </c:strRef>
          </c:tx>
          <c:spPr>
            <a:ln w="38100"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1"/>
          <c:extLst>
            <c:ext xmlns:c16="http://schemas.microsoft.com/office/drawing/2014/chart" uri="{C3380CC4-5D6E-409C-BE32-E72D297353CC}">
              <c16:uniqueId val="{00000004-47A4-446F-9D30-65D58BB1211A}"/>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53099352984742043"/>
          <c:y val="4.5506376680555516E-2"/>
          <c:w val="0.46803656623873202"/>
          <c:h val="7.5707282352417818E-2"/>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F9E7-45E5-A587-E176BE5EFC7C}"/>
            </c:ext>
          </c:extLst>
        </c:ser>
        <c:ser>
          <c:idx val="1"/>
          <c:order val="1"/>
          <c:tx>
            <c:strRef>
              <c:f>PIVOT!$D$88:$D$89</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[CAM_GS_PR002.xlsx]PIVOT!PivotTable9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F9E7-45E5-A587-E176BE5EFC7C}"/>
            </c:ext>
          </c:extLst>
        </c:ser>
        <c:ser>
          <c:idx val="1"/>
          <c:order val="1"/>
          <c:tx>
            <c:strRef>
              <c:f>PIVOT!$D$127:$D$128</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[CAM_GS_PR002.xlsx]PIVOT!PivotTable5</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41"/>
        <c:spPr>
          <a:solidFill>
            <a:srgbClr val="23C55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00728148887474"/>
          <c:y val="1.2194517351997667E-2"/>
          <c:w val="0.75809845114297369"/>
          <c:h val="0.91806658606384628"/>
        </c:manualLayout>
      </c:layout>
      <c:barChart>
        <c:barDir val="bar"/>
        <c:grouping val="stacked"/>
        <c:varyColors val="0"/>
        <c:ser>
          <c:idx val="0"/>
          <c:order val="0"/>
          <c:tx>
            <c:strRef>
              <c:f>PIVOT!$C$59</c:f>
              <c:strCache>
                <c:ptCount val="1"/>
                <c:pt idx="0">
                  <c:v>Total</c:v>
                </c:pt>
              </c:strCache>
            </c:strRef>
          </c:tx>
          <c:spPr>
            <a:solidFill>
              <a:srgbClr val="23C55E"/>
            </a:solidFill>
            <a:ln>
              <a:noFill/>
            </a:ln>
            <a:effectLst/>
          </c:spPr>
          <c:invertIfNegative val="0"/>
          <c:cat>
            <c:strRef>
              <c:f>PIVOT!$B$60:$B$70</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PIVOT!$C$60:$C$70</c:f>
              <c:numCache>
                <c:formatCode>0%</c:formatCode>
                <c:ptCount val="11"/>
                <c:pt idx="0">
                  <c:v>1</c:v>
                </c:pt>
                <c:pt idx="1">
                  <c:v>1</c:v>
                </c:pt>
                <c:pt idx="2">
                  <c:v>0.33333333333333331</c:v>
                </c:pt>
                <c:pt idx="3">
                  <c:v>1</c:v>
                </c:pt>
                <c:pt idx="4">
                  <c:v>1</c:v>
                </c:pt>
                <c:pt idx="5">
                  <c:v>0</c:v>
                </c:pt>
                <c:pt idx="6">
                  <c:v>1</c:v>
                </c:pt>
                <c:pt idx="7">
                  <c:v>1</c:v>
                </c:pt>
                <c:pt idx="8">
                  <c:v>1</c:v>
                </c:pt>
                <c:pt idx="9">
                  <c:v>0.6</c:v>
                </c:pt>
                <c:pt idx="10">
                  <c:v>1</c:v>
                </c:pt>
              </c:numCache>
            </c:numRef>
          </c:val>
          <c:extLst>
            <c:ext xmlns:c16="http://schemas.microsoft.com/office/drawing/2014/chart" uri="{C3380CC4-5D6E-409C-BE32-E72D297353CC}">
              <c16:uniqueId val="{00000000-5A5D-4933-89BC-4F2760E6EEC8}"/>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8415508647793046E-2"/>
          <c:y val="4.4795122535294017E-2"/>
          <c:w val="0.94158449135220712"/>
          <c:h val="0.84895333636307535"/>
        </c:manualLayout>
      </c:layout>
      <c:barChart>
        <c:barDir val="col"/>
        <c:grouping val="clustered"/>
        <c:varyColors val="0"/>
        <c:ser>
          <c:idx val="0"/>
          <c:order val="0"/>
          <c:tx>
            <c:strRef>
              <c:f>PIVOT!$H$19</c:f>
              <c:strCache>
                <c:ptCount val="1"/>
                <c:pt idx="0">
                  <c:v>&gt; 14 Hari</c:v>
                </c:pt>
              </c:strCache>
            </c:strRef>
          </c:tx>
          <c:spPr>
            <a:solidFill>
              <a:srgbClr val="00B05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PIVOT!$G$19</c:f>
              <c:numCache>
                <c:formatCode>General</c:formatCode>
                <c:ptCount val="1"/>
                <c:pt idx="0">
                  <c:v>0</c:v>
                </c:pt>
              </c:numCache>
            </c:numRef>
          </c:val>
          <c:extLst>
            <c:ext xmlns:c16="http://schemas.microsoft.com/office/drawing/2014/chart" uri="{C3380CC4-5D6E-409C-BE32-E72D297353CC}">
              <c16:uniqueId val="{00000000-832E-40AC-8D30-7BF420979CB2}"/>
            </c:ext>
          </c:extLst>
        </c:ser>
        <c:ser>
          <c:idx val="1"/>
          <c:order val="1"/>
          <c:tx>
            <c:strRef>
              <c:f>PIVOT!$H$20</c:f>
              <c:strCache>
                <c:ptCount val="1"/>
                <c:pt idx="0">
                  <c:v>&lt; 14 Hari</c:v>
                </c:pt>
              </c:strCache>
            </c:strRef>
          </c:tx>
          <c:spPr>
            <a:solidFill>
              <a:srgbClr val="FFFF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PIVOT!$G$21</c:f>
              <c:numCache>
                <c:formatCode>General</c:formatCode>
                <c:ptCount val="1"/>
                <c:pt idx="0">
                  <c:v>0</c:v>
                </c:pt>
              </c:numCache>
            </c:numRef>
          </c:val>
          <c:extLst>
            <c:ext xmlns:c16="http://schemas.microsoft.com/office/drawing/2014/chart" uri="{C3380CC4-5D6E-409C-BE32-E72D297353CC}">
              <c16:uniqueId val="{00000001-832E-40AC-8D30-7BF420979CB2}"/>
            </c:ext>
          </c:extLst>
        </c:ser>
        <c:ser>
          <c:idx val="2"/>
          <c:order val="2"/>
          <c:tx>
            <c:strRef>
              <c:f>PIVOT!$H$21</c:f>
              <c:strCache>
                <c:ptCount val="1"/>
                <c:pt idx="0">
                  <c:v>&lt; 7 Hari</c:v>
                </c:pt>
              </c:strCache>
            </c:strRef>
          </c:tx>
          <c:spPr>
            <a:solidFill>
              <a:srgbClr val="F39C12"/>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PIVOT!#REF!</c:f>
              <c:numCache>
                <c:formatCode>General</c:formatCode>
                <c:ptCount val="1"/>
                <c:pt idx="0">
                  <c:v>1</c:v>
                </c:pt>
              </c:numCache>
            </c:numRef>
          </c:val>
          <c:extLst>
            <c:ext xmlns:c16="http://schemas.microsoft.com/office/drawing/2014/chart" uri="{C3380CC4-5D6E-409C-BE32-E72D297353CC}">
              <c16:uniqueId val="{00000002-832E-40AC-8D30-7BF420979CB2}"/>
            </c:ext>
          </c:extLst>
        </c:ser>
        <c:ser>
          <c:idx val="3"/>
          <c:order val="3"/>
          <c:tx>
            <c:strRef>
              <c:f>PIVOT!$H$22</c:f>
              <c:strCache>
                <c:ptCount val="1"/>
                <c:pt idx="0">
                  <c:v>&lt; 3 Hari</c:v>
                </c:pt>
              </c:strCache>
            </c:strRef>
          </c:tx>
          <c:invertIfNegative val="0"/>
          <c:dPt>
            <c:idx val="0"/>
            <c:invertIfNegative val="0"/>
            <c:bubble3D val="0"/>
            <c:spPr>
              <a:solidFill>
                <a:srgbClr val="FF0000"/>
              </a:solidFill>
            </c:spPr>
            <c:extLst>
              <c:ext xmlns:c16="http://schemas.microsoft.com/office/drawing/2014/chart" uri="{C3380CC4-5D6E-409C-BE32-E72D297353CC}">
                <c16:uniqueId val="{00000005-832E-40AC-8D30-7BF420979CB2}"/>
              </c:ext>
            </c:extLst>
          </c:dPt>
          <c:cat>
            <c:strRef>
              <c:f>PIVOT!$H$18:$H$23</c:f>
              <c:strCache>
                <c:ptCount val="6"/>
                <c:pt idx="0">
                  <c:v>STATUS</c:v>
                </c:pt>
                <c:pt idx="1">
                  <c:v>&gt; 14 Hari</c:v>
                </c:pt>
                <c:pt idx="2">
                  <c:v>&lt; 14 Hari</c:v>
                </c:pt>
                <c:pt idx="3">
                  <c:v>&lt; 7 Hari</c:v>
                </c:pt>
                <c:pt idx="4">
                  <c:v>&lt; 3 Hari</c:v>
                </c:pt>
                <c:pt idx="5">
                  <c:v>Overdue</c:v>
                </c:pt>
              </c:strCache>
            </c:strRef>
          </c:cat>
          <c:val>
            <c:numRef>
              <c:f>PIVOT!$G$22</c:f>
              <c:numCache>
                <c:formatCode>General</c:formatCode>
                <c:ptCount val="1"/>
                <c:pt idx="0">
                  <c:v>0</c:v>
                </c:pt>
              </c:numCache>
            </c:numRef>
          </c:val>
          <c:extLst>
            <c:ext xmlns:c16="http://schemas.microsoft.com/office/drawing/2014/chart" uri="{C3380CC4-5D6E-409C-BE32-E72D297353CC}">
              <c16:uniqueId val="{00000003-832E-40AC-8D30-7BF420979CB2}"/>
            </c:ext>
          </c:extLst>
        </c:ser>
        <c:ser>
          <c:idx val="4"/>
          <c:order val="4"/>
          <c:tx>
            <c:strRef>
              <c:f>PIVOT!$H$23</c:f>
              <c:strCache>
                <c:ptCount val="1"/>
                <c:pt idx="0">
                  <c:v>Overdue</c:v>
                </c:pt>
              </c:strCache>
            </c:strRef>
          </c:tx>
          <c:spPr>
            <a:solidFill>
              <a:srgbClr val="C000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PIVOT!$G$23</c:f>
              <c:numCache>
                <c:formatCode>General</c:formatCode>
                <c:ptCount val="1"/>
                <c:pt idx="0">
                  <c:v>7</c:v>
                </c:pt>
              </c:numCache>
            </c:numRef>
          </c:val>
          <c:extLst>
            <c:ext xmlns:c16="http://schemas.microsoft.com/office/drawing/2014/chart" uri="{C3380CC4-5D6E-409C-BE32-E72D297353CC}">
              <c16:uniqueId val="{00000004-832E-40AC-8D30-7BF420979CB2}"/>
            </c:ext>
          </c:extLst>
        </c:ser>
        <c:dLbls>
          <c:showLegendKey val="0"/>
          <c:showVal val="0"/>
          <c:showCatName val="0"/>
          <c:showSerName val="0"/>
          <c:showPercent val="0"/>
          <c:showBubbleSize val="0"/>
        </c:dLbls>
        <c:gapWidth val="188"/>
        <c:overlap val="-10"/>
        <c:axId val="1981401728"/>
        <c:axId val="1981400288"/>
      </c:barChart>
      <c:catAx>
        <c:axId val="198140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valAx>
      <c:spPr>
        <a:noFill/>
        <a:ln>
          <a:noFill/>
        </a:ln>
        <a:effectLst/>
        <a:sp3d/>
      </c:spPr>
    </c:plotArea>
    <c:legend>
      <c:legendPos val="tr"/>
      <c:layout>
        <c:manualLayout>
          <c:xMode val="edge"/>
          <c:yMode val="edge"/>
          <c:x val="0.53895833793323822"/>
          <c:y val="1.5236233319133848E-3"/>
          <c:w val="0.44454735541642904"/>
          <c:h val="5.266477107028288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[CAM_GS_PR002.xlsx]PIVOT!PivotTable10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2211412355181164"/>
          <c:w val="0.93964757044738401"/>
          <c:h val="0.76957670416261104"/>
        </c:manualLayout>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F9E7-45E5-A587-E176BE5EFC7C}"/>
            </c:ext>
          </c:extLst>
        </c:ser>
        <c:ser>
          <c:idx val="1"/>
          <c:order val="1"/>
          <c:tx>
            <c:strRef>
              <c:f>PIVOT!$D$166:$D$167</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[CAM_GS_PR002.xlsx]PIVOT!PivotTable16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0212605482925977"/>
          <c:w val="0.93964757044738401"/>
          <c:h val="0.78747212627344654"/>
        </c:manualLayout>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F9E7-45E5-A587-E176BE5EFC7C}"/>
            </c:ext>
          </c:extLst>
        </c:ser>
        <c:ser>
          <c:idx val="1"/>
          <c:order val="1"/>
          <c:tx>
            <c:strRef>
              <c:f>PIVOT!$D$203:$D$204</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[CAM_GS_PR002.xlsx]PIVOT!PivotTable17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rgbClr val="C00000">
                <a:alpha val="96000"/>
              </a:srgbClr>
            </a:solidFill>
            <a:ln w="9525">
              <a:noFill/>
            </a:ln>
            <a:effectLst/>
          </c:spPr>
        </c:marker>
      </c:pivotFmt>
      <c:pivotFmt>
        <c:idx val="9"/>
        <c:spPr>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4589234322493E-2"/>
          <c:y val="4.9717514124293788E-2"/>
          <c:w val="0.96408155230089054"/>
          <c:h val="0.81831291427554609"/>
        </c:manualLayout>
      </c:layout>
      <c:lineChart>
        <c:grouping val="standard"/>
        <c:varyColors val="0"/>
        <c:ser>
          <c:idx val="0"/>
          <c:order val="0"/>
          <c:tx>
            <c:strRef>
              <c:f>PIVOT!$C$329:$C$330</c:f>
              <c:strCache>
                <c:ptCount val="1"/>
                <c:pt idx="0">
                  <c:v>ACTUAL</c:v>
                </c:pt>
              </c:strCache>
            </c:strRef>
          </c:tx>
          <c:spPr>
            <a:ln w="28575" cap="rnd">
              <a:solidFill>
                <a:srgbClr val="C00000"/>
              </a:solidFill>
              <a:round/>
            </a:ln>
            <a:effectLst/>
          </c:spPr>
          <c:marker>
            <c:symbol val="circle"/>
            <c:size val="5"/>
            <c:spPr>
              <a:solidFill>
                <a:srgbClr val="C00000"/>
              </a:solidFill>
              <a:ln w="9525">
                <a:noFill/>
              </a:ln>
              <a:effectLst/>
            </c:spPr>
          </c:marker>
          <c:dPt>
            <c:idx val="30"/>
            <c:marker>
              <c:symbol val="circle"/>
              <c:size val="5"/>
              <c:spPr>
                <a:solidFill>
                  <a:srgbClr val="C00000">
                    <a:alpha val="96000"/>
                  </a:srgbClr>
                </a:solidFill>
                <a:ln w="9525">
                  <a:noFill/>
                </a:ln>
                <a:effectLst/>
              </c:spPr>
            </c:marker>
            <c:bubble3D val="0"/>
            <c:extLst>
              <c:ext xmlns:c16="http://schemas.microsoft.com/office/drawing/2014/chart" uri="{C3380CC4-5D6E-409C-BE32-E72D297353CC}">
                <c16:uniqueId val="{00000000-AEA6-4807-9508-C1DE91EF72A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0-C747-40CF-A739-5E4B073F6082}"/>
            </c:ext>
          </c:extLst>
        </c:ser>
        <c:ser>
          <c:idx val="1"/>
          <c:order val="1"/>
          <c:tx>
            <c:strRef>
              <c:f>PIVOT!$D$329:$D$330</c:f>
              <c:strCache>
                <c:ptCount val="1"/>
                <c:pt idx="0">
                  <c:v>PLAN</c:v>
                </c:pt>
              </c:strCache>
            </c:strRef>
          </c:tx>
          <c:spPr>
            <a:ln w="28575" cap="rnd">
              <a:solidFill>
                <a:srgbClr val="0070C0"/>
              </a:solidFill>
              <a:round/>
            </a:ln>
            <a:effectLst/>
          </c:spPr>
          <c:marker>
            <c:symbol val="circle"/>
            <c:size val="5"/>
            <c:spPr>
              <a:solidFill>
                <a:srgbClr val="0070C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1-C747-40CF-A739-5E4B073F6082}"/>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85669766652668145"/>
          <c:y val="1.8079096045197741E-2"/>
          <c:w val="0.13806012663156381"/>
          <c:h val="7.5707282352417818E-2"/>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[CAM_GS_PR002.xlsx]PIVOT!PivotTable4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PIVOT!$C$369</c:f>
              <c:strCache>
                <c:ptCount val="1"/>
                <c:pt idx="0">
                  <c:v>DOZER READINESS</c:v>
                </c:pt>
              </c:strCache>
            </c:strRef>
          </c:tx>
          <c:spPr>
            <a:solidFill>
              <a:srgbClr val="00B050"/>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PIVOT!$D$369</c:f>
              <c:strCache>
                <c:ptCount val="1"/>
                <c:pt idx="0">
                  <c:v>DAILY ACTUAL</c:v>
                </c:pt>
              </c:strCache>
            </c:strRef>
          </c:tx>
          <c:spPr>
            <a:ln w="28575" cap="rnd">
              <a:solidFill>
                <a:srgbClr val="C0000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PIVOT!$E$369</c:f>
              <c:strCache>
                <c:ptCount val="1"/>
                <c:pt idx="0">
                  <c:v>DAILY PLAN</c:v>
                </c:pt>
              </c:strCache>
            </c:strRef>
          </c:tx>
          <c:spPr>
            <a:ln w="28575" cap="rnd">
              <a:solidFill>
                <a:srgbClr val="0070C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[CAM_GS_PR002.xlsx]PIVOT!PivotTable6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5C1E9"/>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5C1E9"/>
          </a:solidFill>
          <a:ln w="0" cap="rnd" cmpd="sng">
            <a:solidFill>
              <a:schemeClr val="tx1"/>
            </a:solidFill>
          </a:ln>
          <a:effectLst/>
        </c:spPr>
        <c:dLbl>
          <c:idx val="0"/>
          <c:layout>
            <c:manualLayout>
              <c:x val="-6.3565701276939933E-17"/>
              <c:y val="-6.055125480953369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907660041832E-2"/>
          <c:y val="7.5624286215991238E-2"/>
          <c:w val="0.8978086751623584"/>
          <c:h val="0.78618938119578341"/>
        </c:manualLayout>
      </c:layout>
      <c:barChart>
        <c:barDir val="col"/>
        <c:grouping val="clustered"/>
        <c:varyColors val="0"/>
        <c:ser>
          <c:idx val="0"/>
          <c:order val="0"/>
          <c:tx>
            <c:strRef>
              <c:f>PIVOT!$C$403</c:f>
              <c:strCache>
                <c:ptCount val="1"/>
                <c:pt idx="0">
                  <c:v>PA DOZER</c:v>
                </c:pt>
              </c:strCache>
            </c:strRef>
          </c:tx>
          <c:spPr>
            <a:solidFill>
              <a:srgbClr val="85C1E9"/>
            </a:solidFill>
            <a:ln w="0" cap="rnd" cmpd="sng">
              <a:solidFill>
                <a:schemeClr val="tx1"/>
              </a:solidFill>
            </a:ln>
            <a:effectLst/>
          </c:spPr>
          <c:invertIfNegative val="0"/>
          <c:dPt>
            <c:idx val="18"/>
            <c:invertIfNegative val="0"/>
            <c:bubble3D val="0"/>
            <c:extLst>
              <c:ext xmlns:c16="http://schemas.microsoft.com/office/drawing/2014/chart" uri="{C3380CC4-5D6E-409C-BE32-E72D297353CC}">
                <c16:uniqueId val="{00000006-24C4-4CDE-89C2-E97624ED1040}"/>
              </c:ext>
            </c:extLst>
          </c:dPt>
          <c:dLbls>
            <c:dLbl>
              <c:idx val="18"/>
              <c:layout>
                <c:manualLayout>
                  <c:x val="-6.3565701276939933E-17"/>
                  <c:y val="-6.05512548095336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C4-4CDE-89C2-E97624ED104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PIVOT!$D$403</c:f>
              <c:strCache>
                <c:ptCount val="1"/>
                <c:pt idx="0">
                  <c:v>DAILY ACTUAL</c:v>
                </c:pt>
              </c:strCache>
            </c:strRef>
          </c:tx>
          <c:spPr>
            <a:ln w="28575" cap="rnd">
              <a:solidFill>
                <a:srgbClr val="C0000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PIVOT!$E$403</c:f>
              <c:strCache>
                <c:ptCount val="1"/>
                <c:pt idx="0">
                  <c:v>DAILY PLAN</c:v>
                </c:pt>
              </c:strCache>
            </c:strRef>
          </c:tx>
          <c:spPr>
            <a:ln w="28575" cap="rnd">
              <a:solidFill>
                <a:srgbClr val="0070C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[CAM_GS_PR002.xlsx]PIVOT!PivotTable8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39C1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94292840244279E-2"/>
          <c:y val="6.8772980735196457E-2"/>
          <c:w val="0.9113033386735403"/>
          <c:h val="0.78618938119578341"/>
        </c:manualLayout>
      </c:layout>
      <c:barChart>
        <c:barDir val="col"/>
        <c:grouping val="clustered"/>
        <c:varyColors val="0"/>
        <c:ser>
          <c:idx val="0"/>
          <c:order val="0"/>
          <c:tx>
            <c:strRef>
              <c:f>PIVOT!$C$442</c:f>
              <c:strCache>
                <c:ptCount val="1"/>
                <c:pt idx="0">
                  <c:v>MTBF (H)</c:v>
                </c:pt>
              </c:strCache>
            </c:strRef>
          </c:tx>
          <c:spPr>
            <a:solidFill>
              <a:srgbClr val="F39C12"/>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PIVOT!$D$442</c:f>
              <c:strCache>
                <c:ptCount val="1"/>
                <c:pt idx="0">
                  <c:v>DAILY ACTUAL</c:v>
                </c:pt>
              </c:strCache>
            </c:strRef>
          </c:tx>
          <c:spPr>
            <a:ln w="28575" cap="rnd">
              <a:solidFill>
                <a:srgbClr val="C0000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PIVOT!$E$442</c:f>
              <c:strCache>
                <c:ptCount val="1"/>
                <c:pt idx="0">
                  <c:v>DAILY PLAN</c:v>
                </c:pt>
              </c:strCache>
            </c:strRef>
          </c:tx>
          <c:spPr>
            <a:ln w="28575" cap="rnd">
              <a:solidFill>
                <a:srgbClr val="0070C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3627485224066026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[CAM_GS_PR002.xlsx]PIVOT!PivotTable13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lumMod val="75000"/>
            </a:srgbClr>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PIVOT!$C$483</c:f>
              <c:strCache>
                <c:ptCount val="1"/>
                <c:pt idx="0">
                  <c:v>MTTR (H)</c:v>
                </c:pt>
              </c:strCache>
            </c:strRef>
          </c:tx>
          <c:spPr>
            <a:solidFill>
              <a:srgbClr val="ED7D31">
                <a:lumMod val="75000"/>
              </a:srgbClr>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PIVOT!$D$483</c:f>
              <c:strCache>
                <c:ptCount val="1"/>
                <c:pt idx="0">
                  <c:v>DAILY ACTUAL</c:v>
                </c:pt>
              </c:strCache>
            </c:strRef>
          </c:tx>
          <c:spPr>
            <a:ln w="28575" cap="rnd">
              <a:solidFill>
                <a:srgbClr val="C0000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PIVOT!$E$483</c:f>
              <c:strCache>
                <c:ptCount val="1"/>
                <c:pt idx="0">
                  <c:v>DAILY PLAN</c:v>
                </c:pt>
              </c:strCache>
            </c:strRef>
          </c:tx>
          <c:spPr>
            <a:ln w="28575" cap="rnd">
              <a:solidFill>
                <a:srgbClr val="0070C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901245</xdr:colOff>
      <xdr:row>87</xdr:row>
      <xdr:rowOff>175533</xdr:rowOff>
    </xdr:from>
    <xdr:to>
      <xdr:col>14</xdr:col>
      <xdr:colOff>35378</xdr:colOff>
      <xdr:row>99</xdr:row>
      <xdr:rowOff>60780</xdr:rowOff>
    </xdr:to>
    <xdr:graphicFrame macro="">
      <xdr:nvGraphicFramePr>
        <xdr:cNvPr id="6" name="Chart 5">
          <a:extLst>
            <a:ext uri="{FF2B5EF4-FFF2-40B4-BE49-F238E27FC236}">
              <a16:creationId xmlns:a16="http://schemas.microsoft.com/office/drawing/2014/main" id="{72FA046E-2832-CAD8-9505-52611CDE6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12699</xdr:colOff>
      <xdr:row>126</xdr:row>
      <xdr:rowOff>152400</xdr:rowOff>
    </xdr:from>
    <xdr:to>
      <xdr:col>14</xdr:col>
      <xdr:colOff>45357</xdr:colOff>
      <xdr:row>138</xdr:row>
      <xdr:rowOff>45358</xdr:rowOff>
    </xdr:to>
    <xdr:graphicFrame macro="">
      <xdr:nvGraphicFramePr>
        <xdr:cNvPr id="7" name="Chart 6">
          <a:extLst>
            <a:ext uri="{FF2B5EF4-FFF2-40B4-BE49-F238E27FC236}">
              <a16:creationId xmlns:a16="http://schemas.microsoft.com/office/drawing/2014/main" id="{94C1EBF4-1B7F-FD8B-6F97-65F34B7E6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625927</xdr:colOff>
      <xdr:row>166</xdr:row>
      <xdr:rowOff>34472</xdr:rowOff>
    </xdr:from>
    <xdr:to>
      <xdr:col>13</xdr:col>
      <xdr:colOff>526141</xdr:colOff>
      <xdr:row>181</xdr:row>
      <xdr:rowOff>56243</xdr:rowOff>
    </xdr:to>
    <xdr:graphicFrame macro="">
      <xdr:nvGraphicFramePr>
        <xdr:cNvPr id="8" name="Chart 7">
          <a:extLst>
            <a:ext uri="{FF2B5EF4-FFF2-40B4-BE49-F238E27FC236}">
              <a16:creationId xmlns:a16="http://schemas.microsoft.com/office/drawing/2014/main" id="{AF826C52-A727-1B3E-9DC8-35F356D2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172356</xdr:colOff>
      <xdr:row>240</xdr:row>
      <xdr:rowOff>152401</xdr:rowOff>
    </xdr:from>
    <xdr:to>
      <xdr:col>14</xdr:col>
      <xdr:colOff>716642</xdr:colOff>
      <xdr:row>259</xdr:row>
      <xdr:rowOff>108858</xdr:rowOff>
    </xdr:to>
    <xdr:graphicFrame macro="">
      <xdr:nvGraphicFramePr>
        <xdr:cNvPr id="9" name="Chart 8">
          <a:extLst>
            <a:ext uri="{FF2B5EF4-FFF2-40B4-BE49-F238E27FC236}">
              <a16:creationId xmlns:a16="http://schemas.microsoft.com/office/drawing/2014/main" id="{18EFBDFC-32E6-4066-4D9C-B935D5B23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101600</xdr:colOff>
      <xdr:row>240</xdr:row>
      <xdr:rowOff>148771</xdr:rowOff>
    </xdr:from>
    <xdr:to>
      <xdr:col>24</xdr:col>
      <xdr:colOff>134257</xdr:colOff>
      <xdr:row>254</xdr:row>
      <xdr:rowOff>132896</xdr:rowOff>
    </xdr:to>
    <mc:AlternateContent xmlns:mc="http://schemas.openxmlformats.org/markup-compatibility/2006" xmlns:a14="http://schemas.microsoft.com/office/drawing/2010/main">
      <mc:Choice Requires="a14">
        <xdr:graphicFrame macro="">
          <xdr:nvGraphicFramePr>
            <xdr:cNvPr id="10" name="PARAMETER">
              <a:extLst>
                <a:ext uri="{FF2B5EF4-FFF2-40B4-BE49-F238E27FC236}">
                  <a16:creationId xmlns:a16="http://schemas.microsoft.com/office/drawing/2014/main" id="{E56B0196-D65B-0306-729D-7B7B8EAE91DA}"/>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2565743" y="3180805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861785</xdr:colOff>
      <xdr:row>286</xdr:row>
      <xdr:rowOff>134257</xdr:rowOff>
    </xdr:from>
    <xdr:to>
      <xdr:col>19</xdr:col>
      <xdr:colOff>263072</xdr:colOff>
      <xdr:row>300</xdr:row>
      <xdr:rowOff>117928</xdr:rowOff>
    </xdr:to>
    <xdr:graphicFrame macro="">
      <xdr:nvGraphicFramePr>
        <xdr:cNvPr id="11" name="Chart 10">
          <a:extLst>
            <a:ext uri="{FF2B5EF4-FFF2-40B4-BE49-F238E27FC236}">
              <a16:creationId xmlns:a16="http://schemas.microsoft.com/office/drawing/2014/main" id="{7A959957-4D9B-3A2A-FAB0-D5909A75B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180521</xdr:colOff>
      <xdr:row>286</xdr:row>
      <xdr:rowOff>4536</xdr:rowOff>
    </xdr:from>
    <xdr:to>
      <xdr:col>32</xdr:col>
      <xdr:colOff>13607</xdr:colOff>
      <xdr:row>299</xdr:row>
      <xdr:rowOff>170090</xdr:rowOff>
    </xdr:to>
    <mc:AlternateContent xmlns:mc="http://schemas.openxmlformats.org/markup-compatibility/2006" xmlns:a14="http://schemas.microsoft.com/office/drawing/2010/main">
      <mc:Choice Requires="a14">
        <xdr:graphicFrame macro="">
          <xdr:nvGraphicFramePr>
            <xdr:cNvPr id="12" name="PARAMETER 2">
              <a:extLst>
                <a:ext uri="{FF2B5EF4-FFF2-40B4-BE49-F238E27FC236}">
                  <a16:creationId xmlns:a16="http://schemas.microsoft.com/office/drawing/2014/main" id="{ED3C705B-DA48-1A27-6BD9-70FE3F0E357A}"/>
                </a:ext>
              </a:extLst>
            </xdr:cNvPr>
            <xdr:cNvGraphicFramePr/>
          </xdr:nvGraphicFramePr>
          <xdr:xfrm>
            <a:off x="0" y="0"/>
            <a:ext cx="0" cy="0"/>
          </xdr:xfrm>
          <a:graphic>
            <a:graphicData uri="http://schemas.microsoft.com/office/drawing/2010/slicer">
              <sle:slicer xmlns:sle="http://schemas.microsoft.com/office/drawing/2010/slicer" name="PARAMETER 2"/>
            </a:graphicData>
          </a:graphic>
        </xdr:graphicFrame>
      </mc:Choice>
      <mc:Fallback xmlns="">
        <xdr:sp macro="" textlink="">
          <xdr:nvSpPr>
            <xdr:cNvPr id="0" name=""/>
            <xdr:cNvSpPr>
              <a:spLocks noTextEdit="1"/>
            </xdr:cNvSpPr>
          </xdr:nvSpPr>
          <xdr:spPr>
            <a:xfrm>
              <a:off x="11674021" y="5198382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9072</xdr:colOff>
      <xdr:row>204</xdr:row>
      <xdr:rowOff>16328</xdr:rowOff>
    </xdr:from>
    <xdr:to>
      <xdr:col>17</xdr:col>
      <xdr:colOff>136072</xdr:colOff>
      <xdr:row>219</xdr:row>
      <xdr:rowOff>38100</xdr:rowOff>
    </xdr:to>
    <xdr:graphicFrame macro="">
      <xdr:nvGraphicFramePr>
        <xdr:cNvPr id="13" name="Chart 12">
          <a:extLst>
            <a:ext uri="{FF2B5EF4-FFF2-40B4-BE49-F238E27FC236}">
              <a16:creationId xmlns:a16="http://schemas.microsoft.com/office/drawing/2014/main" id="{8DA53174-C14D-3F7B-4EE1-D34C3039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198664</xdr:colOff>
      <xdr:row>328</xdr:row>
      <xdr:rowOff>63500</xdr:rowOff>
    </xdr:from>
    <xdr:to>
      <xdr:col>26</xdr:col>
      <xdr:colOff>127000</xdr:colOff>
      <xdr:row>347</xdr:row>
      <xdr:rowOff>72572</xdr:rowOff>
    </xdr:to>
    <xdr:graphicFrame macro="">
      <xdr:nvGraphicFramePr>
        <xdr:cNvPr id="14" name="Chart 13">
          <a:extLst>
            <a:ext uri="{FF2B5EF4-FFF2-40B4-BE49-F238E27FC236}">
              <a16:creationId xmlns:a16="http://schemas.microsoft.com/office/drawing/2014/main" id="{3C499D69-A890-AEC3-CBE1-484482C8D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18142</xdr:colOff>
      <xdr:row>368</xdr:row>
      <xdr:rowOff>25400</xdr:rowOff>
    </xdr:from>
    <xdr:to>
      <xdr:col>39</xdr:col>
      <xdr:colOff>145142</xdr:colOff>
      <xdr:row>383</xdr:row>
      <xdr:rowOff>47172</xdr:rowOff>
    </xdr:to>
    <xdr:graphicFrame macro="">
      <xdr:nvGraphicFramePr>
        <xdr:cNvPr id="2" name="Chart 1">
          <a:extLst>
            <a:ext uri="{FF2B5EF4-FFF2-40B4-BE49-F238E27FC236}">
              <a16:creationId xmlns:a16="http://schemas.microsoft.com/office/drawing/2014/main" id="{D37D6A1D-310B-AD9C-580C-6DD4F178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18140</xdr:colOff>
      <xdr:row>517</xdr:row>
      <xdr:rowOff>179613</xdr:rowOff>
    </xdr:from>
    <xdr:to>
      <xdr:col>43</xdr:col>
      <xdr:colOff>290285</xdr:colOff>
      <xdr:row>533</xdr:row>
      <xdr:rowOff>19956</xdr:rowOff>
    </xdr:to>
    <xdr:graphicFrame macro="">
      <xdr:nvGraphicFramePr>
        <xdr:cNvPr id="3" name="Chart 2">
          <a:extLst>
            <a:ext uri="{FF2B5EF4-FFF2-40B4-BE49-F238E27FC236}">
              <a16:creationId xmlns:a16="http://schemas.microsoft.com/office/drawing/2014/main" id="{842A71D4-765D-8059-8182-A413A070A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1451428</xdr:colOff>
      <xdr:row>403</xdr:row>
      <xdr:rowOff>107043</xdr:rowOff>
    </xdr:from>
    <xdr:to>
      <xdr:col>30</xdr:col>
      <xdr:colOff>181427</xdr:colOff>
      <xdr:row>418</xdr:row>
      <xdr:rowOff>128815</xdr:rowOff>
    </xdr:to>
    <xdr:graphicFrame macro="">
      <xdr:nvGraphicFramePr>
        <xdr:cNvPr id="4" name="Chart 3">
          <a:extLst>
            <a:ext uri="{FF2B5EF4-FFF2-40B4-BE49-F238E27FC236}">
              <a16:creationId xmlns:a16="http://schemas.microsoft.com/office/drawing/2014/main" id="{0F68A1DF-4B58-9206-BCBF-165351A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371928</xdr:colOff>
      <xdr:row>451</xdr:row>
      <xdr:rowOff>25400</xdr:rowOff>
    </xdr:from>
    <xdr:to>
      <xdr:col>25</xdr:col>
      <xdr:colOff>136071</xdr:colOff>
      <xdr:row>466</xdr:row>
      <xdr:rowOff>47171</xdr:rowOff>
    </xdr:to>
    <xdr:graphicFrame macro="">
      <xdr:nvGraphicFramePr>
        <xdr:cNvPr id="5" name="Chart 4">
          <a:extLst>
            <a:ext uri="{FF2B5EF4-FFF2-40B4-BE49-F238E27FC236}">
              <a16:creationId xmlns:a16="http://schemas.microsoft.com/office/drawing/2014/main" id="{A80E4C95-EC55-2B21-2862-9FA98713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371928</xdr:colOff>
      <xdr:row>487</xdr:row>
      <xdr:rowOff>25400</xdr:rowOff>
    </xdr:from>
    <xdr:to>
      <xdr:col>24</xdr:col>
      <xdr:colOff>9070</xdr:colOff>
      <xdr:row>502</xdr:row>
      <xdr:rowOff>47172</xdr:rowOff>
    </xdr:to>
    <xdr:graphicFrame macro="">
      <xdr:nvGraphicFramePr>
        <xdr:cNvPr id="15" name="Chart 14">
          <a:extLst>
            <a:ext uri="{FF2B5EF4-FFF2-40B4-BE49-F238E27FC236}">
              <a16:creationId xmlns:a16="http://schemas.microsoft.com/office/drawing/2014/main" id="{14B0ECB2-49A3-2EBF-6916-7E3EA08C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23090</xdr:colOff>
      <xdr:row>127</xdr:row>
      <xdr:rowOff>111125</xdr:rowOff>
    </xdr:from>
    <xdr:to>
      <xdr:col>27</xdr:col>
      <xdr:colOff>599662</xdr:colOff>
      <xdr:row>150</xdr:row>
      <xdr:rowOff>81244</xdr:rowOff>
    </xdr:to>
    <xdr:sp macro="" textlink="">
      <xdr:nvSpPr>
        <xdr:cNvPr id="59" name="Rectangle: Rounded Corners 58">
          <a:extLst>
            <a:ext uri="{FF2B5EF4-FFF2-40B4-BE49-F238E27FC236}">
              <a16:creationId xmlns:a16="http://schemas.microsoft.com/office/drawing/2014/main" id="{F92EA2F4-5E85-4F18-B366-4F35260CA072}"/>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363</xdr:colOff>
      <xdr:row>6</xdr:row>
      <xdr:rowOff>0</xdr:rowOff>
    </xdr:from>
    <xdr:to>
      <xdr:col>7</xdr:col>
      <xdr:colOff>435363</xdr:colOff>
      <xdr:row>12</xdr:row>
      <xdr:rowOff>34091</xdr:rowOff>
    </xdr:to>
    <xdr:sp macro="" textlink="PIVOT!H10">
      <xdr:nvSpPr>
        <xdr:cNvPr id="2" name="Rectangle: Rounded Corners 1">
          <a:extLst>
            <a:ext uri="{FF2B5EF4-FFF2-40B4-BE49-F238E27FC236}">
              <a16:creationId xmlns:a16="http://schemas.microsoft.com/office/drawing/2014/main" id="{7608C60B-29EF-47CE-9ED0-362F1A3ADFB0}"/>
            </a:ext>
          </a:extLst>
        </xdr:cNvPr>
        <xdr:cNvSpPr/>
      </xdr:nvSpPr>
      <xdr:spPr>
        <a:xfrm>
          <a:off x="1645013" y="1016000"/>
          <a:ext cx="203520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D04B2E-4287-4A0A-8A19-368FB61A0D37}" type="TxLink">
            <a:rPr lang="en-US" sz="4800" b="1" i="0" u="none" strike="noStrike">
              <a:solidFill>
                <a:schemeClr val="accent1"/>
              </a:solidFill>
              <a:latin typeface="Bahnschrift" panose="020B0502040204020203" pitchFamily="34" charset="0"/>
              <a:ea typeface="Calibri"/>
              <a:cs typeface="Calibri"/>
            </a:rPr>
            <a:pPr marL="0" indent="0" algn="ctr"/>
            <a:t>27</a:t>
          </a:fld>
          <a:endParaRPr lang="id-ID" sz="4800" b="1" i="0" u="none" strike="noStrike">
            <a:solidFill>
              <a:schemeClr val="accent1"/>
            </a:solidFill>
            <a:latin typeface="Bahnschrift" panose="020B0502040204020203" pitchFamily="34" charset="0"/>
            <a:ea typeface="Calibri"/>
            <a:cs typeface="Calibri"/>
          </a:endParaRPr>
        </a:p>
      </xdr:txBody>
    </xdr:sp>
    <xdr:clientData/>
  </xdr:twoCellAnchor>
  <xdr:twoCellAnchor>
    <xdr:from>
      <xdr:col>7</xdr:col>
      <xdr:colOff>628480</xdr:colOff>
      <xdr:row>6</xdr:row>
      <xdr:rowOff>14530</xdr:rowOff>
    </xdr:from>
    <xdr:to>
      <xdr:col>11</xdr:col>
      <xdr:colOff>428480</xdr:colOff>
      <xdr:row>12</xdr:row>
      <xdr:rowOff>48621</xdr:rowOff>
    </xdr:to>
    <xdr:sp macro="" textlink="PIVOT!H8">
      <xdr:nvSpPr>
        <xdr:cNvPr id="3" name="Rectangle: Rounded Corners 2">
          <a:extLst>
            <a:ext uri="{FF2B5EF4-FFF2-40B4-BE49-F238E27FC236}">
              <a16:creationId xmlns:a16="http://schemas.microsoft.com/office/drawing/2014/main" id="{FBC70B92-E3A3-4D9C-A19E-0B5215A3DF61}"/>
            </a:ext>
          </a:extLst>
        </xdr:cNvPr>
        <xdr:cNvSpPr/>
      </xdr:nvSpPr>
      <xdr:spPr>
        <a:xfrm>
          <a:off x="3778080" y="1030530"/>
          <a:ext cx="20288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7F18EE-EC84-491A-B42B-E4288A4C000F}" type="TxLink">
            <a:rPr lang="en-US" sz="4800" b="1" i="0" u="none" strike="noStrike">
              <a:solidFill>
                <a:srgbClr val="C00000"/>
              </a:solidFill>
              <a:latin typeface="Bahnschrift" panose="020B0502040204020203" pitchFamily="34" charset="0"/>
              <a:ea typeface="Calibri"/>
              <a:cs typeface="Calibri"/>
            </a:rPr>
            <a:pPr marL="0" indent="0" algn="ctr"/>
            <a:t>1</a:t>
          </a:fld>
          <a:endParaRPr lang="id-ID" sz="4800" b="1" i="0" u="none" strike="noStrike">
            <a:solidFill>
              <a:srgbClr val="C00000"/>
            </a:solidFill>
            <a:latin typeface="Bahnschrift" panose="020B0502040204020203" pitchFamily="34" charset="0"/>
            <a:ea typeface="Calibri"/>
            <a:cs typeface="Calibri"/>
          </a:endParaRPr>
        </a:p>
      </xdr:txBody>
    </xdr:sp>
    <xdr:clientData/>
  </xdr:twoCellAnchor>
  <xdr:twoCellAnchor>
    <xdr:from>
      <xdr:col>19</xdr:col>
      <xdr:colOff>614687</xdr:colOff>
      <xdr:row>6</xdr:row>
      <xdr:rowOff>26926</xdr:rowOff>
    </xdr:from>
    <xdr:to>
      <xdr:col>23</xdr:col>
      <xdr:colOff>414687</xdr:colOff>
      <xdr:row>12</xdr:row>
      <xdr:rowOff>61017</xdr:rowOff>
    </xdr:to>
    <xdr:sp macro="" textlink="PIVOT!G23">
      <xdr:nvSpPr>
        <xdr:cNvPr id="4" name="Rectangle: Rounded Corners 3">
          <a:extLst>
            <a:ext uri="{FF2B5EF4-FFF2-40B4-BE49-F238E27FC236}">
              <a16:creationId xmlns:a16="http://schemas.microsoft.com/office/drawing/2014/main" id="{D16B573C-15DF-4DF8-883E-D3C60D42654A}"/>
            </a:ext>
          </a:extLst>
        </xdr:cNvPr>
        <xdr:cNvSpPr/>
      </xdr:nvSpPr>
      <xdr:spPr>
        <a:xfrm>
          <a:off x="10177787" y="1042926"/>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54D78A-93E8-4DC0-BCEB-38423B027D2C}" type="TxLink">
            <a:rPr lang="en-US" sz="4800" b="1" i="0" u="none" strike="noStrike">
              <a:solidFill>
                <a:srgbClr val="7030A0"/>
              </a:solidFill>
              <a:latin typeface="Bahnschrift" panose="020B0502040204020203" pitchFamily="34" charset="0"/>
              <a:ea typeface="Calibri"/>
              <a:cs typeface="Calibri"/>
            </a:rPr>
            <a:pPr marL="0" indent="0" algn="ctr"/>
            <a:t>7</a:t>
          </a:fld>
          <a:endParaRPr lang="id-ID" sz="4800" b="1" i="0" u="none" strike="noStrike">
            <a:solidFill>
              <a:srgbClr val="7030A0"/>
            </a:solidFill>
            <a:latin typeface="Bahnschrift" panose="020B0502040204020203" pitchFamily="34" charset="0"/>
            <a:ea typeface="Calibri"/>
            <a:cs typeface="Calibri"/>
          </a:endParaRPr>
        </a:p>
      </xdr:txBody>
    </xdr:sp>
    <xdr:clientData/>
  </xdr:twoCellAnchor>
  <xdr:twoCellAnchor>
    <xdr:from>
      <xdr:col>24</xdr:col>
      <xdr:colOff>8970</xdr:colOff>
      <xdr:row>6</xdr:row>
      <xdr:rowOff>8959</xdr:rowOff>
    </xdr:from>
    <xdr:to>
      <xdr:col>28</xdr:col>
      <xdr:colOff>306</xdr:colOff>
      <xdr:row>12</xdr:row>
      <xdr:rowOff>53783</xdr:rowOff>
    </xdr:to>
    <xdr:sp macro="" textlink="PIVOT!I7">
      <xdr:nvSpPr>
        <xdr:cNvPr id="5" name="Rectangle: Rounded Corners 4">
          <a:extLst>
            <a:ext uri="{FF2B5EF4-FFF2-40B4-BE49-F238E27FC236}">
              <a16:creationId xmlns:a16="http://schemas.microsoft.com/office/drawing/2014/main" id="{02BCA700-F12F-4882-9364-55D7246E0B73}"/>
            </a:ext>
          </a:extLst>
        </xdr:cNvPr>
        <xdr:cNvSpPr/>
      </xdr:nvSpPr>
      <xdr:spPr>
        <a:xfrm>
          <a:off x="12321620" y="1024959"/>
          <a:ext cx="2124936" cy="93382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93AD0-2F86-4CDA-9A78-FF7322ACE72B}" type="TxLink">
            <a:rPr lang="en-US" sz="2800" b="1" i="0" u="none" strike="noStrike">
              <a:solidFill>
                <a:schemeClr val="accent6">
                  <a:lumMod val="75000"/>
                </a:schemeClr>
              </a:solidFill>
              <a:latin typeface="Bahnschrift SemiBold Condensed" panose="020B0502040204020203" pitchFamily="34" charset="0"/>
              <a:ea typeface="Calibri"/>
              <a:cs typeface="Calibri"/>
            </a:rPr>
            <a:pPr marL="0" indent="0" algn="ctr"/>
            <a:t>70,37%</a:t>
          </a:fld>
          <a:endParaRPr lang="id-ID" sz="2800" b="1" i="0" u="none" strike="noStrike">
            <a:solidFill>
              <a:schemeClr val="accent6">
                <a:lumMod val="75000"/>
              </a:schemeClr>
            </a:solidFill>
            <a:latin typeface="Bahnschrift SemiBold Condensed" panose="020B0502040204020203" pitchFamily="34" charset="0"/>
            <a:ea typeface="Calibri"/>
            <a:cs typeface="Calibri"/>
          </a:endParaRPr>
        </a:p>
      </xdr:txBody>
    </xdr:sp>
    <xdr:clientData/>
  </xdr:twoCellAnchor>
  <xdr:oneCellAnchor>
    <xdr:from>
      <xdr:col>4</xdr:col>
      <xdr:colOff>9072</xdr:colOff>
      <xdr:row>6</xdr:row>
      <xdr:rowOff>23090</xdr:rowOff>
    </xdr:from>
    <xdr:ext cx="2265382" cy="161637"/>
    <xdr:sp macro="" textlink="">
      <xdr:nvSpPr>
        <xdr:cNvPr id="6" name="TextBox 5">
          <a:extLst>
            <a:ext uri="{FF2B5EF4-FFF2-40B4-BE49-F238E27FC236}">
              <a16:creationId xmlns:a16="http://schemas.microsoft.com/office/drawing/2014/main" id="{C24221FD-BD9E-4D93-ADC0-F5A4BA35A195}"/>
            </a:ext>
          </a:extLst>
        </xdr:cNvPr>
        <xdr:cNvSpPr txBox="1"/>
      </xdr:nvSpPr>
      <xdr:spPr>
        <a:xfrm>
          <a:off x="2133436" y="1396999"/>
          <a:ext cx="2265382" cy="161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TOTAL ISSUE</a:t>
          </a:r>
          <a:endParaRPr lang="id-ID" sz="1100" b="1">
            <a:latin typeface="Bahnschrift" panose="020B0502040204020203" pitchFamily="34" charset="0"/>
          </a:endParaRPr>
        </a:p>
      </xdr:txBody>
    </xdr:sp>
    <xdr:clientData/>
  </xdr:oneCellAnchor>
  <xdr:oneCellAnchor>
    <xdr:from>
      <xdr:col>8</xdr:col>
      <xdr:colOff>-1</xdr:colOff>
      <xdr:row>6</xdr:row>
      <xdr:rowOff>23091</xdr:rowOff>
    </xdr:from>
    <xdr:ext cx="2240643" cy="216000"/>
    <xdr:sp macro="" textlink="">
      <xdr:nvSpPr>
        <xdr:cNvPr id="7" name="TextBox 6">
          <a:extLst>
            <a:ext uri="{FF2B5EF4-FFF2-40B4-BE49-F238E27FC236}">
              <a16:creationId xmlns:a16="http://schemas.microsoft.com/office/drawing/2014/main" id="{960E8D55-506D-4C76-9735-1161362A0D46}"/>
            </a:ext>
          </a:extLst>
        </xdr:cNvPr>
        <xdr:cNvSpPr txBox="1"/>
      </xdr:nvSpPr>
      <xdr:spPr>
        <a:xfrm>
          <a:off x="4544785" y="1066305"/>
          <a:ext cx="2240643"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OPEN</a:t>
          </a:r>
          <a:endParaRPr lang="id-ID" sz="1100" b="1">
            <a:latin typeface="Bahnschrift" panose="020B0502040204020203" pitchFamily="34" charset="0"/>
          </a:endParaRPr>
        </a:p>
      </xdr:txBody>
    </xdr:sp>
    <xdr:clientData/>
  </xdr:oneCellAnchor>
  <xdr:oneCellAnchor>
    <xdr:from>
      <xdr:col>20</xdr:col>
      <xdr:colOff>6583</xdr:colOff>
      <xdr:row>6</xdr:row>
      <xdr:rowOff>45800</xdr:rowOff>
    </xdr:from>
    <xdr:ext cx="2224989" cy="180986"/>
    <xdr:sp macro="" textlink="">
      <xdr:nvSpPr>
        <xdr:cNvPr id="8" name="TextBox 7">
          <a:extLst>
            <a:ext uri="{FF2B5EF4-FFF2-40B4-BE49-F238E27FC236}">
              <a16:creationId xmlns:a16="http://schemas.microsoft.com/office/drawing/2014/main" id="{ADCF3C5B-EBFA-4500-A1B3-C6E36F64B735}"/>
            </a:ext>
          </a:extLst>
        </xdr:cNvPr>
        <xdr:cNvSpPr txBox="1"/>
      </xdr:nvSpPr>
      <xdr:spPr>
        <a:xfrm>
          <a:off x="11844797" y="1089014"/>
          <a:ext cx="2224989" cy="18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OVERDUE</a:t>
          </a:r>
        </a:p>
      </xdr:txBody>
    </xdr:sp>
    <xdr:clientData/>
  </xdr:oneCellAnchor>
  <xdr:oneCellAnchor>
    <xdr:from>
      <xdr:col>24</xdr:col>
      <xdr:colOff>9072</xdr:colOff>
      <xdr:row>6</xdr:row>
      <xdr:rowOff>20846</xdr:rowOff>
    </xdr:from>
    <xdr:ext cx="2422071" cy="216000"/>
    <xdr:sp macro="" textlink="">
      <xdr:nvSpPr>
        <xdr:cNvPr id="9" name="TextBox 8">
          <a:extLst>
            <a:ext uri="{FF2B5EF4-FFF2-40B4-BE49-F238E27FC236}">
              <a16:creationId xmlns:a16="http://schemas.microsoft.com/office/drawing/2014/main" id="{4B656BFB-F1A1-49D3-AD96-42977533E9D3}"/>
            </a:ext>
          </a:extLst>
        </xdr:cNvPr>
        <xdr:cNvSpPr txBox="1"/>
      </xdr:nvSpPr>
      <xdr:spPr>
        <a:xfrm>
          <a:off x="14278429" y="1064060"/>
          <a:ext cx="242207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xdr:from>
      <xdr:col>3</xdr:col>
      <xdr:colOff>277091</xdr:colOff>
      <xdr:row>13</xdr:row>
      <xdr:rowOff>10867</xdr:rowOff>
    </xdr:from>
    <xdr:to>
      <xdr:col>11</xdr:col>
      <xdr:colOff>427182</xdr:colOff>
      <xdr:row>36</xdr:row>
      <xdr:rowOff>167751</xdr:rowOff>
    </xdr:to>
    <xdr:sp macro="" textlink="">
      <xdr:nvSpPr>
        <xdr:cNvPr id="10" name="Rectangle: Rounded Corners 9">
          <a:extLst>
            <a:ext uri="{FF2B5EF4-FFF2-40B4-BE49-F238E27FC236}">
              <a16:creationId xmlns:a16="http://schemas.microsoft.com/office/drawing/2014/main" id="{3194F440-13E2-497E-9C2D-067A9509FBB3}"/>
            </a:ext>
          </a:extLst>
        </xdr:cNvPr>
        <xdr:cNvSpPr/>
      </xdr:nvSpPr>
      <xdr:spPr>
        <a:xfrm>
          <a:off x="2112818" y="2181412"/>
          <a:ext cx="4722091" cy="2927794"/>
        </a:xfrm>
        <a:prstGeom prst="roundRect">
          <a:avLst>
            <a:gd name="adj" fmla="val 1819"/>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16165</xdr:colOff>
      <xdr:row>13</xdr:row>
      <xdr:rowOff>23800</xdr:rowOff>
    </xdr:from>
    <xdr:to>
      <xdr:col>20</xdr:col>
      <xdr:colOff>588820</xdr:colOff>
      <xdr:row>36</xdr:row>
      <xdr:rowOff>170224</xdr:rowOff>
    </xdr:to>
    <xdr:sp macro="" textlink="">
      <xdr:nvSpPr>
        <xdr:cNvPr id="11" name="Rectangle: Rounded Corners 10">
          <a:extLst>
            <a:ext uri="{FF2B5EF4-FFF2-40B4-BE49-F238E27FC236}">
              <a16:creationId xmlns:a16="http://schemas.microsoft.com/office/drawing/2014/main" id="{4A782829-8B17-4DC5-A138-340F1AA6D12A}"/>
            </a:ext>
          </a:extLst>
        </xdr:cNvPr>
        <xdr:cNvSpPr/>
      </xdr:nvSpPr>
      <xdr:spPr>
        <a:xfrm>
          <a:off x="7035801" y="2506073"/>
          <a:ext cx="5467928"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24</xdr:col>
      <xdr:colOff>191001</xdr:colOff>
      <xdr:row>9</xdr:row>
      <xdr:rowOff>138599</xdr:rowOff>
    </xdr:from>
    <xdr:to>
      <xdr:col>29</xdr:col>
      <xdr:colOff>172358</xdr:colOff>
      <xdr:row>12</xdr:row>
      <xdr:rowOff>175951</xdr:rowOff>
    </xdr:to>
    <xdr:graphicFrame macro="">
      <xdr:nvGraphicFramePr>
        <xdr:cNvPr id="12" name="Chart 11">
          <a:extLst>
            <a:ext uri="{FF2B5EF4-FFF2-40B4-BE49-F238E27FC236}">
              <a16:creationId xmlns:a16="http://schemas.microsoft.com/office/drawing/2014/main" id="{FFA45B0E-ED2C-4277-AB50-940369D43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272143</xdr:colOff>
      <xdr:row>13</xdr:row>
      <xdr:rowOff>18144</xdr:rowOff>
    </xdr:from>
    <xdr:to>
      <xdr:col>11</xdr:col>
      <xdr:colOff>444500</xdr:colOff>
      <xdr:row>36</xdr:row>
      <xdr:rowOff>172358</xdr:rowOff>
    </xdr:to>
    <xdr:graphicFrame macro="">
      <xdr:nvGraphicFramePr>
        <xdr:cNvPr id="13" name="Chart 12">
          <a:extLst>
            <a:ext uri="{FF2B5EF4-FFF2-40B4-BE49-F238E27FC236}">
              <a16:creationId xmlns:a16="http://schemas.microsoft.com/office/drawing/2014/main" id="{63897497-45FE-4B15-94F3-27F424A2C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431801</xdr:colOff>
      <xdr:row>13</xdr:row>
      <xdr:rowOff>7285</xdr:rowOff>
    </xdr:from>
    <xdr:ext cx="1479892" cy="261610"/>
    <xdr:sp macro="" textlink="">
      <xdr:nvSpPr>
        <xdr:cNvPr id="14" name="TextBox 13">
          <a:extLst>
            <a:ext uri="{FF2B5EF4-FFF2-40B4-BE49-F238E27FC236}">
              <a16:creationId xmlns:a16="http://schemas.microsoft.com/office/drawing/2014/main" id="{348E0DA2-9401-4F39-AE50-577989638779}"/>
            </a:ext>
          </a:extLst>
        </xdr:cNvPr>
        <xdr:cNvSpPr txBox="1"/>
      </xdr:nvSpPr>
      <xdr:spPr>
        <a:xfrm>
          <a:off x="3143251" y="2090085"/>
          <a:ext cx="147989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Bahnschrift SemiBold" panose="020B0502040204020203" pitchFamily="34" charset="0"/>
            </a:rPr>
            <a:t>DISTRIBUSI</a:t>
          </a:r>
          <a:r>
            <a:rPr lang="en-US" sz="1100" b="1" baseline="0">
              <a:latin typeface="Bahnschrift SemiBold" panose="020B0502040204020203" pitchFamily="34" charset="0"/>
            </a:rPr>
            <a:t> STATUS </a:t>
          </a:r>
          <a:endParaRPr lang="id-ID" sz="1100" b="1">
            <a:latin typeface="Bahnschrift SemiBold" panose="020B0502040204020203" pitchFamily="34" charset="0"/>
          </a:endParaRPr>
        </a:p>
      </xdr:txBody>
    </xdr:sp>
    <xdr:clientData/>
  </xdr:oneCellAnchor>
  <xdr:twoCellAnchor>
    <xdr:from>
      <xdr:col>11</xdr:col>
      <xdr:colOff>592284</xdr:colOff>
      <xdr:row>13</xdr:row>
      <xdr:rowOff>32871</xdr:rowOff>
    </xdr:from>
    <xdr:to>
      <xdr:col>20</xdr:col>
      <xdr:colOff>588819</xdr:colOff>
      <xdr:row>37</xdr:row>
      <xdr:rowOff>14942</xdr:rowOff>
    </xdr:to>
    <xdr:graphicFrame macro="">
      <xdr:nvGraphicFramePr>
        <xdr:cNvPr id="15" name="Chart 14">
          <a:extLst>
            <a:ext uri="{FF2B5EF4-FFF2-40B4-BE49-F238E27FC236}">
              <a16:creationId xmlns:a16="http://schemas.microsoft.com/office/drawing/2014/main" id="{D25F1DEC-9AA3-4E98-A8C5-DF24955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277091</xdr:colOff>
      <xdr:row>37</xdr:row>
      <xdr:rowOff>156880</xdr:rowOff>
    </xdr:from>
    <xdr:to>
      <xdr:col>14</xdr:col>
      <xdr:colOff>519545</xdr:colOff>
      <xdr:row>61</xdr:row>
      <xdr:rowOff>126999</xdr:rowOff>
    </xdr:to>
    <xdr:sp macro="" textlink="">
      <xdr:nvSpPr>
        <xdr:cNvPr id="16" name="Rectangle: Rounded Corners 15">
          <a:extLst>
            <a:ext uri="{FF2B5EF4-FFF2-40B4-BE49-F238E27FC236}">
              <a16:creationId xmlns:a16="http://schemas.microsoft.com/office/drawing/2014/main" id="{E76FEF60-5A33-4FAC-AD15-3CEF2897C0FE}"/>
            </a:ext>
          </a:extLst>
        </xdr:cNvPr>
        <xdr:cNvSpPr/>
      </xdr:nvSpPr>
      <xdr:spPr>
        <a:xfrm>
          <a:off x="2112818" y="5594789"/>
          <a:ext cx="6650182"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11</xdr:col>
      <xdr:colOff>614691</xdr:colOff>
      <xdr:row>6</xdr:row>
      <xdr:rowOff>28824</xdr:rowOff>
    </xdr:from>
    <xdr:to>
      <xdr:col>15</xdr:col>
      <xdr:colOff>414691</xdr:colOff>
      <xdr:row>12</xdr:row>
      <xdr:rowOff>62915</xdr:rowOff>
    </xdr:to>
    <xdr:sp macro="" textlink="PIVOT!H7">
      <xdr:nvSpPr>
        <xdr:cNvPr id="17" name="Rectangle: Rounded Corners 16">
          <a:extLst>
            <a:ext uri="{FF2B5EF4-FFF2-40B4-BE49-F238E27FC236}">
              <a16:creationId xmlns:a16="http://schemas.microsoft.com/office/drawing/2014/main" id="{946E9360-FEC5-427C-B58B-C9C9E60C1724}"/>
            </a:ext>
          </a:extLst>
        </xdr:cNvPr>
        <xdr:cNvSpPr/>
      </xdr:nvSpPr>
      <xdr:spPr>
        <a:xfrm>
          <a:off x="5910591" y="1044824"/>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645DA90-12A3-4C97-9B80-90CD764CAD65}" type="TxLink">
            <a:rPr lang="en-US" sz="4800" b="1" i="0" u="none" strike="noStrike">
              <a:solidFill>
                <a:srgbClr val="23C55E"/>
              </a:solidFill>
              <a:latin typeface="Bahnschrift" panose="020B0502040204020203" pitchFamily="34" charset="0"/>
              <a:ea typeface="Calibri"/>
              <a:cs typeface="Calibri"/>
            </a:rPr>
            <a:pPr marL="0" indent="0" algn="ctr"/>
            <a:t>19</a:t>
          </a:fld>
          <a:endParaRPr lang="id-ID" sz="4800" b="1" i="0" u="none" strike="noStrike">
            <a:solidFill>
              <a:srgbClr val="23C55E"/>
            </a:solidFill>
            <a:latin typeface="Bahnschrift" panose="020B0502040204020203" pitchFamily="34" charset="0"/>
            <a:ea typeface="Calibri"/>
            <a:cs typeface="Calibri"/>
          </a:endParaRPr>
        </a:p>
      </xdr:txBody>
    </xdr:sp>
    <xdr:clientData/>
  </xdr:twoCellAnchor>
  <xdr:oneCellAnchor>
    <xdr:from>
      <xdr:col>12</xdr:col>
      <xdr:colOff>8401</xdr:colOff>
      <xdr:row>6</xdr:row>
      <xdr:rowOff>43069</xdr:rowOff>
    </xdr:from>
    <xdr:ext cx="2232241" cy="216000"/>
    <xdr:sp macro="" textlink="">
      <xdr:nvSpPr>
        <xdr:cNvPr id="18" name="TextBox 17">
          <a:extLst>
            <a:ext uri="{FF2B5EF4-FFF2-40B4-BE49-F238E27FC236}">
              <a16:creationId xmlns:a16="http://schemas.microsoft.com/office/drawing/2014/main" id="{B06B722E-4652-4BC1-8F68-E72D8BC62368}"/>
            </a:ext>
          </a:extLst>
        </xdr:cNvPr>
        <xdr:cNvSpPr txBox="1"/>
      </xdr:nvSpPr>
      <xdr:spPr>
        <a:xfrm>
          <a:off x="6984330" y="1086283"/>
          <a:ext cx="223224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CLOSED</a:t>
          </a:r>
          <a:endParaRPr lang="id-ID" sz="1100" b="1">
            <a:latin typeface="Bahnschrift" panose="020B0502040204020203" pitchFamily="34" charset="0"/>
          </a:endParaRPr>
        </a:p>
      </xdr:txBody>
    </xdr:sp>
    <xdr:clientData/>
  </xdr:oneCellAnchor>
  <xdr:twoCellAnchor>
    <xdr:from>
      <xdr:col>4</xdr:col>
      <xdr:colOff>34637</xdr:colOff>
      <xdr:row>37</xdr:row>
      <xdr:rowOff>184726</xdr:rowOff>
    </xdr:from>
    <xdr:to>
      <xdr:col>14</xdr:col>
      <xdr:colOff>277090</xdr:colOff>
      <xdr:row>61</xdr:row>
      <xdr:rowOff>161635</xdr:rowOff>
    </xdr:to>
    <xdr:graphicFrame macro="">
      <xdr:nvGraphicFramePr>
        <xdr:cNvPr id="19" name="Chart 18">
          <a:extLst>
            <a:ext uri="{FF2B5EF4-FFF2-40B4-BE49-F238E27FC236}">
              <a16:creationId xmlns:a16="http://schemas.microsoft.com/office/drawing/2014/main" id="{A06CEA8B-C374-43B4-9D26-2D171EFE4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605450</xdr:colOff>
      <xdr:row>6</xdr:row>
      <xdr:rowOff>17691</xdr:rowOff>
    </xdr:from>
    <xdr:to>
      <xdr:col>19</xdr:col>
      <xdr:colOff>405450</xdr:colOff>
      <xdr:row>12</xdr:row>
      <xdr:rowOff>51782</xdr:rowOff>
    </xdr:to>
    <xdr:sp macro="" textlink="PIVOT!H9">
      <xdr:nvSpPr>
        <xdr:cNvPr id="20" name="Rectangle: Rounded Corners 19">
          <a:extLst>
            <a:ext uri="{FF2B5EF4-FFF2-40B4-BE49-F238E27FC236}">
              <a16:creationId xmlns:a16="http://schemas.microsoft.com/office/drawing/2014/main" id="{93ECF9D9-15B8-456F-B528-D118DBA1CB3A}"/>
            </a:ext>
          </a:extLst>
        </xdr:cNvPr>
        <xdr:cNvSpPr/>
      </xdr:nvSpPr>
      <xdr:spPr>
        <a:xfrm>
          <a:off x="9404736" y="1060905"/>
          <a:ext cx="2231143" cy="94123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FC990D-17D2-4197-BC31-260502988397}" type="TxLink">
            <a:rPr lang="en-US" sz="4800" b="1" i="0" u="none" strike="noStrike">
              <a:solidFill>
                <a:schemeClr val="accent4"/>
              </a:solidFill>
              <a:latin typeface="Bahnschrift" panose="020B0502040204020203" pitchFamily="34" charset="0"/>
              <a:ea typeface="Calibri"/>
              <a:cs typeface="Calibri"/>
            </a:rPr>
            <a:pPr marL="0" indent="0" algn="ctr"/>
            <a:t>7</a:t>
          </a:fld>
          <a:endParaRPr lang="id-ID" sz="4800" b="1" i="0" u="none" strike="noStrike">
            <a:solidFill>
              <a:schemeClr val="accent4"/>
            </a:solidFill>
            <a:latin typeface="Bahnschrift" panose="020B0502040204020203" pitchFamily="34" charset="0"/>
            <a:ea typeface="Calibri"/>
            <a:cs typeface="Calibri"/>
          </a:endParaRPr>
        </a:p>
      </xdr:txBody>
    </xdr:sp>
    <xdr:clientData/>
  </xdr:twoCellAnchor>
  <xdr:oneCellAnchor>
    <xdr:from>
      <xdr:col>16</xdr:col>
      <xdr:colOff>16319</xdr:colOff>
      <xdr:row>6</xdr:row>
      <xdr:rowOff>34092</xdr:rowOff>
    </xdr:from>
    <xdr:ext cx="2215253" cy="219908"/>
    <xdr:sp macro="" textlink="">
      <xdr:nvSpPr>
        <xdr:cNvPr id="21" name="TextBox 20">
          <a:extLst>
            <a:ext uri="{FF2B5EF4-FFF2-40B4-BE49-F238E27FC236}">
              <a16:creationId xmlns:a16="http://schemas.microsoft.com/office/drawing/2014/main" id="{64E4CA4F-504F-4348-854D-CE3512B8AFD0}"/>
            </a:ext>
          </a:extLst>
        </xdr:cNvPr>
        <xdr:cNvSpPr txBox="1"/>
      </xdr:nvSpPr>
      <xdr:spPr>
        <a:xfrm>
          <a:off x="9423390" y="1077306"/>
          <a:ext cx="2215253" cy="219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PROGRESS</a:t>
          </a:r>
          <a:endParaRPr lang="id-ID" sz="1100" b="1">
            <a:latin typeface="Bahnschrift" panose="020B0502040204020203" pitchFamily="34" charset="0"/>
          </a:endParaRPr>
        </a:p>
      </xdr:txBody>
    </xdr:sp>
    <xdr:clientData/>
  </xdr:oneCellAnchor>
  <xdr:twoCellAnchor>
    <xdr:from>
      <xdr:col>21</xdr:col>
      <xdr:colOff>157019</xdr:colOff>
      <xdr:row>13</xdr:row>
      <xdr:rowOff>26108</xdr:rowOff>
    </xdr:from>
    <xdr:to>
      <xdr:col>28</xdr:col>
      <xdr:colOff>11545</xdr:colOff>
      <xdr:row>36</xdr:row>
      <xdr:rowOff>172532</xdr:rowOff>
    </xdr:to>
    <xdr:sp macro="" textlink="">
      <xdr:nvSpPr>
        <xdr:cNvPr id="25" name="Rectangle: Rounded Corners 24">
          <a:extLst>
            <a:ext uri="{FF2B5EF4-FFF2-40B4-BE49-F238E27FC236}">
              <a16:creationId xmlns:a16="http://schemas.microsoft.com/office/drawing/2014/main" id="{89AD03BC-584C-4448-8AA4-61E101D1F349}"/>
            </a:ext>
          </a:extLst>
        </xdr:cNvPr>
        <xdr:cNvSpPr/>
      </xdr:nvSpPr>
      <xdr:spPr>
        <a:xfrm>
          <a:off x="12683837" y="2508381"/>
          <a:ext cx="4137890"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21</xdr:col>
      <xdr:colOff>230910</xdr:colOff>
      <xdr:row>13</xdr:row>
      <xdr:rowOff>44350</xdr:rowOff>
    </xdr:from>
    <xdr:ext cx="1694707" cy="270459"/>
    <xdr:sp macro="" textlink="">
      <xdr:nvSpPr>
        <xdr:cNvPr id="26" name="TextBox 25">
          <a:extLst>
            <a:ext uri="{FF2B5EF4-FFF2-40B4-BE49-F238E27FC236}">
              <a16:creationId xmlns:a16="http://schemas.microsoft.com/office/drawing/2014/main" id="{79619A42-FD60-443D-BA40-367A6B1C3FBD}"/>
            </a:ext>
          </a:extLst>
        </xdr:cNvPr>
        <xdr:cNvSpPr txBox="1"/>
      </xdr:nvSpPr>
      <xdr:spPr>
        <a:xfrm>
          <a:off x="12757728" y="2526623"/>
          <a:ext cx="1694707" cy="270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editAs="oneCell">
    <xdr:from>
      <xdr:col>30</xdr:col>
      <xdr:colOff>254000</xdr:colOff>
      <xdr:row>6</xdr:row>
      <xdr:rowOff>23091</xdr:rowOff>
    </xdr:from>
    <xdr:to>
      <xdr:col>33</xdr:col>
      <xdr:colOff>247072</xdr:colOff>
      <xdr:row>19</xdr:row>
      <xdr:rowOff>145761</xdr:rowOff>
    </xdr:to>
    <mc:AlternateContent xmlns:mc="http://schemas.openxmlformats.org/markup-compatibility/2006" xmlns:a14="http://schemas.microsoft.com/office/drawing/2010/main">
      <mc:Choice Requires="a14">
        <xdr:graphicFrame macro="">
          <xdr:nvGraphicFramePr>
            <xdr:cNvPr id="28" name="5 FACTOR">
              <a:extLst>
                <a:ext uri="{FF2B5EF4-FFF2-40B4-BE49-F238E27FC236}">
                  <a16:creationId xmlns:a16="http://schemas.microsoft.com/office/drawing/2014/main" id="{814AFE4A-F16E-4FEF-803F-8F142F04AE07}"/>
                </a:ext>
              </a:extLst>
            </xdr:cNvPr>
            <xdr:cNvGraphicFramePr/>
          </xdr:nvGraphicFramePr>
          <xdr:xfrm>
            <a:off x="0" y="0"/>
            <a:ext cx="0" cy="0"/>
          </xdr:xfrm>
          <a:graphic>
            <a:graphicData uri="http://schemas.microsoft.com/office/drawing/2010/slicer">
              <sle:slicer xmlns:sle="http://schemas.microsoft.com/office/drawing/2010/slicer" name="5 FACTOR"/>
            </a:graphicData>
          </a:graphic>
        </xdr:graphicFrame>
      </mc:Choice>
      <mc:Fallback xmlns="">
        <xdr:sp macro="" textlink="">
          <xdr:nvSpPr>
            <xdr:cNvPr id="0" name=""/>
            <xdr:cNvSpPr>
              <a:spLocks noTextEdit="1"/>
            </xdr:cNvSpPr>
          </xdr:nvSpPr>
          <xdr:spPr>
            <a:xfrm>
              <a:off x="17664545" y="13970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455467</xdr:colOff>
      <xdr:row>6</xdr:row>
      <xdr:rowOff>18473</xdr:rowOff>
    </xdr:from>
    <xdr:to>
      <xdr:col>36</xdr:col>
      <xdr:colOff>448540</xdr:colOff>
      <xdr:row>19</xdr:row>
      <xdr:rowOff>141143</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F5AE35BE-FC30-40C5-8073-8F177C661C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01740" y="139238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288059</xdr:colOff>
      <xdr:row>21</xdr:row>
      <xdr:rowOff>144317</xdr:rowOff>
    </xdr:from>
    <xdr:to>
      <xdr:col>33</xdr:col>
      <xdr:colOff>281131</xdr:colOff>
      <xdr:row>41</xdr:row>
      <xdr:rowOff>23090</xdr:rowOff>
    </xdr:to>
    <mc:AlternateContent xmlns:mc="http://schemas.openxmlformats.org/markup-compatibility/2006" xmlns:a14="http://schemas.microsoft.com/office/drawing/2010/main">
      <mc:Choice Requires="a14">
        <xdr:graphicFrame macro="">
          <xdr:nvGraphicFramePr>
            <xdr:cNvPr id="30" name="PIC">
              <a:extLst>
                <a:ext uri="{FF2B5EF4-FFF2-40B4-BE49-F238E27FC236}">
                  <a16:creationId xmlns:a16="http://schemas.microsoft.com/office/drawing/2014/main" id="{802C6C5E-A02A-41E0-9113-8D886F7D8E3D}"/>
                </a:ext>
              </a:extLst>
            </xdr:cNvPr>
            <xdr:cNvGraphicFramePr/>
          </xdr:nvGraphicFramePr>
          <xdr:xfrm>
            <a:off x="0" y="0"/>
            <a:ext cx="0" cy="0"/>
          </xdr:xfrm>
          <a:graphic>
            <a:graphicData uri="http://schemas.microsoft.com/office/drawing/2010/slicer">
              <sle:slicer xmlns:sle="http://schemas.microsoft.com/office/drawing/2010/slicer" name="PIC"/>
            </a:graphicData>
          </a:graphic>
        </xdr:graphicFrame>
      </mc:Choice>
      <mc:Fallback xmlns="">
        <xdr:sp macro="" textlink="">
          <xdr:nvSpPr>
            <xdr:cNvPr id="0" name=""/>
            <xdr:cNvSpPr>
              <a:spLocks noTextEdit="1"/>
            </xdr:cNvSpPr>
          </xdr:nvSpPr>
          <xdr:spPr>
            <a:xfrm>
              <a:off x="17698604" y="4104408"/>
              <a:ext cx="1828800" cy="357331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150091</xdr:colOff>
      <xdr:row>127</xdr:row>
      <xdr:rowOff>95250</xdr:rowOff>
    </xdr:from>
    <xdr:to>
      <xdr:col>27</xdr:col>
      <xdr:colOff>570057</xdr:colOff>
      <xdr:row>150</xdr:row>
      <xdr:rowOff>13895</xdr:rowOff>
    </xdr:to>
    <xdr:graphicFrame macro="">
      <xdr:nvGraphicFramePr>
        <xdr:cNvPr id="34" name="Chart 33">
          <a:extLst>
            <a:ext uri="{FF2B5EF4-FFF2-40B4-BE49-F238E27FC236}">
              <a16:creationId xmlns:a16="http://schemas.microsoft.com/office/drawing/2014/main" id="{F19A4EB8-C2BB-4BC7-9E2F-792004553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11545</xdr:colOff>
      <xdr:row>151</xdr:row>
      <xdr:rowOff>74842</xdr:rowOff>
    </xdr:from>
    <xdr:to>
      <xdr:col>15</xdr:col>
      <xdr:colOff>480545</xdr:colOff>
      <xdr:row>167</xdr:row>
      <xdr:rowOff>59128</xdr:rowOff>
    </xdr:to>
    <xdr:sp macro="" textlink="">
      <xdr:nvSpPr>
        <xdr:cNvPr id="60" name="Rectangle: Rounded Corners 59">
          <a:extLst>
            <a:ext uri="{FF2B5EF4-FFF2-40B4-BE49-F238E27FC236}">
              <a16:creationId xmlns:a16="http://schemas.microsoft.com/office/drawing/2014/main" id="{5BD823A6-BD06-411D-AEB8-8ECF30839525}"/>
            </a:ext>
          </a:extLst>
        </xdr:cNvPr>
        <xdr:cNvSpPr/>
      </xdr:nvSpPr>
      <xdr:spPr>
        <a:xfrm>
          <a:off x="2135909" y="1280947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0</xdr:colOff>
      <xdr:row>151</xdr:row>
      <xdr:rowOff>70928</xdr:rowOff>
    </xdr:from>
    <xdr:to>
      <xdr:col>15</xdr:col>
      <xdr:colOff>473363</xdr:colOff>
      <xdr:row>167</xdr:row>
      <xdr:rowOff>57729</xdr:rowOff>
    </xdr:to>
    <xdr:graphicFrame macro="">
      <xdr:nvGraphicFramePr>
        <xdr:cNvPr id="31" name="Chart 30">
          <a:extLst>
            <a:ext uri="{FF2B5EF4-FFF2-40B4-BE49-F238E27FC236}">
              <a16:creationId xmlns:a16="http://schemas.microsoft.com/office/drawing/2014/main" id="{26EB7DC1-C991-4AEE-A3B8-9AB4F812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26801</xdr:colOff>
      <xdr:row>168</xdr:row>
      <xdr:rowOff>68861</xdr:rowOff>
    </xdr:from>
    <xdr:to>
      <xdr:col>15</xdr:col>
      <xdr:colOff>496455</xdr:colOff>
      <xdr:row>184</xdr:row>
      <xdr:rowOff>53147</xdr:rowOff>
    </xdr:to>
    <xdr:sp macro="" textlink="">
      <xdr:nvSpPr>
        <xdr:cNvPr id="62" name="Rectangle: Rounded Corners 61">
          <a:extLst>
            <a:ext uri="{FF2B5EF4-FFF2-40B4-BE49-F238E27FC236}">
              <a16:creationId xmlns:a16="http://schemas.microsoft.com/office/drawing/2014/main" id="{5479D3EE-208C-4658-A854-7C9D76AC44AC}"/>
            </a:ext>
          </a:extLst>
        </xdr:cNvPr>
        <xdr:cNvSpPr/>
      </xdr:nvSpPr>
      <xdr:spPr>
        <a:xfrm>
          <a:off x="2151165" y="15020225"/>
          <a:ext cx="7200654"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46182</xdr:colOff>
      <xdr:row>168</xdr:row>
      <xdr:rowOff>103909</xdr:rowOff>
    </xdr:from>
    <xdr:to>
      <xdr:col>15</xdr:col>
      <xdr:colOff>473364</xdr:colOff>
      <xdr:row>183</xdr:row>
      <xdr:rowOff>161637</xdr:rowOff>
    </xdr:to>
    <xdr:graphicFrame macro="">
      <xdr:nvGraphicFramePr>
        <xdr:cNvPr id="32" name="Chart 31">
          <a:extLst>
            <a:ext uri="{FF2B5EF4-FFF2-40B4-BE49-F238E27FC236}">
              <a16:creationId xmlns:a16="http://schemas.microsoft.com/office/drawing/2014/main" id="{6038AE14-A931-4026-872E-007E3395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115448</xdr:colOff>
      <xdr:row>151</xdr:row>
      <xdr:rowOff>70551</xdr:rowOff>
    </xdr:from>
    <xdr:to>
      <xdr:col>27</xdr:col>
      <xdr:colOff>584448</xdr:colOff>
      <xdr:row>167</xdr:row>
      <xdr:rowOff>54837</xdr:rowOff>
    </xdr:to>
    <xdr:sp macro="" textlink="">
      <xdr:nvSpPr>
        <xdr:cNvPr id="64" name="Rectangle: Rounded Corners 63">
          <a:extLst>
            <a:ext uri="{FF2B5EF4-FFF2-40B4-BE49-F238E27FC236}">
              <a16:creationId xmlns:a16="http://schemas.microsoft.com/office/drawing/2014/main" id="{0CF4207E-4820-45AD-832C-DA19B96B4FD7}"/>
            </a:ext>
          </a:extLst>
        </xdr:cNvPr>
        <xdr:cNvSpPr/>
      </xdr:nvSpPr>
      <xdr:spPr>
        <a:xfrm>
          <a:off x="9740234" y="28273622"/>
          <a:ext cx="7354214" cy="2887144"/>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115455</xdr:colOff>
      <xdr:row>168</xdr:row>
      <xdr:rowOff>53028</xdr:rowOff>
    </xdr:from>
    <xdr:to>
      <xdr:col>27</xdr:col>
      <xdr:colOff>578760</xdr:colOff>
      <xdr:row>184</xdr:row>
      <xdr:rowOff>37314</xdr:rowOff>
    </xdr:to>
    <xdr:sp macro="" textlink="">
      <xdr:nvSpPr>
        <xdr:cNvPr id="65" name="Rectangle: Rounded Corners 64">
          <a:extLst>
            <a:ext uri="{FF2B5EF4-FFF2-40B4-BE49-F238E27FC236}">
              <a16:creationId xmlns:a16="http://schemas.microsoft.com/office/drawing/2014/main" id="{DC428E63-E855-4869-8AAA-4220F26C40EB}"/>
            </a:ext>
          </a:extLst>
        </xdr:cNvPr>
        <xdr:cNvSpPr/>
      </xdr:nvSpPr>
      <xdr:spPr>
        <a:xfrm>
          <a:off x="9582728" y="1500439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21</xdr:col>
      <xdr:colOff>157019</xdr:colOff>
      <xdr:row>14</xdr:row>
      <xdr:rowOff>126999</xdr:rowOff>
    </xdr:from>
    <xdr:to>
      <xdr:col>28</xdr:col>
      <xdr:colOff>11545</xdr:colOff>
      <xdr:row>36</xdr:row>
      <xdr:rowOff>173182</xdr:rowOff>
    </xdr:to>
    <xdr:graphicFrame macro="">
      <xdr:nvGraphicFramePr>
        <xdr:cNvPr id="22" name="Chart 21">
          <a:extLst>
            <a:ext uri="{FF2B5EF4-FFF2-40B4-BE49-F238E27FC236}">
              <a16:creationId xmlns:a16="http://schemas.microsoft.com/office/drawing/2014/main" id="{47970F2B-0C48-417A-8C9E-EF64DC16AFB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83131</xdr:colOff>
      <xdr:row>37</xdr:row>
      <xdr:rowOff>170736</xdr:rowOff>
    </xdr:from>
    <xdr:to>
      <xdr:col>28</xdr:col>
      <xdr:colOff>23091</xdr:colOff>
      <xdr:row>61</xdr:row>
      <xdr:rowOff>140855</xdr:rowOff>
    </xdr:to>
    <xdr:sp macro="" textlink="">
      <xdr:nvSpPr>
        <xdr:cNvPr id="23" name="Rectangle: Rounded Corners 22">
          <a:extLst>
            <a:ext uri="{FF2B5EF4-FFF2-40B4-BE49-F238E27FC236}">
              <a16:creationId xmlns:a16="http://schemas.microsoft.com/office/drawing/2014/main" id="{4047479E-059B-4C5E-B47F-AB39105794FD}"/>
            </a:ext>
          </a:extLst>
        </xdr:cNvPr>
        <xdr:cNvSpPr/>
      </xdr:nvSpPr>
      <xdr:spPr>
        <a:xfrm>
          <a:off x="8938495" y="5608645"/>
          <a:ext cx="7894778"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15</xdr:col>
      <xdr:colOff>103913</xdr:colOff>
      <xdr:row>38</xdr:row>
      <xdr:rowOff>34638</xdr:rowOff>
    </xdr:from>
    <xdr:to>
      <xdr:col>27</xdr:col>
      <xdr:colOff>473368</xdr:colOff>
      <xdr:row>61</xdr:row>
      <xdr:rowOff>115457</xdr:rowOff>
    </xdr:to>
    <xdr:graphicFrame macro="">
      <xdr:nvGraphicFramePr>
        <xdr:cNvPr id="36" name="Chart 35">
          <a:extLst>
            <a:ext uri="{FF2B5EF4-FFF2-40B4-BE49-F238E27FC236}">
              <a16:creationId xmlns:a16="http://schemas.microsoft.com/office/drawing/2014/main" id="{29D86B0F-12CA-47C0-B28F-CB21E449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184727</xdr:colOff>
      <xdr:row>151</xdr:row>
      <xdr:rowOff>97065</xdr:rowOff>
    </xdr:from>
    <xdr:to>
      <xdr:col>27</xdr:col>
      <xdr:colOff>542636</xdr:colOff>
      <xdr:row>166</xdr:row>
      <xdr:rowOff>173183</xdr:rowOff>
    </xdr:to>
    <xdr:graphicFrame macro="">
      <xdr:nvGraphicFramePr>
        <xdr:cNvPr id="33" name="Chart 32">
          <a:extLst>
            <a:ext uri="{FF2B5EF4-FFF2-40B4-BE49-F238E27FC236}">
              <a16:creationId xmlns:a16="http://schemas.microsoft.com/office/drawing/2014/main" id="{42D04E44-875B-45A0-9129-60CE6629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173181</xdr:colOff>
      <xdr:row>168</xdr:row>
      <xdr:rowOff>80818</xdr:rowOff>
    </xdr:from>
    <xdr:to>
      <xdr:col>27</xdr:col>
      <xdr:colOff>531090</xdr:colOff>
      <xdr:row>183</xdr:row>
      <xdr:rowOff>103909</xdr:rowOff>
    </xdr:to>
    <xdr:graphicFrame macro="">
      <xdr:nvGraphicFramePr>
        <xdr:cNvPr id="37" name="Chart 36">
          <a:extLst>
            <a:ext uri="{FF2B5EF4-FFF2-40B4-BE49-F238E27FC236}">
              <a16:creationId xmlns:a16="http://schemas.microsoft.com/office/drawing/2014/main" id="{66F80791-DE05-4E1B-A8AC-1083E521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23090</xdr:colOff>
      <xdr:row>66</xdr:row>
      <xdr:rowOff>111125</xdr:rowOff>
    </xdr:from>
    <xdr:to>
      <xdr:col>27</xdr:col>
      <xdr:colOff>599662</xdr:colOff>
      <xdr:row>89</xdr:row>
      <xdr:rowOff>81244</xdr:rowOff>
    </xdr:to>
    <xdr:sp macro="" textlink="">
      <xdr:nvSpPr>
        <xdr:cNvPr id="52" name="Rectangle: Rounded Corners 51">
          <a:extLst>
            <a:ext uri="{FF2B5EF4-FFF2-40B4-BE49-F238E27FC236}">
              <a16:creationId xmlns:a16="http://schemas.microsoft.com/office/drawing/2014/main" id="{A87815A2-A252-448C-9C80-86C4F3E33644}"/>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34636</xdr:colOff>
      <xdr:row>66</xdr:row>
      <xdr:rowOff>157306</xdr:rowOff>
    </xdr:from>
    <xdr:to>
      <xdr:col>27</xdr:col>
      <xdr:colOff>600363</xdr:colOff>
      <xdr:row>89</xdr:row>
      <xdr:rowOff>69850</xdr:rowOff>
    </xdr:to>
    <xdr:graphicFrame macro="">
      <xdr:nvGraphicFramePr>
        <xdr:cNvPr id="67" name="Chart 66">
          <a:extLst>
            <a:ext uri="{FF2B5EF4-FFF2-40B4-BE49-F238E27FC236}">
              <a16:creationId xmlns:a16="http://schemas.microsoft.com/office/drawing/2014/main" id="{9BC8C6A0-EACC-46B2-963D-9253B89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23091</xdr:colOff>
      <xdr:row>90</xdr:row>
      <xdr:rowOff>96652</xdr:rowOff>
    </xdr:from>
    <xdr:to>
      <xdr:col>15</xdr:col>
      <xdr:colOff>492091</xdr:colOff>
      <xdr:row>106</xdr:row>
      <xdr:rowOff>80938</xdr:rowOff>
    </xdr:to>
    <xdr:sp macro="" textlink="">
      <xdr:nvSpPr>
        <xdr:cNvPr id="24" name="Rectangle: Rounded Corners 23">
          <a:extLst>
            <a:ext uri="{FF2B5EF4-FFF2-40B4-BE49-F238E27FC236}">
              <a16:creationId xmlns:a16="http://schemas.microsoft.com/office/drawing/2014/main" id="{20F1B932-C2D9-4B6A-B07B-BB7551689F43}"/>
            </a:ext>
          </a:extLst>
        </xdr:cNvPr>
        <xdr:cNvSpPr/>
      </xdr:nvSpPr>
      <xdr:spPr>
        <a:xfrm>
          <a:off x="2147455" y="1283128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126994</xdr:colOff>
      <xdr:row>90</xdr:row>
      <xdr:rowOff>92361</xdr:rowOff>
    </xdr:from>
    <xdr:to>
      <xdr:col>27</xdr:col>
      <xdr:colOff>595994</xdr:colOff>
      <xdr:row>106</xdr:row>
      <xdr:rowOff>76647</xdr:rowOff>
    </xdr:to>
    <xdr:sp macro="" textlink="">
      <xdr:nvSpPr>
        <xdr:cNvPr id="35" name="Rectangle: Rounded Corners 34">
          <a:extLst>
            <a:ext uri="{FF2B5EF4-FFF2-40B4-BE49-F238E27FC236}">
              <a16:creationId xmlns:a16="http://schemas.microsoft.com/office/drawing/2014/main" id="{61FB0DD1-BF55-47F4-9FBE-1EADC3E8040A}"/>
            </a:ext>
          </a:extLst>
        </xdr:cNvPr>
        <xdr:cNvSpPr/>
      </xdr:nvSpPr>
      <xdr:spPr>
        <a:xfrm>
          <a:off x="9594267" y="12826997"/>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110436</xdr:colOff>
      <xdr:row>107</xdr:row>
      <xdr:rowOff>85881</xdr:rowOff>
    </xdr:from>
    <xdr:to>
      <xdr:col>27</xdr:col>
      <xdr:colOff>573741</xdr:colOff>
      <xdr:row>123</xdr:row>
      <xdr:rowOff>70167</xdr:rowOff>
    </xdr:to>
    <xdr:sp macro="" textlink="">
      <xdr:nvSpPr>
        <xdr:cNvPr id="38" name="Rectangle: Rounded Corners 37">
          <a:extLst>
            <a:ext uri="{FF2B5EF4-FFF2-40B4-BE49-F238E27FC236}">
              <a16:creationId xmlns:a16="http://schemas.microsoft.com/office/drawing/2014/main" id="{C1B827E4-4151-4997-B17F-8266F357B505}"/>
            </a:ext>
          </a:extLst>
        </xdr:cNvPr>
        <xdr:cNvSpPr/>
      </xdr:nvSpPr>
      <xdr:spPr>
        <a:xfrm>
          <a:off x="9513958" y="14839968"/>
          <a:ext cx="7144609" cy="1988677"/>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25400</xdr:colOff>
      <xdr:row>107</xdr:row>
      <xdr:rowOff>77148</xdr:rowOff>
    </xdr:from>
    <xdr:to>
      <xdr:col>15</xdr:col>
      <xdr:colOff>488705</xdr:colOff>
      <xdr:row>123</xdr:row>
      <xdr:rowOff>61434</xdr:rowOff>
    </xdr:to>
    <xdr:sp macro="" textlink="">
      <xdr:nvSpPr>
        <xdr:cNvPr id="39" name="Rectangle: Rounded Corners 38">
          <a:extLst>
            <a:ext uri="{FF2B5EF4-FFF2-40B4-BE49-F238E27FC236}">
              <a16:creationId xmlns:a16="http://schemas.microsoft.com/office/drawing/2014/main" id="{33B1C585-9A05-4DC6-9FE8-26BC4ECDDCD2}"/>
            </a:ext>
          </a:extLst>
        </xdr:cNvPr>
        <xdr:cNvSpPr/>
      </xdr:nvSpPr>
      <xdr:spPr>
        <a:xfrm>
          <a:off x="2149764" y="1502851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171825</xdr:colOff>
      <xdr:row>91</xdr:row>
      <xdr:rowOff>0</xdr:rowOff>
    </xdr:from>
    <xdr:to>
      <xdr:col>15</xdr:col>
      <xdr:colOff>418354</xdr:colOff>
      <xdr:row>106</xdr:row>
      <xdr:rowOff>80818</xdr:rowOff>
    </xdr:to>
    <xdr:graphicFrame macro="">
      <xdr:nvGraphicFramePr>
        <xdr:cNvPr id="40" name="Chart 39">
          <a:extLst>
            <a:ext uri="{FF2B5EF4-FFF2-40B4-BE49-F238E27FC236}">
              <a16:creationId xmlns:a16="http://schemas.microsoft.com/office/drawing/2014/main" id="{7A04E32C-36C6-4418-BD03-50F472CE3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577273</xdr:colOff>
      <xdr:row>107</xdr:row>
      <xdr:rowOff>161636</xdr:rowOff>
    </xdr:from>
    <xdr:to>
      <xdr:col>15</xdr:col>
      <xdr:colOff>415638</xdr:colOff>
      <xdr:row>122</xdr:row>
      <xdr:rowOff>161637</xdr:rowOff>
    </xdr:to>
    <xdr:graphicFrame macro="">
      <xdr:nvGraphicFramePr>
        <xdr:cNvPr id="41" name="Chart 40">
          <a:extLst>
            <a:ext uri="{FF2B5EF4-FFF2-40B4-BE49-F238E27FC236}">
              <a16:creationId xmlns:a16="http://schemas.microsoft.com/office/drawing/2014/main" id="{CCD7BD3C-4484-41A9-8693-8AEC237FD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508000</xdr:colOff>
      <xdr:row>91</xdr:row>
      <xdr:rowOff>23091</xdr:rowOff>
    </xdr:from>
    <xdr:to>
      <xdr:col>27</xdr:col>
      <xdr:colOff>588818</xdr:colOff>
      <xdr:row>106</xdr:row>
      <xdr:rowOff>0</xdr:rowOff>
    </xdr:to>
    <xdr:graphicFrame macro="">
      <xdr:nvGraphicFramePr>
        <xdr:cNvPr id="42" name="Chart 41">
          <a:extLst>
            <a:ext uri="{FF2B5EF4-FFF2-40B4-BE49-F238E27FC236}">
              <a16:creationId xmlns:a16="http://schemas.microsoft.com/office/drawing/2014/main" id="{2AED0A2E-6EC0-4C50-8587-8788C4CE8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577272</xdr:colOff>
      <xdr:row>107</xdr:row>
      <xdr:rowOff>150090</xdr:rowOff>
    </xdr:from>
    <xdr:to>
      <xdr:col>27</xdr:col>
      <xdr:colOff>496453</xdr:colOff>
      <xdr:row>122</xdr:row>
      <xdr:rowOff>103909</xdr:rowOff>
    </xdr:to>
    <xdr:graphicFrame macro="">
      <xdr:nvGraphicFramePr>
        <xdr:cNvPr id="43" name="Chart 42">
          <a:extLst>
            <a:ext uri="{FF2B5EF4-FFF2-40B4-BE49-F238E27FC236}">
              <a16:creationId xmlns:a16="http://schemas.microsoft.com/office/drawing/2014/main" id="{09B6E535-7713-43A2-9B02-339DB633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350439</xdr:colOff>
      <xdr:row>90</xdr:row>
      <xdr:rowOff>119530</xdr:rowOff>
    </xdr:from>
    <xdr:to>
      <xdr:col>15</xdr:col>
      <xdr:colOff>245851</xdr:colOff>
      <xdr:row>92</xdr:row>
      <xdr:rowOff>74705</xdr:rowOff>
    </xdr:to>
    <xdr:sp macro="" textlink="">
      <xdr:nvSpPr>
        <xdr:cNvPr id="44" name="TextBox 43">
          <a:extLst>
            <a:ext uri="{FF2B5EF4-FFF2-40B4-BE49-F238E27FC236}">
              <a16:creationId xmlns:a16="http://schemas.microsoft.com/office/drawing/2014/main" id="{81D9290F-3BEC-6424-FA77-46EC9AC099CD}"/>
            </a:ext>
          </a:extLst>
        </xdr:cNvPr>
        <xdr:cNvSpPr txBox="1"/>
      </xdr:nvSpPr>
      <xdr:spPr>
        <a:xfrm>
          <a:off x="7370075" y="128541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ahnschrift SemiBold SemiConden" panose="020B0502040204020203" pitchFamily="34" charset="0"/>
            </a:rPr>
            <a:t>DOZER</a:t>
          </a:r>
          <a:r>
            <a:rPr lang="en-US" sz="1100" baseline="0">
              <a:latin typeface="Bahnschrift SemiBold SemiConden" panose="020B0502040204020203" pitchFamily="34" charset="0"/>
            </a:rPr>
            <a:t> READINESS VS ACH</a:t>
          </a:r>
          <a:endParaRPr lang="id-ID" sz="1100">
            <a:latin typeface="Bahnschrift SemiBold SemiConden" panose="020B0502040204020203" pitchFamily="34" charset="0"/>
          </a:endParaRPr>
        </a:p>
      </xdr:txBody>
    </xdr:sp>
    <xdr:clientData/>
  </xdr:twoCellAnchor>
  <xdr:twoCellAnchor>
    <xdr:from>
      <xdr:col>24</xdr:col>
      <xdr:colOff>533809</xdr:colOff>
      <xdr:row>90</xdr:row>
      <xdr:rowOff>126321</xdr:rowOff>
    </xdr:from>
    <xdr:to>
      <xdr:col>27</xdr:col>
      <xdr:colOff>429221</xdr:colOff>
      <xdr:row>92</xdr:row>
      <xdr:rowOff>81496</xdr:rowOff>
    </xdr:to>
    <xdr:sp macro="" textlink="">
      <xdr:nvSpPr>
        <xdr:cNvPr id="45" name="TextBox 44">
          <a:extLst>
            <a:ext uri="{FF2B5EF4-FFF2-40B4-BE49-F238E27FC236}">
              <a16:creationId xmlns:a16="http://schemas.microsoft.com/office/drawing/2014/main" id="{30F430C6-A636-4605-97A4-A2585B71752C}"/>
            </a:ext>
          </a:extLst>
        </xdr:cNvPr>
        <xdr:cNvSpPr txBox="1"/>
      </xdr:nvSpPr>
      <xdr:spPr>
        <a:xfrm>
          <a:off x="14896354" y="12860957"/>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latin typeface="Bahnschrift SemiBold SemiConden" panose="020B0502040204020203" pitchFamily="34" charset="0"/>
            </a:rPr>
            <a:t>MTBF VS ACH</a:t>
          </a:r>
          <a:endParaRPr lang="id-ID" sz="1100">
            <a:latin typeface="Bahnschrift SemiBold SemiConden" panose="020B0502040204020203" pitchFamily="34" charset="0"/>
          </a:endParaRPr>
        </a:p>
      </xdr:txBody>
    </xdr:sp>
    <xdr:clientData/>
  </xdr:twoCellAnchor>
  <xdr:twoCellAnchor>
    <xdr:from>
      <xdr:col>12</xdr:col>
      <xdr:colOff>352748</xdr:colOff>
      <xdr:row>107</xdr:row>
      <xdr:rowOff>87202</xdr:rowOff>
    </xdr:from>
    <xdr:to>
      <xdr:col>15</xdr:col>
      <xdr:colOff>248160</xdr:colOff>
      <xdr:row>109</xdr:row>
      <xdr:rowOff>42378</xdr:rowOff>
    </xdr:to>
    <xdr:sp macro="" textlink="">
      <xdr:nvSpPr>
        <xdr:cNvPr id="46" name="TextBox 45">
          <a:extLst>
            <a:ext uri="{FF2B5EF4-FFF2-40B4-BE49-F238E27FC236}">
              <a16:creationId xmlns:a16="http://schemas.microsoft.com/office/drawing/2014/main" id="{E3F6EC29-B311-4722-9FD3-540B5A02D413}"/>
            </a:ext>
          </a:extLst>
        </xdr:cNvPr>
        <xdr:cNvSpPr txBox="1"/>
      </xdr:nvSpPr>
      <xdr:spPr>
        <a:xfrm>
          <a:off x="7372384" y="150385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PA DOZER</a:t>
          </a:r>
          <a:r>
            <a:rPr lang="en-US" sz="1100" baseline="0">
              <a:latin typeface="Bahnschrift SemiBold SemiConden" panose="020B0502040204020203" pitchFamily="34" charset="0"/>
            </a:rPr>
            <a:t> VS ACH</a:t>
          </a:r>
          <a:endParaRPr lang="id-ID" sz="1100">
            <a:latin typeface="Bahnschrift SemiBold SemiConden" panose="020B0502040204020203" pitchFamily="34" charset="0"/>
          </a:endParaRPr>
        </a:p>
      </xdr:txBody>
    </xdr:sp>
    <xdr:clientData/>
  </xdr:twoCellAnchor>
  <xdr:twoCellAnchor>
    <xdr:from>
      <xdr:col>24</xdr:col>
      <xdr:colOff>424330</xdr:colOff>
      <xdr:row>107</xdr:row>
      <xdr:rowOff>54875</xdr:rowOff>
    </xdr:from>
    <xdr:to>
      <xdr:col>27</xdr:col>
      <xdr:colOff>319742</xdr:colOff>
      <xdr:row>109</xdr:row>
      <xdr:rowOff>10051</xdr:rowOff>
    </xdr:to>
    <xdr:sp macro="" textlink="">
      <xdr:nvSpPr>
        <xdr:cNvPr id="47" name="TextBox 46">
          <a:extLst>
            <a:ext uri="{FF2B5EF4-FFF2-40B4-BE49-F238E27FC236}">
              <a16:creationId xmlns:a16="http://schemas.microsoft.com/office/drawing/2014/main" id="{10A30E48-3B53-44A4-96A2-ADE50C8F8A08}"/>
            </a:ext>
          </a:extLst>
        </xdr:cNvPr>
        <xdr:cNvSpPr txBox="1"/>
      </xdr:nvSpPr>
      <xdr:spPr>
        <a:xfrm>
          <a:off x="14786875" y="15006239"/>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MTTR </a:t>
          </a:r>
          <a:r>
            <a:rPr lang="en-US" sz="1100" baseline="0">
              <a:latin typeface="Bahnschrift SemiBold SemiConden" panose="020B0502040204020203" pitchFamily="34" charset="0"/>
            </a:rPr>
            <a:t>VS ACH</a:t>
          </a:r>
          <a:endParaRPr lang="id-ID" sz="1100">
            <a:latin typeface="Bahnschrift SemiBold SemiConden" panose="020B0502040204020203" pitchFamily="34" charset="0"/>
          </a:endParaRPr>
        </a:p>
      </xdr:txBody>
    </xdr:sp>
    <xdr:clientData/>
  </xdr:twoCellAnchor>
  <xdr:twoCellAnchor>
    <xdr:from>
      <xdr:col>11</xdr:col>
      <xdr:colOff>117926</xdr:colOff>
      <xdr:row>151</xdr:row>
      <xdr:rowOff>72574</xdr:rowOff>
    </xdr:from>
    <xdr:to>
      <xdr:col>15</xdr:col>
      <xdr:colOff>421554</xdr:colOff>
      <xdr:row>152</xdr:row>
      <xdr:rowOff>172359</xdr:rowOff>
    </xdr:to>
    <xdr:sp macro="" textlink="">
      <xdr:nvSpPr>
        <xdr:cNvPr id="51" name="TextBox 50">
          <a:extLst>
            <a:ext uri="{FF2B5EF4-FFF2-40B4-BE49-F238E27FC236}">
              <a16:creationId xmlns:a16="http://schemas.microsoft.com/office/drawing/2014/main" id="{02B377A7-1095-4AED-98BB-86BBD73F17EC}"/>
            </a:ext>
          </a:extLst>
        </xdr:cNvPr>
        <xdr:cNvSpPr txBox="1"/>
      </xdr:nvSpPr>
      <xdr:spPr>
        <a:xfrm>
          <a:off x="6613069" y="28275645"/>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DOZER READINESS</a:t>
          </a:r>
          <a:endParaRPr lang="id-ID" sz="1200">
            <a:latin typeface="Bahnschrift SemiBold SemiConden" panose="020B0502040204020203" pitchFamily="34" charset="0"/>
          </a:endParaRPr>
        </a:p>
      </xdr:txBody>
    </xdr:sp>
    <xdr:clientData/>
  </xdr:twoCellAnchor>
  <xdr:twoCellAnchor>
    <xdr:from>
      <xdr:col>23</xdr:col>
      <xdr:colOff>206826</xdr:colOff>
      <xdr:row>151</xdr:row>
      <xdr:rowOff>79832</xdr:rowOff>
    </xdr:from>
    <xdr:to>
      <xdr:col>27</xdr:col>
      <xdr:colOff>510454</xdr:colOff>
      <xdr:row>152</xdr:row>
      <xdr:rowOff>179617</xdr:rowOff>
    </xdr:to>
    <xdr:sp macro="" textlink="">
      <xdr:nvSpPr>
        <xdr:cNvPr id="53" name="TextBox 52">
          <a:extLst>
            <a:ext uri="{FF2B5EF4-FFF2-40B4-BE49-F238E27FC236}">
              <a16:creationId xmlns:a16="http://schemas.microsoft.com/office/drawing/2014/main" id="{E8601EF3-544E-4CBC-A1B0-97A1891FCD07}"/>
            </a:ext>
          </a:extLst>
        </xdr:cNvPr>
        <xdr:cNvSpPr txBox="1"/>
      </xdr:nvSpPr>
      <xdr:spPr>
        <a:xfrm>
          <a:off x="14213112" y="2828290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MTBF</a:t>
          </a:r>
          <a:endParaRPr lang="id-ID" sz="1200">
            <a:latin typeface="Bahnschrift SemiBold SemiConden" panose="020B0502040204020203" pitchFamily="34" charset="0"/>
          </a:endParaRPr>
        </a:p>
      </xdr:txBody>
    </xdr:sp>
    <xdr:clientData/>
  </xdr:twoCellAnchor>
  <xdr:twoCellAnchor>
    <xdr:from>
      <xdr:col>11</xdr:col>
      <xdr:colOff>190501</xdr:colOff>
      <xdr:row>168</xdr:row>
      <xdr:rowOff>90716</xdr:rowOff>
    </xdr:from>
    <xdr:to>
      <xdr:col>15</xdr:col>
      <xdr:colOff>494129</xdr:colOff>
      <xdr:row>170</xdr:row>
      <xdr:rowOff>9073</xdr:rowOff>
    </xdr:to>
    <xdr:sp macro="" textlink="">
      <xdr:nvSpPr>
        <xdr:cNvPr id="54" name="TextBox 53">
          <a:extLst>
            <a:ext uri="{FF2B5EF4-FFF2-40B4-BE49-F238E27FC236}">
              <a16:creationId xmlns:a16="http://schemas.microsoft.com/office/drawing/2014/main" id="{FDC09669-A583-44F9-9FE0-396641DEB7C4}"/>
            </a:ext>
          </a:extLst>
        </xdr:cNvPr>
        <xdr:cNvSpPr txBox="1"/>
      </xdr:nvSpPr>
      <xdr:spPr>
        <a:xfrm>
          <a:off x="6685644" y="3137807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PA DOZER </a:t>
          </a:r>
          <a:endParaRPr lang="id-ID" sz="1200">
            <a:latin typeface="Bahnschrift SemiBold SemiConden" panose="020B0502040204020203" pitchFamily="34" charset="0"/>
          </a:endParaRPr>
        </a:p>
      </xdr:txBody>
    </xdr:sp>
    <xdr:clientData/>
  </xdr:twoCellAnchor>
  <xdr:twoCellAnchor>
    <xdr:from>
      <xdr:col>23</xdr:col>
      <xdr:colOff>151734</xdr:colOff>
      <xdr:row>168</xdr:row>
      <xdr:rowOff>61479</xdr:rowOff>
    </xdr:from>
    <xdr:to>
      <xdr:col>27</xdr:col>
      <xdr:colOff>455362</xdr:colOff>
      <xdr:row>169</xdr:row>
      <xdr:rowOff>161264</xdr:rowOff>
    </xdr:to>
    <xdr:sp macro="" textlink="">
      <xdr:nvSpPr>
        <xdr:cNvPr id="55" name="TextBox 54">
          <a:extLst>
            <a:ext uri="{FF2B5EF4-FFF2-40B4-BE49-F238E27FC236}">
              <a16:creationId xmlns:a16="http://schemas.microsoft.com/office/drawing/2014/main" id="{3855DA9F-6BE4-4669-8E95-6865052AF992}"/>
            </a:ext>
          </a:extLst>
        </xdr:cNvPr>
        <xdr:cNvSpPr txBox="1"/>
      </xdr:nvSpPr>
      <xdr:spPr>
        <a:xfrm>
          <a:off x="14158020" y="31348836"/>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MTTR</a:t>
          </a:r>
          <a:endParaRPr lang="id-ID" sz="1200">
            <a:latin typeface="Bahnschrift SemiBold SemiConden"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3.%20PICA%20MEETING/2.%20WEEKLY%20MEETING%20KPI%202026_HO.xlsm" TargetMode="External"/><Relationship Id="rId2" Type="http://schemas.openxmlformats.org/officeDocument/2006/relationships/externalLinkPath" Target="https://d.docs.live.net/992c8cb467967127/Documents/03.%20PICA%20MEETING/2.%20WEEKLY%20MEETING%20KPI%202026_HO.xlsm" TargetMode="External"/><Relationship Id="rId1" Type="http://schemas.openxmlformats.org/officeDocument/2006/relationships/externalLinkPath" Target="/992c8cb467967127/Documents/03.%20PICA%20MEETING/2.%20WEEKLY%20MEETING%20KPI%202026_H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
      <sheetName val="DASHBOARD"/>
      <sheetName val="FORM_ABSEN"/>
      <sheetName val="PIVOT"/>
      <sheetName val="ABSEN_LOG"/>
      <sheetName val="MASTER_PESERTA"/>
    </sheetNames>
    <sheetDataSet>
      <sheetData sheetId="0"/>
      <sheetData sheetId="1"/>
      <sheetData sheetId="2"/>
      <sheetData sheetId="3">
        <row r="40">
          <cell r="D40" t="str">
            <v>CLOSED</v>
          </cell>
          <cell r="E40" t="str">
            <v>OPEN</v>
          </cell>
          <cell r="F40" t="str">
            <v>PROGRESS</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29167" createdVersion="8" refreshedVersion="8" minRefreshableVersion="3" recordCount="62" xr:uid="{EE9F7F5E-88FC-48A2-99E0-945378CC9845}">
  <cacheSource type="worksheet">
    <worksheetSource name="Tbl_MTT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523147" createdVersion="8" refreshedVersion="8" minRefreshableVersion="3" recordCount="310" xr:uid="{FC849BE9-46D3-47C6-9AA7-B04EC1BB5A14}">
  <cacheSource type="worksheet">
    <worksheetSource name="Table10"/>
  </cacheSource>
  <cacheFields count="5">
    <cacheField name="SS" numFmtId="0">
      <sharedItems/>
    </cacheField>
    <cacheField name="PARAMETER" numFmtId="0">
      <sharedItems count="5">
        <s v="DOZER READINESS"/>
        <s v="PA ALL DOZER"/>
        <s v="MTBF"/>
        <s v="DAILY ACHIVEMENT"/>
        <s v="MTTR"/>
      </sharedItems>
    </cacheField>
    <cacheField name="CATEGORY" numFmtId="0">
      <sharedItems count="3">
        <s v="PLAN"/>
        <s v="ACTUAL"/>
        <s v="ACHIVE" u="1"/>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minValue="2.2222222222222223E-2" maxValue="83"/>
    </cacheField>
  </cacheFields>
  <extLst>
    <ext xmlns:x14="http://schemas.microsoft.com/office/spreadsheetml/2009/9/main" uri="{725AE2AE-9491-48be-B2B4-4EB974FC3084}">
      <x14:pivotCacheDefinition pivotCacheId="10886755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754632" createdVersion="8" refreshedVersion="8" minRefreshableVersion="3" recordCount="124" xr:uid="{D319639F-30B2-40F0-AF9B-6614611AEB72}">
  <cacheSource type="worksheet">
    <worksheetSource name="TBL_ACHIV"/>
  </cacheSource>
  <cacheFields count="4">
    <cacheField name="PARAMETER" numFmtId="0">
      <sharedItems count="4">
        <s v="DOZER READINESS"/>
        <s v="PA ALL DOZER"/>
        <s v="MTBF"/>
        <s v="MTTR"/>
      </sharedItems>
    </cacheField>
    <cacheField name="CATEGORY" numFmtId="0">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0">
      <sharedItems containsSemiMixedTypes="0" containsString="0" containsNumber="1" minValue="0.625" maxValue="1.1857142857142857"/>
    </cacheField>
  </cacheFields>
  <extLst>
    <ext xmlns:x14="http://schemas.microsoft.com/office/spreadsheetml/2009/9/main" uri="{725AE2AE-9491-48be-B2B4-4EB974FC3084}">
      <x14:pivotCacheDefinition pivotCacheId="4405263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986109" createdVersion="8" refreshedVersion="8" minRefreshableVersion="3" recordCount="62" xr:uid="{6C6E6139-EF33-459B-AB8D-75D811AED59E}">
  <cacheSource type="worksheet">
    <worksheetSource name="Tbl_MTBF"/>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101855" createdVersion="8" refreshedVersion="8" minRefreshableVersion="3" recordCount="62" xr:uid="{F9986FEA-B605-4A61-887B-A73102737719}">
  <cacheSource type="worksheet">
    <worksheetSource name="TBL_PA_DOZE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9">
      <sharedItems containsSemiMixedTypes="0" containsString="0" containsNumber="1" minValue="0.72"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333332" createdVersion="8" refreshedVersion="8" minRefreshableVersion="3" recordCount="34" xr:uid="{F105C209-E005-4D95-BBB7-3E91733C8BEB}">
  <cacheSource type="worksheet">
    <worksheetSource name="Tbl_Summary"/>
  </cacheSource>
  <cacheFields count="14">
    <cacheField name="NO" numFmtId="0">
      <sharedItems containsMixedTypes="1" containsNumber="1" containsInteger="1" minValue="1" maxValue="27"/>
    </cacheField>
    <cacheField name="5 FACTOR" numFmtId="0">
      <sharedItems count="6">
        <s v="MAN"/>
        <s v="MATERIAL"/>
        <s v="MACHINE"/>
        <s v="METHOD"/>
        <s v="ENVIRONMENT"/>
        <s v=""/>
      </sharedItems>
    </cacheField>
    <cacheField name="CATEGORY" numFmtId="0">
      <sharedItems count="3">
        <s v="Quick Action"/>
        <s v="Long Term / Development"/>
        <s v=""/>
      </sharedItems>
    </cacheField>
    <cacheField name="PIC" numFmtId="0">
      <sharedItems count="12">
        <s v="ANDREAS"/>
        <s v="HC"/>
        <s v="SLD"/>
        <s v="AGUS Y"/>
        <s v="HO"/>
        <s v="PLANT-LOG"/>
        <s v="GS"/>
        <s v="GS HO"/>
        <s v="YOHANES"/>
        <s v="AMIN"/>
        <s v="OLOWAN"/>
        <s v=""/>
      </sharedItems>
    </cacheField>
    <cacheField name="PLAN START" numFmtId="164">
      <sharedItems containsDate="1" containsMixedTypes="1" minDate="2026-05-01T00:00:00" maxDate="2026-05-21T00:00:00"/>
    </cacheField>
    <cacheField name="DUE DATA" numFmtId="164">
      <sharedItems containsDate="1" containsMixedTypes="1" minDate="2026-05-21T00:00:00" maxDate="2026-06-16T00:00:00"/>
    </cacheField>
    <cacheField name="PLAN DURATION" numFmtId="0">
      <sharedItems containsMixedTypes="1" containsNumber="1" containsInteger="1" minValue="5" maxValue="30"/>
    </cacheField>
    <cacheField name="ACTUAL START" numFmtId="164">
      <sharedItems containsDate="1" containsMixedTypes="1" minDate="1899-12-30T00:00:00" maxDate="2026-05-21T00:00:00"/>
    </cacheField>
    <cacheField name="ACTUAL FINISH" numFmtId="164">
      <sharedItems containsDate="1" containsMixedTypes="1" minDate="2026-05-30T00:00:00" maxDate="2026-05-31T00:00:00"/>
    </cacheField>
    <cacheField name="ACTUAL DURATION" numFmtId="1">
      <sharedItems containsMixedTypes="1" containsNumber="1" containsInteger="1" minValue="10" maxValue="15"/>
    </cacheField>
    <cacheField name="STATUS" numFmtId="164">
      <sharedItems count="5">
        <s v="ON PROGRESS"/>
        <s v="OPEN"/>
        <s v="CLOSE"/>
        <s v=""/>
        <s v="OVERDUE" u="1"/>
      </sharedItems>
    </cacheField>
    <cacheField name="DUE STATUS" numFmtId="164">
      <sharedItems count="7">
        <s v="OVERDUE"/>
        <s v="&lt; 14 HARI"/>
        <s v="CLOSE"/>
        <s v=""/>
        <s v="&lt; 3 HARI" u="1"/>
        <s v="&gt; 14 HARI" u="1"/>
        <s v="&lt; 7 HARI" u="1"/>
      </sharedItems>
    </cacheField>
    <cacheField name="COMPLETION" numFmtId="10">
      <sharedItems containsMixedTypes="1" containsNumber="1" containsInteger="1" minValue="1" maxValue="1"/>
    </cacheField>
    <cacheField name="COMPLETION_FLAG" numFmtId="0">
      <sharedItems containsMixedTypes="1" containsNumber="1" containsInteger="1" minValue="0" maxValue="1"/>
    </cacheField>
  </cacheFields>
  <extLst>
    <ext xmlns:x14="http://schemas.microsoft.com/office/spreadsheetml/2009/9/main" uri="{725AE2AE-9491-48be-B2B4-4EB974FC3084}">
      <x14:pivotCacheDefinition pivotCacheId="78039054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680555" createdVersion="8" refreshedVersion="8" minRefreshableVersion="3" recordCount="62" xr:uid="{82895B15-C652-4D54-B28C-E75AF785532B}">
  <cacheSource type="worksheet">
    <worksheetSource name="TBL_DOZER_READINESS"/>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containsInteger="1" minValue="11" maxValue="1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91204" createdVersion="8" refreshedVersion="8" minRefreshableVersion="3" recordCount="62" xr:uid="{EFA0234F-4EAB-4516-A24F-6415131A7450}">
  <cacheSource type="worksheet">
    <worksheetSource name="Tbl_PvsA"/>
  </cacheSource>
  <cacheFields count="3">
    <cacheField name="DAY" numFmtId="0">
      <sharedItems containsSemiMixedTypes="0" containsString="0" containsNumber="1" minValue="0.3" maxValue="31" count="32">
        <n v="1"/>
        <n v="2"/>
        <n v="3"/>
        <n v="4"/>
        <n v="5"/>
        <n v="6"/>
        <n v="7"/>
        <n v="8"/>
        <n v="9"/>
        <n v="10"/>
        <n v="11"/>
        <n v="12"/>
        <n v="13"/>
        <n v="14"/>
        <n v="15"/>
        <n v="16"/>
        <n v="17"/>
        <n v="18"/>
        <n v="19"/>
        <n v="20"/>
        <n v="21"/>
        <n v="22"/>
        <n v="23"/>
        <n v="24"/>
        <n v="25"/>
        <n v="26"/>
        <n v="27"/>
        <n v="28"/>
        <n v="29"/>
        <n v="30"/>
        <n v="31"/>
        <n v="0.3" u="1"/>
      </sharedItems>
    </cacheField>
    <cacheField name="TYPE" numFmtId="0">
      <sharedItems count="3">
        <s v="PLAN"/>
        <s v="ACTUAL"/>
        <s v="VAR" u="1"/>
      </sharedItems>
    </cacheField>
    <cacheField name="ACHIEVEMENT" numFmtId="167">
      <sharedItems containsSemiMixedTypes="0" containsString="0" containsNumber="1" minValue="2.2222222222222223E-2"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4027779" createdVersion="8" refreshedVersion="8" minRefreshableVersion="3" recordCount="31" xr:uid="{1F87E12F-334F-4647-882D-2DC052893312}">
  <cacheSource type="worksheet">
    <worksheetSource name="SUM_ACT"/>
  </cacheSource>
  <cacheFields count="7">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DAILY_PLAN" numFmtId="10">
      <sharedItems containsSemiMixedTypes="0" containsString="0" containsNumber="1" minValue="2.2222222222222223E-2" maxValue="1"/>
    </cacheField>
    <cacheField name="DAILY_ACTUAL" numFmtId="10">
      <sharedItems containsSemiMixedTypes="0" containsString="0" containsNumber="1" minValue="2.5925925925925925E-2" maxValue="1"/>
    </cacheField>
    <cacheField name="DOZER_READINESS" numFmtId="1">
      <sharedItems containsSemiMixedTypes="0" containsString="0" containsNumber="1" containsInteger="1" minValue="11" maxValue="16"/>
    </cacheField>
    <cacheField name="PA_DOZER" numFmtId="167">
      <sharedItems containsSemiMixedTypes="0" containsString="0" containsNumber="1" minValue="0.72" maxValue="1"/>
    </cacheField>
    <cacheField name="MTBF" numFmtId="0">
      <sharedItems containsSemiMixedTypes="0" containsString="0" containsNumber="1" containsInteger="1" minValue="50" maxValue="83"/>
    </cacheField>
    <cacheField name="MTTR" numFmtId="0">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TR"/>
    <x v="0"/>
    <x v="0"/>
    <n v="80"/>
  </r>
  <r>
    <s v="MTTR"/>
    <x v="1"/>
    <x v="0"/>
    <n v="80"/>
  </r>
  <r>
    <s v="MTTR"/>
    <x v="0"/>
    <x v="1"/>
    <n v="80"/>
  </r>
  <r>
    <s v="MTTR"/>
    <x v="1"/>
    <x v="1"/>
    <n v="60"/>
  </r>
  <r>
    <s v="MTTR"/>
    <x v="0"/>
    <x v="2"/>
    <n v="80"/>
  </r>
  <r>
    <s v="MTTR"/>
    <x v="1"/>
    <x v="2"/>
    <n v="50"/>
  </r>
  <r>
    <s v="MTTR"/>
    <x v="0"/>
    <x v="3"/>
    <n v="80"/>
  </r>
  <r>
    <s v="MTTR"/>
    <x v="1"/>
    <x v="3"/>
    <n v="75"/>
  </r>
  <r>
    <s v="MTTR"/>
    <x v="0"/>
    <x v="4"/>
    <n v="80"/>
  </r>
  <r>
    <s v="MTTR"/>
    <x v="1"/>
    <x v="4"/>
    <n v="83"/>
  </r>
  <r>
    <s v="MTTR"/>
    <x v="0"/>
    <x v="5"/>
    <n v="80"/>
  </r>
  <r>
    <s v="MTTR"/>
    <x v="1"/>
    <x v="5"/>
    <n v="65"/>
  </r>
  <r>
    <s v="MTTR"/>
    <x v="0"/>
    <x v="6"/>
    <n v="80"/>
  </r>
  <r>
    <s v="MTTR"/>
    <x v="1"/>
    <x v="6"/>
    <n v="73"/>
  </r>
  <r>
    <s v="MTTR"/>
    <x v="0"/>
    <x v="7"/>
    <n v="80"/>
  </r>
  <r>
    <s v="MTTR"/>
    <x v="1"/>
    <x v="7"/>
    <n v="80"/>
  </r>
  <r>
    <s v="MTTR"/>
    <x v="0"/>
    <x v="8"/>
    <n v="80"/>
  </r>
  <r>
    <s v="MTTR"/>
    <x v="1"/>
    <x v="8"/>
    <n v="60"/>
  </r>
  <r>
    <s v="MTTR"/>
    <x v="0"/>
    <x v="9"/>
    <n v="80"/>
  </r>
  <r>
    <s v="MTTR"/>
    <x v="1"/>
    <x v="9"/>
    <n v="50"/>
  </r>
  <r>
    <s v="MTTR"/>
    <x v="0"/>
    <x v="10"/>
    <n v="80"/>
  </r>
  <r>
    <s v="MTTR"/>
    <x v="1"/>
    <x v="10"/>
    <n v="75"/>
  </r>
  <r>
    <s v="MTTR"/>
    <x v="0"/>
    <x v="11"/>
    <n v="80"/>
  </r>
  <r>
    <s v="MTTR"/>
    <x v="1"/>
    <x v="11"/>
    <n v="83"/>
  </r>
  <r>
    <s v="MTTR"/>
    <x v="0"/>
    <x v="12"/>
    <n v="80"/>
  </r>
  <r>
    <s v="MTTR"/>
    <x v="1"/>
    <x v="12"/>
    <n v="65"/>
  </r>
  <r>
    <s v="MTTR"/>
    <x v="0"/>
    <x v="13"/>
    <n v="80"/>
  </r>
  <r>
    <s v="MTTR"/>
    <x v="1"/>
    <x v="13"/>
    <n v="73"/>
  </r>
  <r>
    <s v="MTTR"/>
    <x v="0"/>
    <x v="14"/>
    <n v="80"/>
  </r>
  <r>
    <s v="MTTR"/>
    <x v="1"/>
    <x v="14"/>
    <n v="80"/>
  </r>
  <r>
    <s v="MTTR"/>
    <x v="0"/>
    <x v="15"/>
    <n v="80"/>
  </r>
  <r>
    <s v="MTTR"/>
    <x v="1"/>
    <x v="15"/>
    <n v="60"/>
  </r>
  <r>
    <s v="MTTR"/>
    <x v="0"/>
    <x v="16"/>
    <n v="80"/>
  </r>
  <r>
    <s v="MTTR"/>
    <x v="1"/>
    <x v="16"/>
    <n v="50"/>
  </r>
  <r>
    <s v="MTTR"/>
    <x v="0"/>
    <x v="17"/>
    <n v="80"/>
  </r>
  <r>
    <s v="MTTR"/>
    <x v="1"/>
    <x v="17"/>
    <n v="75"/>
  </r>
  <r>
    <s v="MTTR"/>
    <x v="0"/>
    <x v="18"/>
    <n v="80"/>
  </r>
  <r>
    <s v="MTTR"/>
    <x v="1"/>
    <x v="18"/>
    <n v="83"/>
  </r>
  <r>
    <s v="MTTR"/>
    <x v="0"/>
    <x v="19"/>
    <n v="80"/>
  </r>
  <r>
    <s v="MTTR"/>
    <x v="1"/>
    <x v="19"/>
    <n v="65"/>
  </r>
  <r>
    <s v="MTTR"/>
    <x v="0"/>
    <x v="20"/>
    <n v="80"/>
  </r>
  <r>
    <s v="MTTR"/>
    <x v="1"/>
    <x v="20"/>
    <n v="73"/>
  </r>
  <r>
    <s v="MTTR"/>
    <x v="0"/>
    <x v="21"/>
    <n v="80"/>
  </r>
  <r>
    <s v="MTTR"/>
    <x v="1"/>
    <x v="21"/>
    <n v="80"/>
  </r>
  <r>
    <s v="MTTR"/>
    <x v="0"/>
    <x v="22"/>
    <n v="80"/>
  </r>
  <r>
    <s v="MTTR"/>
    <x v="1"/>
    <x v="22"/>
    <n v="60"/>
  </r>
  <r>
    <s v="MTTR"/>
    <x v="0"/>
    <x v="23"/>
    <n v="80"/>
  </r>
  <r>
    <s v="MTTR"/>
    <x v="1"/>
    <x v="23"/>
    <n v="50"/>
  </r>
  <r>
    <s v="MTTR"/>
    <x v="0"/>
    <x v="24"/>
    <n v="80"/>
  </r>
  <r>
    <s v="MTTR"/>
    <x v="1"/>
    <x v="24"/>
    <n v="75"/>
  </r>
  <r>
    <s v="MTTR"/>
    <x v="0"/>
    <x v="25"/>
    <n v="80"/>
  </r>
  <r>
    <s v="MTTR"/>
    <x v="1"/>
    <x v="25"/>
    <n v="83"/>
  </r>
  <r>
    <s v="MTTR"/>
    <x v="0"/>
    <x v="26"/>
    <n v="80"/>
  </r>
  <r>
    <s v="MTTR"/>
    <x v="1"/>
    <x v="26"/>
    <n v="65"/>
  </r>
  <r>
    <s v="MTTR"/>
    <x v="0"/>
    <x v="27"/>
    <n v="80"/>
  </r>
  <r>
    <s v="MTTR"/>
    <x v="1"/>
    <x v="27"/>
    <n v="73"/>
  </r>
  <r>
    <s v="MTTR"/>
    <x v="0"/>
    <x v="28"/>
    <n v="80"/>
  </r>
  <r>
    <s v="MTTR"/>
    <x v="1"/>
    <x v="28"/>
    <n v="75"/>
  </r>
  <r>
    <s v="MTTR"/>
    <x v="0"/>
    <x v="29"/>
    <n v="80"/>
  </r>
  <r>
    <s v="MTTR"/>
    <x v="1"/>
    <x v="29"/>
    <n v="83"/>
  </r>
  <r>
    <s v="MTTR"/>
    <x v="0"/>
    <x v="30"/>
    <n v="80"/>
  </r>
  <r>
    <s v="MTTR"/>
    <x v="1"/>
    <x v="30"/>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FACTOR"/>
    <x v="0"/>
    <x v="0"/>
    <x v="0"/>
    <n v="16"/>
  </r>
  <r>
    <s v="FACTOR"/>
    <x v="0"/>
    <x v="1"/>
    <x v="0"/>
    <n v="15"/>
  </r>
  <r>
    <s v="FACTOR"/>
    <x v="0"/>
    <x v="0"/>
    <x v="1"/>
    <n v="16"/>
  </r>
  <r>
    <s v="FACTOR"/>
    <x v="0"/>
    <x v="1"/>
    <x v="1"/>
    <n v="13"/>
  </r>
  <r>
    <s v="FACTOR"/>
    <x v="0"/>
    <x v="0"/>
    <x v="2"/>
    <n v="16"/>
  </r>
  <r>
    <s v="FACTOR"/>
    <x v="0"/>
    <x v="1"/>
    <x v="2"/>
    <n v="14"/>
  </r>
  <r>
    <s v="FACTOR"/>
    <x v="0"/>
    <x v="0"/>
    <x v="3"/>
    <n v="16"/>
  </r>
  <r>
    <s v="FACTOR"/>
    <x v="0"/>
    <x v="1"/>
    <x v="3"/>
    <n v="11"/>
  </r>
  <r>
    <s v="FACTOR"/>
    <x v="0"/>
    <x v="0"/>
    <x v="4"/>
    <n v="16"/>
  </r>
  <r>
    <s v="FACTOR"/>
    <x v="0"/>
    <x v="1"/>
    <x v="4"/>
    <n v="16"/>
  </r>
  <r>
    <s v="FACTOR"/>
    <x v="0"/>
    <x v="0"/>
    <x v="5"/>
    <n v="16"/>
  </r>
  <r>
    <s v="FACTOR"/>
    <x v="0"/>
    <x v="1"/>
    <x v="5"/>
    <n v="14"/>
  </r>
  <r>
    <s v="FACTOR"/>
    <x v="0"/>
    <x v="0"/>
    <x v="6"/>
    <n v="16"/>
  </r>
  <r>
    <s v="FACTOR"/>
    <x v="0"/>
    <x v="1"/>
    <x v="6"/>
    <n v="16"/>
  </r>
  <r>
    <s v="FACTOR"/>
    <x v="0"/>
    <x v="0"/>
    <x v="7"/>
    <n v="16"/>
  </r>
  <r>
    <s v="FACTOR"/>
    <x v="0"/>
    <x v="1"/>
    <x v="7"/>
    <n v="15"/>
  </r>
  <r>
    <s v="FACTOR"/>
    <x v="0"/>
    <x v="0"/>
    <x v="8"/>
    <n v="16"/>
  </r>
  <r>
    <s v="FACTOR"/>
    <x v="0"/>
    <x v="1"/>
    <x v="8"/>
    <n v="13"/>
  </r>
  <r>
    <s v="FACTOR"/>
    <x v="0"/>
    <x v="0"/>
    <x v="9"/>
    <n v="16"/>
  </r>
  <r>
    <s v="FACTOR"/>
    <x v="0"/>
    <x v="1"/>
    <x v="9"/>
    <n v="14"/>
  </r>
  <r>
    <s v="FACTOR"/>
    <x v="0"/>
    <x v="0"/>
    <x v="10"/>
    <n v="16"/>
  </r>
  <r>
    <s v="FACTOR"/>
    <x v="0"/>
    <x v="1"/>
    <x v="10"/>
    <n v="11"/>
  </r>
  <r>
    <s v="FACTOR"/>
    <x v="0"/>
    <x v="0"/>
    <x v="11"/>
    <n v="16"/>
  </r>
  <r>
    <s v="FACTOR"/>
    <x v="0"/>
    <x v="1"/>
    <x v="11"/>
    <n v="16"/>
  </r>
  <r>
    <s v="FACTOR"/>
    <x v="0"/>
    <x v="0"/>
    <x v="12"/>
    <n v="16"/>
  </r>
  <r>
    <s v="FACTOR"/>
    <x v="0"/>
    <x v="1"/>
    <x v="12"/>
    <n v="14"/>
  </r>
  <r>
    <s v="FACTOR"/>
    <x v="0"/>
    <x v="0"/>
    <x v="13"/>
    <n v="16"/>
  </r>
  <r>
    <s v="FACTOR"/>
    <x v="0"/>
    <x v="1"/>
    <x v="13"/>
    <n v="16"/>
  </r>
  <r>
    <s v="FACTOR"/>
    <x v="0"/>
    <x v="0"/>
    <x v="14"/>
    <n v="16"/>
  </r>
  <r>
    <s v="FACTOR"/>
    <x v="0"/>
    <x v="1"/>
    <x v="14"/>
    <n v="15"/>
  </r>
  <r>
    <s v="FACTOR"/>
    <x v="0"/>
    <x v="0"/>
    <x v="15"/>
    <n v="16"/>
  </r>
  <r>
    <s v="FACTOR"/>
    <x v="0"/>
    <x v="1"/>
    <x v="15"/>
    <n v="13"/>
  </r>
  <r>
    <s v="FACTOR"/>
    <x v="0"/>
    <x v="0"/>
    <x v="16"/>
    <n v="16"/>
  </r>
  <r>
    <s v="FACTOR"/>
    <x v="0"/>
    <x v="1"/>
    <x v="16"/>
    <n v="14"/>
  </r>
  <r>
    <s v="FACTOR"/>
    <x v="0"/>
    <x v="0"/>
    <x v="17"/>
    <n v="16"/>
  </r>
  <r>
    <s v="FACTOR"/>
    <x v="0"/>
    <x v="1"/>
    <x v="17"/>
    <n v="11"/>
  </r>
  <r>
    <s v="FACTOR"/>
    <x v="0"/>
    <x v="0"/>
    <x v="18"/>
    <n v="16"/>
  </r>
  <r>
    <s v="FACTOR"/>
    <x v="0"/>
    <x v="1"/>
    <x v="18"/>
    <n v="16"/>
  </r>
  <r>
    <s v="FACTOR"/>
    <x v="0"/>
    <x v="0"/>
    <x v="19"/>
    <n v="16"/>
  </r>
  <r>
    <s v="FACTOR"/>
    <x v="0"/>
    <x v="1"/>
    <x v="19"/>
    <n v="14"/>
  </r>
  <r>
    <s v="FACTOR"/>
    <x v="0"/>
    <x v="0"/>
    <x v="20"/>
    <n v="16"/>
  </r>
  <r>
    <s v="FACTOR"/>
    <x v="0"/>
    <x v="1"/>
    <x v="20"/>
    <n v="16"/>
  </r>
  <r>
    <s v="FACTOR"/>
    <x v="0"/>
    <x v="0"/>
    <x v="21"/>
    <n v="16"/>
  </r>
  <r>
    <s v="FACTOR"/>
    <x v="0"/>
    <x v="1"/>
    <x v="21"/>
    <n v="15"/>
  </r>
  <r>
    <s v="FACTOR"/>
    <x v="0"/>
    <x v="0"/>
    <x v="22"/>
    <n v="16"/>
  </r>
  <r>
    <s v="FACTOR"/>
    <x v="0"/>
    <x v="1"/>
    <x v="22"/>
    <n v="13"/>
  </r>
  <r>
    <s v="FACTOR"/>
    <x v="0"/>
    <x v="0"/>
    <x v="23"/>
    <n v="16"/>
  </r>
  <r>
    <s v="FACTOR"/>
    <x v="0"/>
    <x v="1"/>
    <x v="23"/>
    <n v="14"/>
  </r>
  <r>
    <s v="FACTOR"/>
    <x v="0"/>
    <x v="0"/>
    <x v="24"/>
    <n v="16"/>
  </r>
  <r>
    <s v="FACTOR"/>
    <x v="0"/>
    <x v="1"/>
    <x v="24"/>
    <n v="11"/>
  </r>
  <r>
    <s v="FACTOR"/>
    <x v="0"/>
    <x v="0"/>
    <x v="25"/>
    <n v="16"/>
  </r>
  <r>
    <s v="FACTOR"/>
    <x v="0"/>
    <x v="1"/>
    <x v="25"/>
    <n v="16"/>
  </r>
  <r>
    <s v="FACTOR"/>
    <x v="0"/>
    <x v="0"/>
    <x v="26"/>
    <n v="16"/>
  </r>
  <r>
    <s v="FACTOR"/>
    <x v="0"/>
    <x v="1"/>
    <x v="26"/>
    <n v="14"/>
  </r>
  <r>
    <s v="FACTOR"/>
    <x v="0"/>
    <x v="0"/>
    <x v="27"/>
    <n v="16"/>
  </r>
  <r>
    <s v="FACTOR"/>
    <x v="0"/>
    <x v="1"/>
    <x v="27"/>
    <n v="16"/>
  </r>
  <r>
    <s v="FACTOR"/>
    <x v="0"/>
    <x v="0"/>
    <x v="28"/>
    <n v="16"/>
  </r>
  <r>
    <s v="FACTOR"/>
    <x v="0"/>
    <x v="1"/>
    <x v="28"/>
    <n v="12"/>
  </r>
  <r>
    <s v="FACTOR"/>
    <x v="0"/>
    <x v="0"/>
    <x v="29"/>
    <n v="16"/>
  </r>
  <r>
    <s v="FACTOR"/>
    <x v="0"/>
    <x v="1"/>
    <x v="29"/>
    <n v="11"/>
  </r>
  <r>
    <s v="FACTOR"/>
    <x v="0"/>
    <x v="0"/>
    <x v="30"/>
    <n v="16"/>
  </r>
  <r>
    <s v="FACTOR"/>
    <x v="0"/>
    <x v="1"/>
    <x v="30"/>
    <n v="15"/>
  </r>
  <r>
    <s v="FACTOR"/>
    <x v="1"/>
    <x v="0"/>
    <x v="0"/>
    <n v="0.9"/>
  </r>
  <r>
    <s v="FACTOR"/>
    <x v="1"/>
    <x v="1"/>
    <x v="0"/>
    <n v="0.87"/>
  </r>
  <r>
    <s v="FACTOR"/>
    <x v="1"/>
    <x v="0"/>
    <x v="1"/>
    <n v="0.9"/>
  </r>
  <r>
    <s v="FACTOR"/>
    <x v="1"/>
    <x v="1"/>
    <x v="1"/>
    <n v="0.8"/>
  </r>
  <r>
    <s v="FACTOR"/>
    <x v="1"/>
    <x v="0"/>
    <x v="2"/>
    <n v="0.9"/>
  </r>
  <r>
    <s v="FACTOR"/>
    <x v="1"/>
    <x v="1"/>
    <x v="2"/>
    <n v="0.83"/>
  </r>
  <r>
    <s v="FACTOR"/>
    <x v="1"/>
    <x v="0"/>
    <x v="3"/>
    <n v="0.9"/>
  </r>
  <r>
    <s v="FACTOR"/>
    <x v="1"/>
    <x v="1"/>
    <x v="3"/>
    <n v="0.72"/>
  </r>
  <r>
    <s v="FACTOR"/>
    <x v="1"/>
    <x v="0"/>
    <x v="4"/>
    <n v="0.9"/>
  </r>
  <r>
    <s v="FACTOR"/>
    <x v="1"/>
    <x v="1"/>
    <x v="4"/>
    <n v="1"/>
  </r>
  <r>
    <s v="FACTOR"/>
    <x v="1"/>
    <x v="0"/>
    <x v="5"/>
    <n v="0.9"/>
  </r>
  <r>
    <s v="FACTOR"/>
    <x v="1"/>
    <x v="1"/>
    <x v="5"/>
    <n v="0.9"/>
  </r>
  <r>
    <s v="FACTOR"/>
    <x v="1"/>
    <x v="0"/>
    <x v="6"/>
    <n v="0.9"/>
  </r>
  <r>
    <s v="FACTOR"/>
    <x v="1"/>
    <x v="1"/>
    <x v="6"/>
    <n v="0.98"/>
  </r>
  <r>
    <s v="FACTOR"/>
    <x v="1"/>
    <x v="0"/>
    <x v="7"/>
    <n v="0.9"/>
  </r>
  <r>
    <s v="FACTOR"/>
    <x v="1"/>
    <x v="1"/>
    <x v="7"/>
    <n v="0.93"/>
  </r>
  <r>
    <s v="FACTOR"/>
    <x v="1"/>
    <x v="0"/>
    <x v="8"/>
    <n v="0.9"/>
  </r>
  <r>
    <s v="FACTOR"/>
    <x v="1"/>
    <x v="1"/>
    <x v="8"/>
    <n v="0.87"/>
  </r>
  <r>
    <s v="FACTOR"/>
    <x v="1"/>
    <x v="0"/>
    <x v="9"/>
    <n v="0.9"/>
  </r>
  <r>
    <s v="FACTOR"/>
    <x v="1"/>
    <x v="1"/>
    <x v="9"/>
    <n v="0.8"/>
  </r>
  <r>
    <s v="FACTOR"/>
    <x v="1"/>
    <x v="0"/>
    <x v="10"/>
    <n v="0.9"/>
  </r>
  <r>
    <s v="FACTOR"/>
    <x v="1"/>
    <x v="1"/>
    <x v="10"/>
    <n v="0.83"/>
  </r>
  <r>
    <s v="FACTOR"/>
    <x v="1"/>
    <x v="0"/>
    <x v="11"/>
    <n v="0.9"/>
  </r>
  <r>
    <s v="FACTOR"/>
    <x v="1"/>
    <x v="1"/>
    <x v="11"/>
    <n v="0.72"/>
  </r>
  <r>
    <s v="FACTOR"/>
    <x v="1"/>
    <x v="0"/>
    <x v="12"/>
    <n v="0.9"/>
  </r>
  <r>
    <s v="FACTOR"/>
    <x v="1"/>
    <x v="1"/>
    <x v="12"/>
    <n v="1"/>
  </r>
  <r>
    <s v="FACTOR"/>
    <x v="1"/>
    <x v="0"/>
    <x v="13"/>
    <n v="0.9"/>
  </r>
  <r>
    <s v="FACTOR"/>
    <x v="1"/>
    <x v="1"/>
    <x v="13"/>
    <n v="0.9"/>
  </r>
  <r>
    <s v="FACTOR"/>
    <x v="1"/>
    <x v="0"/>
    <x v="14"/>
    <n v="0.9"/>
  </r>
  <r>
    <s v="FACTOR"/>
    <x v="1"/>
    <x v="1"/>
    <x v="14"/>
    <n v="0.98"/>
  </r>
  <r>
    <s v="FACTOR"/>
    <x v="1"/>
    <x v="0"/>
    <x v="15"/>
    <n v="0.9"/>
  </r>
  <r>
    <s v="FACTOR"/>
    <x v="1"/>
    <x v="1"/>
    <x v="15"/>
    <n v="0.93"/>
  </r>
  <r>
    <s v="FACTOR"/>
    <x v="1"/>
    <x v="0"/>
    <x v="16"/>
    <n v="0.9"/>
  </r>
  <r>
    <s v="FACTOR"/>
    <x v="1"/>
    <x v="1"/>
    <x v="16"/>
    <n v="0.87"/>
  </r>
  <r>
    <s v="FACTOR"/>
    <x v="1"/>
    <x v="0"/>
    <x v="17"/>
    <n v="0.9"/>
  </r>
  <r>
    <s v="FACTOR"/>
    <x v="1"/>
    <x v="1"/>
    <x v="17"/>
    <n v="0.8"/>
  </r>
  <r>
    <s v="FACTOR"/>
    <x v="1"/>
    <x v="0"/>
    <x v="18"/>
    <n v="0.9"/>
  </r>
  <r>
    <s v="FACTOR"/>
    <x v="1"/>
    <x v="1"/>
    <x v="18"/>
    <n v="0.83"/>
  </r>
  <r>
    <s v="FACTOR"/>
    <x v="1"/>
    <x v="0"/>
    <x v="19"/>
    <n v="0.9"/>
  </r>
  <r>
    <s v="FACTOR"/>
    <x v="1"/>
    <x v="1"/>
    <x v="19"/>
    <n v="0.72"/>
  </r>
  <r>
    <s v="FACTOR"/>
    <x v="1"/>
    <x v="0"/>
    <x v="20"/>
    <n v="0.9"/>
  </r>
  <r>
    <s v="FACTOR"/>
    <x v="1"/>
    <x v="1"/>
    <x v="20"/>
    <n v="1"/>
  </r>
  <r>
    <s v="FACTOR"/>
    <x v="1"/>
    <x v="0"/>
    <x v="21"/>
    <n v="0.9"/>
  </r>
  <r>
    <s v="FACTOR"/>
    <x v="1"/>
    <x v="1"/>
    <x v="21"/>
    <n v="0.9"/>
  </r>
  <r>
    <s v="FACTOR"/>
    <x v="1"/>
    <x v="0"/>
    <x v="22"/>
    <n v="0.9"/>
  </r>
  <r>
    <s v="FACTOR"/>
    <x v="1"/>
    <x v="1"/>
    <x v="22"/>
    <n v="0.98"/>
  </r>
  <r>
    <s v="FACTOR"/>
    <x v="1"/>
    <x v="0"/>
    <x v="23"/>
    <n v="0.9"/>
  </r>
  <r>
    <s v="FACTOR"/>
    <x v="1"/>
    <x v="1"/>
    <x v="23"/>
    <n v="0.93"/>
  </r>
  <r>
    <s v="FACTOR"/>
    <x v="1"/>
    <x v="0"/>
    <x v="24"/>
    <n v="0.9"/>
  </r>
  <r>
    <s v="FACTOR"/>
    <x v="1"/>
    <x v="1"/>
    <x v="24"/>
    <n v="0.87"/>
  </r>
  <r>
    <s v="FACTOR"/>
    <x v="1"/>
    <x v="0"/>
    <x v="25"/>
    <n v="0.9"/>
  </r>
  <r>
    <s v="FACTOR"/>
    <x v="1"/>
    <x v="1"/>
    <x v="25"/>
    <n v="0.8"/>
  </r>
  <r>
    <s v="FACTOR"/>
    <x v="1"/>
    <x v="0"/>
    <x v="26"/>
    <n v="0.9"/>
  </r>
  <r>
    <s v="FACTOR"/>
    <x v="1"/>
    <x v="1"/>
    <x v="26"/>
    <n v="0.83"/>
  </r>
  <r>
    <s v="FACTOR"/>
    <x v="1"/>
    <x v="0"/>
    <x v="27"/>
    <n v="0.9"/>
  </r>
  <r>
    <s v="FACTOR"/>
    <x v="1"/>
    <x v="1"/>
    <x v="27"/>
    <n v="0.72"/>
  </r>
  <r>
    <s v="FACTOR"/>
    <x v="1"/>
    <x v="0"/>
    <x v="28"/>
    <n v="0.9"/>
  </r>
  <r>
    <s v="FACTOR"/>
    <x v="1"/>
    <x v="1"/>
    <x v="28"/>
    <n v="1"/>
  </r>
  <r>
    <s v="FACTOR"/>
    <x v="1"/>
    <x v="0"/>
    <x v="29"/>
    <n v="0.9"/>
  </r>
  <r>
    <s v="FACTOR"/>
    <x v="1"/>
    <x v="1"/>
    <x v="29"/>
    <n v="0.9"/>
  </r>
  <r>
    <s v="FACTOR"/>
    <x v="1"/>
    <x v="0"/>
    <x v="30"/>
    <n v="0.9"/>
  </r>
  <r>
    <s v="FACTOR"/>
    <x v="1"/>
    <x v="1"/>
    <x v="30"/>
    <n v="0.98"/>
  </r>
  <r>
    <s v="FACTOR"/>
    <x v="2"/>
    <x v="0"/>
    <x v="0"/>
    <n v="70"/>
  </r>
  <r>
    <s v="FACTOR"/>
    <x v="2"/>
    <x v="1"/>
    <x v="0"/>
    <n v="80"/>
  </r>
  <r>
    <s v="FACTOR"/>
    <x v="2"/>
    <x v="0"/>
    <x v="1"/>
    <n v="70"/>
  </r>
  <r>
    <s v="FACTOR"/>
    <x v="2"/>
    <x v="1"/>
    <x v="1"/>
    <n v="60"/>
  </r>
  <r>
    <s v="FACTOR"/>
    <x v="2"/>
    <x v="0"/>
    <x v="2"/>
    <n v="70"/>
  </r>
  <r>
    <s v="FACTOR"/>
    <x v="2"/>
    <x v="1"/>
    <x v="2"/>
    <n v="50"/>
  </r>
  <r>
    <s v="FACTOR"/>
    <x v="2"/>
    <x v="0"/>
    <x v="3"/>
    <n v="70"/>
  </r>
  <r>
    <s v="FACTOR"/>
    <x v="2"/>
    <x v="1"/>
    <x v="3"/>
    <n v="75"/>
  </r>
  <r>
    <s v="FACTOR"/>
    <x v="2"/>
    <x v="0"/>
    <x v="4"/>
    <n v="70"/>
  </r>
  <r>
    <s v="FACTOR"/>
    <x v="2"/>
    <x v="1"/>
    <x v="4"/>
    <n v="83"/>
  </r>
  <r>
    <s v="FACTOR"/>
    <x v="2"/>
    <x v="0"/>
    <x v="5"/>
    <n v="70"/>
  </r>
  <r>
    <s v="FACTOR"/>
    <x v="2"/>
    <x v="1"/>
    <x v="5"/>
    <n v="65"/>
  </r>
  <r>
    <s v="FACTOR"/>
    <x v="2"/>
    <x v="0"/>
    <x v="6"/>
    <n v="70"/>
  </r>
  <r>
    <s v="FACTOR"/>
    <x v="2"/>
    <x v="1"/>
    <x v="6"/>
    <n v="73"/>
  </r>
  <r>
    <s v="FACTOR"/>
    <x v="2"/>
    <x v="0"/>
    <x v="7"/>
    <n v="70"/>
  </r>
  <r>
    <s v="FACTOR"/>
    <x v="2"/>
    <x v="1"/>
    <x v="7"/>
    <n v="80"/>
  </r>
  <r>
    <s v="FACTOR"/>
    <x v="2"/>
    <x v="0"/>
    <x v="8"/>
    <n v="70"/>
  </r>
  <r>
    <s v="FACTOR"/>
    <x v="2"/>
    <x v="1"/>
    <x v="8"/>
    <n v="60"/>
  </r>
  <r>
    <s v="FACTOR"/>
    <x v="2"/>
    <x v="0"/>
    <x v="9"/>
    <n v="70"/>
  </r>
  <r>
    <s v="FACTOR"/>
    <x v="2"/>
    <x v="1"/>
    <x v="9"/>
    <n v="50"/>
  </r>
  <r>
    <s v="FACTOR"/>
    <x v="2"/>
    <x v="0"/>
    <x v="10"/>
    <n v="70"/>
  </r>
  <r>
    <s v="FACTOR"/>
    <x v="2"/>
    <x v="1"/>
    <x v="10"/>
    <n v="75"/>
  </r>
  <r>
    <s v="FACTOR"/>
    <x v="2"/>
    <x v="0"/>
    <x v="11"/>
    <n v="70"/>
  </r>
  <r>
    <s v="FACTOR"/>
    <x v="2"/>
    <x v="1"/>
    <x v="11"/>
    <n v="83"/>
  </r>
  <r>
    <s v="FACTOR"/>
    <x v="2"/>
    <x v="0"/>
    <x v="12"/>
    <n v="70"/>
  </r>
  <r>
    <s v="FACTOR"/>
    <x v="2"/>
    <x v="1"/>
    <x v="12"/>
    <n v="65"/>
  </r>
  <r>
    <s v="FACTOR"/>
    <x v="2"/>
    <x v="0"/>
    <x v="13"/>
    <n v="70"/>
  </r>
  <r>
    <s v="FACTOR"/>
    <x v="2"/>
    <x v="1"/>
    <x v="13"/>
    <n v="73"/>
  </r>
  <r>
    <s v="FACTOR"/>
    <x v="2"/>
    <x v="0"/>
    <x v="14"/>
    <n v="70"/>
  </r>
  <r>
    <s v="FACTOR"/>
    <x v="2"/>
    <x v="1"/>
    <x v="14"/>
    <n v="80"/>
  </r>
  <r>
    <s v="FACTOR"/>
    <x v="2"/>
    <x v="0"/>
    <x v="15"/>
    <n v="70"/>
  </r>
  <r>
    <s v="FACTOR"/>
    <x v="2"/>
    <x v="1"/>
    <x v="15"/>
    <n v="60"/>
  </r>
  <r>
    <s v="FACTOR"/>
    <x v="2"/>
    <x v="0"/>
    <x v="16"/>
    <n v="70"/>
  </r>
  <r>
    <s v="FACTOR"/>
    <x v="2"/>
    <x v="1"/>
    <x v="16"/>
    <n v="50"/>
  </r>
  <r>
    <s v="FACTOR"/>
    <x v="2"/>
    <x v="0"/>
    <x v="17"/>
    <n v="70"/>
  </r>
  <r>
    <s v="FACTOR"/>
    <x v="2"/>
    <x v="1"/>
    <x v="17"/>
    <n v="75"/>
  </r>
  <r>
    <s v="FACTOR"/>
    <x v="2"/>
    <x v="0"/>
    <x v="18"/>
    <n v="70"/>
  </r>
  <r>
    <s v="FACTOR"/>
    <x v="2"/>
    <x v="1"/>
    <x v="18"/>
    <n v="83"/>
  </r>
  <r>
    <s v="FACTOR"/>
    <x v="2"/>
    <x v="0"/>
    <x v="19"/>
    <n v="70"/>
  </r>
  <r>
    <s v="FACTOR"/>
    <x v="2"/>
    <x v="1"/>
    <x v="19"/>
    <n v="65"/>
  </r>
  <r>
    <s v="FACTOR"/>
    <x v="2"/>
    <x v="0"/>
    <x v="20"/>
    <n v="70"/>
  </r>
  <r>
    <s v="FACTOR"/>
    <x v="2"/>
    <x v="1"/>
    <x v="20"/>
    <n v="73"/>
  </r>
  <r>
    <s v="FACTOR"/>
    <x v="2"/>
    <x v="0"/>
    <x v="21"/>
    <n v="70"/>
  </r>
  <r>
    <s v="FACTOR"/>
    <x v="2"/>
    <x v="1"/>
    <x v="21"/>
    <n v="80"/>
  </r>
  <r>
    <s v="FACTOR"/>
    <x v="2"/>
    <x v="0"/>
    <x v="22"/>
    <n v="70"/>
  </r>
  <r>
    <s v="FACTOR"/>
    <x v="2"/>
    <x v="1"/>
    <x v="22"/>
    <n v="60"/>
  </r>
  <r>
    <s v="FACTOR"/>
    <x v="2"/>
    <x v="0"/>
    <x v="23"/>
    <n v="70"/>
  </r>
  <r>
    <s v="FACTOR"/>
    <x v="2"/>
    <x v="1"/>
    <x v="23"/>
    <n v="50"/>
  </r>
  <r>
    <s v="FACTOR"/>
    <x v="2"/>
    <x v="0"/>
    <x v="24"/>
    <n v="70"/>
  </r>
  <r>
    <s v="FACTOR"/>
    <x v="2"/>
    <x v="1"/>
    <x v="24"/>
    <n v="75"/>
  </r>
  <r>
    <s v="FACTOR"/>
    <x v="2"/>
    <x v="0"/>
    <x v="25"/>
    <n v="70"/>
  </r>
  <r>
    <s v="FACTOR"/>
    <x v="2"/>
    <x v="1"/>
    <x v="25"/>
    <n v="83"/>
  </r>
  <r>
    <s v="FACTOR"/>
    <x v="2"/>
    <x v="0"/>
    <x v="26"/>
    <n v="70"/>
  </r>
  <r>
    <s v="FACTOR"/>
    <x v="2"/>
    <x v="1"/>
    <x v="26"/>
    <n v="65"/>
  </r>
  <r>
    <s v="FACTOR"/>
    <x v="2"/>
    <x v="0"/>
    <x v="27"/>
    <n v="70"/>
  </r>
  <r>
    <s v="FACTOR"/>
    <x v="2"/>
    <x v="1"/>
    <x v="27"/>
    <n v="73"/>
  </r>
  <r>
    <s v="FACTOR"/>
    <x v="2"/>
    <x v="0"/>
    <x v="28"/>
    <n v="70"/>
  </r>
  <r>
    <s v="FACTOR"/>
    <x v="2"/>
    <x v="1"/>
    <x v="28"/>
    <n v="75"/>
  </r>
  <r>
    <s v="FACTOR"/>
    <x v="2"/>
    <x v="0"/>
    <x v="29"/>
    <n v="70"/>
  </r>
  <r>
    <s v="FACTOR"/>
    <x v="2"/>
    <x v="1"/>
    <x v="29"/>
    <n v="83"/>
  </r>
  <r>
    <s v="FACTOR"/>
    <x v="2"/>
    <x v="0"/>
    <x v="30"/>
    <n v="70"/>
  </r>
  <r>
    <s v="FACTOR"/>
    <x v="2"/>
    <x v="1"/>
    <x v="30"/>
    <n v="65"/>
  </r>
  <r>
    <s v="ACHIVEMENT"/>
    <x v="3"/>
    <x v="0"/>
    <x v="0"/>
    <n v="2.2222222222222223E-2"/>
  </r>
  <r>
    <s v="ACHIVEMENT"/>
    <x v="3"/>
    <x v="0"/>
    <x v="1"/>
    <n v="4.4444444444444446E-2"/>
  </r>
  <r>
    <s v="ACHIVEMENT"/>
    <x v="3"/>
    <x v="0"/>
    <x v="2"/>
    <n v="9.6296296296296297E-2"/>
  </r>
  <r>
    <s v="ACHIVEMENT"/>
    <x v="3"/>
    <x v="0"/>
    <x v="3"/>
    <n v="0.14814814814814817"/>
  </r>
  <r>
    <s v="ACHIVEMENT"/>
    <x v="3"/>
    <x v="0"/>
    <x v="4"/>
    <n v="0.21111111111111108"/>
  </r>
  <r>
    <s v="ACHIVEMENT"/>
    <x v="3"/>
    <x v="0"/>
    <x v="5"/>
    <n v="0.28888888888888892"/>
  </r>
  <r>
    <s v="ACHIVEMENT"/>
    <x v="3"/>
    <x v="0"/>
    <x v="6"/>
    <n v="0.38888888888888878"/>
  </r>
  <r>
    <s v="ACHIVEMENT"/>
    <x v="3"/>
    <x v="0"/>
    <x v="7"/>
    <n v="0.48888888888888893"/>
  </r>
  <r>
    <s v="ACHIVEMENT"/>
    <x v="3"/>
    <x v="0"/>
    <x v="8"/>
    <n v="0.5888888888888888"/>
  </r>
  <r>
    <s v="ACHIVEMENT"/>
    <x v="3"/>
    <x v="0"/>
    <x v="9"/>
    <n v="0.68888888888888911"/>
  </r>
  <r>
    <s v="ACHIVEMENT"/>
    <x v="3"/>
    <x v="0"/>
    <x v="10"/>
    <n v="0.76666666666666661"/>
  </r>
  <r>
    <s v="ACHIVEMENT"/>
    <x v="3"/>
    <x v="0"/>
    <x v="11"/>
    <n v="0.84444444444444433"/>
  </r>
  <r>
    <s v="ACHIVEMENT"/>
    <x v="3"/>
    <x v="0"/>
    <x v="12"/>
    <n v="0.89259259259259249"/>
  </r>
  <r>
    <s v="ACHIVEMENT"/>
    <x v="3"/>
    <x v="0"/>
    <x v="13"/>
    <n v="0.94074074074074077"/>
  </r>
  <r>
    <s v="ACHIVEMENT"/>
    <x v="3"/>
    <x v="0"/>
    <x v="14"/>
    <n v="0.97777777777777786"/>
  </r>
  <r>
    <s v="ACHIVEMENT"/>
    <x v="3"/>
    <x v="0"/>
    <x v="15"/>
    <n v="1"/>
  </r>
  <r>
    <s v="ACHIVEMENT"/>
    <x v="3"/>
    <x v="0"/>
    <x v="16"/>
    <n v="1"/>
  </r>
  <r>
    <s v="ACHIVEMENT"/>
    <x v="3"/>
    <x v="0"/>
    <x v="17"/>
    <n v="1"/>
  </r>
  <r>
    <s v="ACHIVEMENT"/>
    <x v="3"/>
    <x v="0"/>
    <x v="18"/>
    <n v="1"/>
  </r>
  <r>
    <s v="ACHIVEMENT"/>
    <x v="3"/>
    <x v="0"/>
    <x v="19"/>
    <n v="1"/>
  </r>
  <r>
    <s v="ACHIVEMENT"/>
    <x v="3"/>
    <x v="0"/>
    <x v="20"/>
    <n v="1"/>
  </r>
  <r>
    <s v="ACHIVEMENT"/>
    <x v="3"/>
    <x v="0"/>
    <x v="21"/>
    <n v="1"/>
  </r>
  <r>
    <s v="ACHIVEMENT"/>
    <x v="3"/>
    <x v="0"/>
    <x v="22"/>
    <n v="1"/>
  </r>
  <r>
    <s v="ACHIVEMENT"/>
    <x v="3"/>
    <x v="0"/>
    <x v="23"/>
    <n v="1"/>
  </r>
  <r>
    <s v="ACHIVEMENT"/>
    <x v="3"/>
    <x v="0"/>
    <x v="24"/>
    <n v="1"/>
  </r>
  <r>
    <s v="ACHIVEMENT"/>
    <x v="3"/>
    <x v="0"/>
    <x v="25"/>
    <n v="1"/>
  </r>
  <r>
    <s v="ACHIVEMENT"/>
    <x v="3"/>
    <x v="0"/>
    <x v="26"/>
    <n v="1"/>
  </r>
  <r>
    <s v="ACHIVEMENT"/>
    <x v="3"/>
    <x v="0"/>
    <x v="27"/>
    <n v="1"/>
  </r>
  <r>
    <s v="ACHIVEMENT"/>
    <x v="3"/>
    <x v="0"/>
    <x v="28"/>
    <n v="1"/>
  </r>
  <r>
    <s v="ACHIVEMENT"/>
    <x v="3"/>
    <x v="0"/>
    <x v="29"/>
    <n v="1"/>
  </r>
  <r>
    <s v="ACHIVEMENT"/>
    <x v="3"/>
    <x v="0"/>
    <x v="30"/>
    <n v="1"/>
  </r>
  <r>
    <s v="ACHIVEMENT"/>
    <x v="3"/>
    <x v="1"/>
    <x v="0"/>
    <n v="2.5925925925925925E-2"/>
  </r>
  <r>
    <s v="ACHIVEMENT"/>
    <x v="3"/>
    <x v="1"/>
    <x v="1"/>
    <n v="5.9259259259259255E-2"/>
  </r>
  <r>
    <s v="ACHIVEMENT"/>
    <x v="3"/>
    <x v="1"/>
    <x v="2"/>
    <n v="0.1"/>
  </r>
  <r>
    <s v="ACHIVEMENT"/>
    <x v="3"/>
    <x v="1"/>
    <x v="3"/>
    <n v="0.18518518518518517"/>
  </r>
  <r>
    <s v="ACHIVEMENT"/>
    <x v="3"/>
    <x v="1"/>
    <x v="4"/>
    <n v="0.26296296296296301"/>
  </r>
  <r>
    <s v="ACHIVEMENT"/>
    <x v="3"/>
    <x v="1"/>
    <x v="5"/>
    <n v="0.35555555555555546"/>
  </r>
  <r>
    <s v="ACHIVEMENT"/>
    <x v="3"/>
    <x v="1"/>
    <x v="6"/>
    <n v="0.47037037037037033"/>
  </r>
  <r>
    <s v="ACHIVEMENT"/>
    <x v="3"/>
    <x v="1"/>
    <x v="7"/>
    <n v="0.57037037037037053"/>
  </r>
  <r>
    <s v="ACHIVEMENT"/>
    <x v="3"/>
    <x v="1"/>
    <x v="8"/>
    <n v="0.65555555555555567"/>
  </r>
  <r>
    <s v="ACHIVEMENT"/>
    <x v="3"/>
    <x v="1"/>
    <x v="9"/>
    <n v="0.7407407407407407"/>
  </r>
  <r>
    <s v="ACHIVEMENT"/>
    <x v="3"/>
    <x v="1"/>
    <x v="10"/>
    <n v="0.79999999999999982"/>
  </r>
  <r>
    <s v="ACHIVEMENT"/>
    <x v="3"/>
    <x v="1"/>
    <x v="11"/>
    <n v="0.85925925925925928"/>
  </r>
  <r>
    <s v="ACHIVEMENT"/>
    <x v="3"/>
    <x v="1"/>
    <x v="12"/>
    <n v="0.91851851851851862"/>
  </r>
  <r>
    <s v="ACHIVEMENT"/>
    <x v="3"/>
    <x v="1"/>
    <x v="13"/>
    <n v="0.97037037037037044"/>
  </r>
  <r>
    <s v="ACHIVEMENT"/>
    <x v="3"/>
    <x v="1"/>
    <x v="14"/>
    <n v="1"/>
  </r>
  <r>
    <s v="ACHIVEMENT"/>
    <x v="3"/>
    <x v="1"/>
    <x v="15"/>
    <n v="1"/>
  </r>
  <r>
    <s v="ACHIVEMENT"/>
    <x v="3"/>
    <x v="1"/>
    <x v="16"/>
    <n v="1"/>
  </r>
  <r>
    <s v="ACHIVEMENT"/>
    <x v="3"/>
    <x v="1"/>
    <x v="17"/>
    <n v="1"/>
  </r>
  <r>
    <s v="ACHIVEMENT"/>
    <x v="3"/>
    <x v="1"/>
    <x v="18"/>
    <n v="1"/>
  </r>
  <r>
    <s v="ACHIVEMENT"/>
    <x v="3"/>
    <x v="1"/>
    <x v="19"/>
    <n v="1"/>
  </r>
  <r>
    <s v="ACHIVEMENT"/>
    <x v="3"/>
    <x v="1"/>
    <x v="20"/>
    <n v="1"/>
  </r>
  <r>
    <s v="ACHIVEMENT"/>
    <x v="3"/>
    <x v="1"/>
    <x v="21"/>
    <n v="1"/>
  </r>
  <r>
    <s v="ACHIVEMENT"/>
    <x v="3"/>
    <x v="1"/>
    <x v="22"/>
    <n v="1"/>
  </r>
  <r>
    <s v="ACHIVEMENT"/>
    <x v="3"/>
    <x v="1"/>
    <x v="23"/>
    <n v="1"/>
  </r>
  <r>
    <s v="ACHIVEMENT"/>
    <x v="3"/>
    <x v="1"/>
    <x v="24"/>
    <n v="1"/>
  </r>
  <r>
    <s v="ACHIVEMENT"/>
    <x v="3"/>
    <x v="1"/>
    <x v="25"/>
    <n v="1"/>
  </r>
  <r>
    <s v="ACHIVEMENT"/>
    <x v="3"/>
    <x v="1"/>
    <x v="26"/>
    <n v="1"/>
  </r>
  <r>
    <s v="ACHIVEMENT"/>
    <x v="3"/>
    <x v="1"/>
    <x v="27"/>
    <n v="1"/>
  </r>
  <r>
    <s v="ACHIVEMENT"/>
    <x v="3"/>
    <x v="1"/>
    <x v="28"/>
    <n v="1"/>
  </r>
  <r>
    <s v="ACHIVEMENT"/>
    <x v="3"/>
    <x v="1"/>
    <x v="29"/>
    <n v="1"/>
  </r>
  <r>
    <s v="ACHIVEMENT"/>
    <x v="3"/>
    <x v="1"/>
    <x v="30"/>
    <n v="1"/>
  </r>
  <r>
    <s v="FACTOR"/>
    <x v="4"/>
    <x v="0"/>
    <x v="0"/>
    <n v="80"/>
  </r>
  <r>
    <s v="FACTOR"/>
    <x v="4"/>
    <x v="1"/>
    <x v="0"/>
    <n v="80"/>
  </r>
  <r>
    <s v="FACTOR"/>
    <x v="4"/>
    <x v="0"/>
    <x v="1"/>
    <n v="80"/>
  </r>
  <r>
    <s v="FACTOR"/>
    <x v="4"/>
    <x v="1"/>
    <x v="1"/>
    <n v="60"/>
  </r>
  <r>
    <s v="FACTOR"/>
    <x v="4"/>
    <x v="0"/>
    <x v="2"/>
    <n v="80"/>
  </r>
  <r>
    <s v="FACTOR"/>
    <x v="4"/>
    <x v="1"/>
    <x v="2"/>
    <n v="50"/>
  </r>
  <r>
    <s v="FACTOR"/>
    <x v="4"/>
    <x v="0"/>
    <x v="3"/>
    <n v="80"/>
  </r>
  <r>
    <s v="FACTOR"/>
    <x v="4"/>
    <x v="1"/>
    <x v="3"/>
    <n v="75"/>
  </r>
  <r>
    <s v="FACTOR"/>
    <x v="4"/>
    <x v="0"/>
    <x v="4"/>
    <n v="80"/>
  </r>
  <r>
    <s v="FACTOR"/>
    <x v="4"/>
    <x v="1"/>
    <x v="4"/>
    <n v="83"/>
  </r>
  <r>
    <s v="FACTOR"/>
    <x v="4"/>
    <x v="0"/>
    <x v="5"/>
    <n v="80"/>
  </r>
  <r>
    <s v="FACTOR"/>
    <x v="4"/>
    <x v="1"/>
    <x v="5"/>
    <n v="65"/>
  </r>
  <r>
    <s v="FACTOR"/>
    <x v="4"/>
    <x v="0"/>
    <x v="6"/>
    <n v="80"/>
  </r>
  <r>
    <s v="FACTOR"/>
    <x v="4"/>
    <x v="1"/>
    <x v="6"/>
    <n v="73"/>
  </r>
  <r>
    <s v="FACTOR"/>
    <x v="4"/>
    <x v="0"/>
    <x v="7"/>
    <n v="80"/>
  </r>
  <r>
    <s v="FACTOR"/>
    <x v="4"/>
    <x v="1"/>
    <x v="7"/>
    <n v="80"/>
  </r>
  <r>
    <s v="FACTOR"/>
    <x v="4"/>
    <x v="0"/>
    <x v="8"/>
    <n v="80"/>
  </r>
  <r>
    <s v="FACTOR"/>
    <x v="4"/>
    <x v="1"/>
    <x v="8"/>
    <n v="60"/>
  </r>
  <r>
    <s v="FACTOR"/>
    <x v="4"/>
    <x v="0"/>
    <x v="9"/>
    <n v="80"/>
  </r>
  <r>
    <s v="FACTOR"/>
    <x v="4"/>
    <x v="1"/>
    <x v="9"/>
    <n v="50"/>
  </r>
  <r>
    <s v="FACTOR"/>
    <x v="4"/>
    <x v="0"/>
    <x v="10"/>
    <n v="80"/>
  </r>
  <r>
    <s v="FACTOR"/>
    <x v="4"/>
    <x v="1"/>
    <x v="10"/>
    <n v="75"/>
  </r>
  <r>
    <s v="FACTOR"/>
    <x v="4"/>
    <x v="0"/>
    <x v="11"/>
    <n v="80"/>
  </r>
  <r>
    <s v="FACTOR"/>
    <x v="4"/>
    <x v="1"/>
    <x v="11"/>
    <n v="83"/>
  </r>
  <r>
    <s v="FACTOR"/>
    <x v="4"/>
    <x v="0"/>
    <x v="12"/>
    <n v="80"/>
  </r>
  <r>
    <s v="FACTOR"/>
    <x v="4"/>
    <x v="1"/>
    <x v="12"/>
    <n v="65"/>
  </r>
  <r>
    <s v="FACTOR"/>
    <x v="4"/>
    <x v="0"/>
    <x v="13"/>
    <n v="80"/>
  </r>
  <r>
    <s v="FACTOR"/>
    <x v="4"/>
    <x v="1"/>
    <x v="13"/>
    <n v="73"/>
  </r>
  <r>
    <s v="FACTOR"/>
    <x v="4"/>
    <x v="0"/>
    <x v="14"/>
    <n v="80"/>
  </r>
  <r>
    <s v="FACTOR"/>
    <x v="4"/>
    <x v="1"/>
    <x v="14"/>
    <n v="80"/>
  </r>
  <r>
    <s v="FACTOR"/>
    <x v="4"/>
    <x v="0"/>
    <x v="15"/>
    <n v="80"/>
  </r>
  <r>
    <s v="FACTOR"/>
    <x v="4"/>
    <x v="1"/>
    <x v="15"/>
    <n v="60"/>
  </r>
  <r>
    <s v="FACTOR"/>
    <x v="4"/>
    <x v="0"/>
    <x v="16"/>
    <n v="80"/>
  </r>
  <r>
    <s v="FACTOR"/>
    <x v="4"/>
    <x v="1"/>
    <x v="16"/>
    <n v="50"/>
  </r>
  <r>
    <s v="FACTOR"/>
    <x v="4"/>
    <x v="0"/>
    <x v="17"/>
    <n v="80"/>
  </r>
  <r>
    <s v="FACTOR"/>
    <x v="4"/>
    <x v="1"/>
    <x v="17"/>
    <n v="75"/>
  </r>
  <r>
    <s v="FACTOR"/>
    <x v="4"/>
    <x v="0"/>
    <x v="18"/>
    <n v="80"/>
  </r>
  <r>
    <s v="FACTOR"/>
    <x v="4"/>
    <x v="1"/>
    <x v="18"/>
    <n v="83"/>
  </r>
  <r>
    <s v="FACTOR"/>
    <x v="4"/>
    <x v="0"/>
    <x v="19"/>
    <n v="80"/>
  </r>
  <r>
    <s v="FACTOR"/>
    <x v="4"/>
    <x v="1"/>
    <x v="19"/>
    <n v="65"/>
  </r>
  <r>
    <s v="FACTOR"/>
    <x v="4"/>
    <x v="0"/>
    <x v="20"/>
    <n v="80"/>
  </r>
  <r>
    <s v="FACTOR"/>
    <x v="4"/>
    <x v="1"/>
    <x v="20"/>
    <n v="73"/>
  </r>
  <r>
    <s v="FACTOR"/>
    <x v="4"/>
    <x v="0"/>
    <x v="21"/>
    <n v="80"/>
  </r>
  <r>
    <s v="FACTOR"/>
    <x v="4"/>
    <x v="1"/>
    <x v="21"/>
    <n v="80"/>
  </r>
  <r>
    <s v="FACTOR"/>
    <x v="4"/>
    <x v="0"/>
    <x v="22"/>
    <n v="80"/>
  </r>
  <r>
    <s v="FACTOR"/>
    <x v="4"/>
    <x v="1"/>
    <x v="22"/>
    <n v="60"/>
  </r>
  <r>
    <s v="FACTOR"/>
    <x v="4"/>
    <x v="0"/>
    <x v="23"/>
    <n v="80"/>
  </r>
  <r>
    <s v="FACTOR"/>
    <x v="4"/>
    <x v="1"/>
    <x v="23"/>
    <n v="50"/>
  </r>
  <r>
    <s v="FACTOR"/>
    <x v="4"/>
    <x v="0"/>
    <x v="24"/>
    <n v="80"/>
  </r>
  <r>
    <s v="FACTOR"/>
    <x v="4"/>
    <x v="1"/>
    <x v="24"/>
    <n v="75"/>
  </r>
  <r>
    <s v="FACTOR"/>
    <x v="4"/>
    <x v="0"/>
    <x v="25"/>
    <n v="80"/>
  </r>
  <r>
    <s v="FACTOR"/>
    <x v="4"/>
    <x v="1"/>
    <x v="25"/>
    <n v="83"/>
  </r>
  <r>
    <s v="FACTOR"/>
    <x v="4"/>
    <x v="0"/>
    <x v="26"/>
    <n v="80"/>
  </r>
  <r>
    <s v="FACTOR"/>
    <x v="4"/>
    <x v="1"/>
    <x v="26"/>
    <n v="65"/>
  </r>
  <r>
    <s v="FACTOR"/>
    <x v="4"/>
    <x v="0"/>
    <x v="27"/>
    <n v="80"/>
  </r>
  <r>
    <s v="FACTOR"/>
    <x v="4"/>
    <x v="1"/>
    <x v="27"/>
    <n v="73"/>
  </r>
  <r>
    <s v="FACTOR"/>
    <x v="4"/>
    <x v="0"/>
    <x v="28"/>
    <n v="80"/>
  </r>
  <r>
    <s v="FACTOR"/>
    <x v="4"/>
    <x v="1"/>
    <x v="28"/>
    <n v="75"/>
  </r>
  <r>
    <s v="FACTOR"/>
    <x v="4"/>
    <x v="0"/>
    <x v="29"/>
    <n v="80"/>
  </r>
  <r>
    <s v="FACTOR"/>
    <x v="4"/>
    <x v="1"/>
    <x v="29"/>
    <n v="83"/>
  </r>
  <r>
    <s v="FACTOR"/>
    <x v="4"/>
    <x v="0"/>
    <x v="30"/>
    <n v="80"/>
  </r>
  <r>
    <s v="FACTOR"/>
    <x v="4"/>
    <x v="1"/>
    <x v="3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s v="ACHIVE"/>
    <x v="0"/>
    <n v="0.9375"/>
  </r>
  <r>
    <x v="0"/>
    <s v="ACHIVE"/>
    <x v="1"/>
    <n v="0.8125"/>
  </r>
  <r>
    <x v="0"/>
    <s v="ACHIVE"/>
    <x v="2"/>
    <n v="0.875"/>
  </r>
  <r>
    <x v="0"/>
    <s v="ACHIVE"/>
    <x v="3"/>
    <n v="0.6875"/>
  </r>
  <r>
    <x v="0"/>
    <s v="ACHIVE"/>
    <x v="4"/>
    <n v="1"/>
  </r>
  <r>
    <x v="0"/>
    <s v="ACHIVE"/>
    <x v="5"/>
    <n v="0.875"/>
  </r>
  <r>
    <x v="0"/>
    <s v="ACHIVE"/>
    <x v="6"/>
    <n v="1"/>
  </r>
  <r>
    <x v="0"/>
    <s v="ACHIVE"/>
    <x v="7"/>
    <n v="0.9375"/>
  </r>
  <r>
    <x v="0"/>
    <s v="ACHIVE"/>
    <x v="8"/>
    <n v="0.8125"/>
  </r>
  <r>
    <x v="0"/>
    <s v="ACHIVE"/>
    <x v="9"/>
    <n v="0.875"/>
  </r>
  <r>
    <x v="0"/>
    <s v="ACHIVE"/>
    <x v="10"/>
    <n v="0.6875"/>
  </r>
  <r>
    <x v="0"/>
    <s v="ACHIVE"/>
    <x v="11"/>
    <n v="1"/>
  </r>
  <r>
    <x v="0"/>
    <s v="ACHIVE"/>
    <x v="12"/>
    <n v="0.875"/>
  </r>
  <r>
    <x v="0"/>
    <s v="ACHIVE"/>
    <x v="13"/>
    <n v="1"/>
  </r>
  <r>
    <x v="0"/>
    <s v="ACHIVE"/>
    <x v="14"/>
    <n v="0.9375"/>
  </r>
  <r>
    <x v="0"/>
    <s v="ACHIVE"/>
    <x v="15"/>
    <n v="0.8125"/>
  </r>
  <r>
    <x v="0"/>
    <s v="ACHIVE"/>
    <x v="16"/>
    <n v="0.875"/>
  </r>
  <r>
    <x v="0"/>
    <s v="ACHIVE"/>
    <x v="17"/>
    <n v="0.6875"/>
  </r>
  <r>
    <x v="0"/>
    <s v="ACHIVE"/>
    <x v="18"/>
    <n v="1"/>
  </r>
  <r>
    <x v="0"/>
    <s v="ACHIVE"/>
    <x v="19"/>
    <n v="0.875"/>
  </r>
  <r>
    <x v="0"/>
    <s v="ACHIVE"/>
    <x v="20"/>
    <n v="1"/>
  </r>
  <r>
    <x v="0"/>
    <s v="ACHIVE"/>
    <x v="21"/>
    <n v="0.9375"/>
  </r>
  <r>
    <x v="0"/>
    <s v="ACHIVE"/>
    <x v="22"/>
    <n v="0.8125"/>
  </r>
  <r>
    <x v="0"/>
    <s v="ACHIVE"/>
    <x v="23"/>
    <n v="0.875"/>
  </r>
  <r>
    <x v="0"/>
    <s v="ACHIVE"/>
    <x v="24"/>
    <n v="0.6875"/>
  </r>
  <r>
    <x v="0"/>
    <s v="ACHIVE"/>
    <x v="25"/>
    <n v="1"/>
  </r>
  <r>
    <x v="0"/>
    <s v="ACHIVE"/>
    <x v="26"/>
    <n v="0.875"/>
  </r>
  <r>
    <x v="0"/>
    <s v="ACHIVE"/>
    <x v="27"/>
    <n v="1"/>
  </r>
  <r>
    <x v="0"/>
    <s v="ACHIVE"/>
    <x v="28"/>
    <n v="0.75"/>
  </r>
  <r>
    <x v="0"/>
    <s v="ACHIVE"/>
    <x v="29"/>
    <n v="0.6875"/>
  </r>
  <r>
    <x v="0"/>
    <s v="ACHIVE"/>
    <x v="30"/>
    <n v="0.9375"/>
  </r>
  <r>
    <x v="1"/>
    <s v="ACHIVE"/>
    <x v="0"/>
    <n v="0.96666666666666667"/>
  </r>
  <r>
    <x v="1"/>
    <s v="ACHIVE"/>
    <x v="1"/>
    <n v="0.88888888888888895"/>
  </r>
  <r>
    <x v="1"/>
    <s v="ACHIVE"/>
    <x v="2"/>
    <n v="0.92222222222222217"/>
  </r>
  <r>
    <x v="1"/>
    <s v="ACHIVE"/>
    <x v="3"/>
    <n v="0.79999999999999993"/>
  </r>
  <r>
    <x v="1"/>
    <s v="ACHIVE"/>
    <x v="4"/>
    <n v="1.1111111111111112"/>
  </r>
  <r>
    <x v="1"/>
    <s v="ACHIVE"/>
    <x v="5"/>
    <n v="1"/>
  </r>
  <r>
    <x v="1"/>
    <s v="ACHIVE"/>
    <x v="6"/>
    <n v="1.0888888888888888"/>
  </r>
  <r>
    <x v="1"/>
    <s v="ACHIVE"/>
    <x v="7"/>
    <n v="1.0333333333333334"/>
  </r>
  <r>
    <x v="1"/>
    <s v="ACHIVE"/>
    <x v="8"/>
    <n v="0.96666666666666667"/>
  </r>
  <r>
    <x v="1"/>
    <s v="ACHIVE"/>
    <x v="9"/>
    <n v="0.88888888888888895"/>
  </r>
  <r>
    <x v="1"/>
    <s v="ACHIVE"/>
    <x v="10"/>
    <n v="0.92222222222222217"/>
  </r>
  <r>
    <x v="1"/>
    <s v="ACHIVE"/>
    <x v="11"/>
    <n v="0.79999999999999993"/>
  </r>
  <r>
    <x v="1"/>
    <s v="ACHIVE"/>
    <x v="12"/>
    <n v="1.1111111111111112"/>
  </r>
  <r>
    <x v="1"/>
    <s v="ACHIVE"/>
    <x v="13"/>
    <n v="1"/>
  </r>
  <r>
    <x v="1"/>
    <s v="ACHIVE"/>
    <x v="14"/>
    <n v="1.0888888888888888"/>
  </r>
  <r>
    <x v="1"/>
    <s v="ACHIVE"/>
    <x v="15"/>
    <n v="1.0333333333333334"/>
  </r>
  <r>
    <x v="1"/>
    <s v="ACHIVE"/>
    <x v="16"/>
    <n v="0.96666666666666667"/>
  </r>
  <r>
    <x v="1"/>
    <s v="ACHIVE"/>
    <x v="17"/>
    <n v="0.88888888888888895"/>
  </r>
  <r>
    <x v="1"/>
    <s v="ACHIVE"/>
    <x v="18"/>
    <n v="0.92222222222222217"/>
  </r>
  <r>
    <x v="1"/>
    <s v="ACHIVE"/>
    <x v="19"/>
    <n v="0.79999999999999993"/>
  </r>
  <r>
    <x v="1"/>
    <s v="ACHIVE"/>
    <x v="20"/>
    <n v="1.1111111111111112"/>
  </r>
  <r>
    <x v="1"/>
    <s v="ACHIVE"/>
    <x v="21"/>
    <n v="1"/>
  </r>
  <r>
    <x v="1"/>
    <s v="ACHIVE"/>
    <x v="22"/>
    <n v="1.0888888888888888"/>
  </r>
  <r>
    <x v="1"/>
    <s v="ACHIVE"/>
    <x v="23"/>
    <n v="1.0333333333333334"/>
  </r>
  <r>
    <x v="1"/>
    <s v="ACHIVE"/>
    <x v="24"/>
    <n v="0.96666666666666667"/>
  </r>
  <r>
    <x v="1"/>
    <s v="ACHIVE"/>
    <x v="25"/>
    <n v="0.88888888888888895"/>
  </r>
  <r>
    <x v="1"/>
    <s v="ACHIVE"/>
    <x v="26"/>
    <n v="0.92222222222222217"/>
  </r>
  <r>
    <x v="1"/>
    <s v="ACHIVE"/>
    <x v="27"/>
    <n v="0.79999999999999993"/>
  </r>
  <r>
    <x v="1"/>
    <s v="ACHIVE"/>
    <x v="28"/>
    <n v="1.1111111111111112"/>
  </r>
  <r>
    <x v="1"/>
    <s v="ACHIVE"/>
    <x v="29"/>
    <n v="1"/>
  </r>
  <r>
    <x v="1"/>
    <s v="ACHIVE"/>
    <x v="30"/>
    <n v="1.0888888888888888"/>
  </r>
  <r>
    <x v="2"/>
    <s v="ACHIVE"/>
    <x v="0"/>
    <n v="1.1428571428571428"/>
  </r>
  <r>
    <x v="2"/>
    <s v="ACHIVE"/>
    <x v="1"/>
    <n v="0.8571428571428571"/>
  </r>
  <r>
    <x v="2"/>
    <s v="ACHIVE"/>
    <x v="2"/>
    <n v="0.7142857142857143"/>
  </r>
  <r>
    <x v="2"/>
    <s v="ACHIVE"/>
    <x v="3"/>
    <n v="1.0714285714285714"/>
  </r>
  <r>
    <x v="2"/>
    <s v="ACHIVE"/>
    <x v="4"/>
    <n v="1.1857142857142857"/>
  </r>
  <r>
    <x v="2"/>
    <s v="ACHIVE"/>
    <x v="5"/>
    <n v="0.9285714285714286"/>
  </r>
  <r>
    <x v="2"/>
    <s v="ACHIVE"/>
    <x v="6"/>
    <n v="1.0428571428571429"/>
  </r>
  <r>
    <x v="2"/>
    <s v="ACHIVE"/>
    <x v="7"/>
    <n v="1.1428571428571428"/>
  </r>
  <r>
    <x v="2"/>
    <s v="ACHIVE"/>
    <x v="8"/>
    <n v="0.8571428571428571"/>
  </r>
  <r>
    <x v="2"/>
    <s v="ACHIVE"/>
    <x v="9"/>
    <n v="0.7142857142857143"/>
  </r>
  <r>
    <x v="2"/>
    <s v="ACHIVE"/>
    <x v="10"/>
    <n v="1.0714285714285714"/>
  </r>
  <r>
    <x v="2"/>
    <s v="ACHIVE"/>
    <x v="11"/>
    <n v="1.1857142857142857"/>
  </r>
  <r>
    <x v="2"/>
    <s v="ACHIVE"/>
    <x v="12"/>
    <n v="0.9285714285714286"/>
  </r>
  <r>
    <x v="2"/>
    <s v="ACHIVE"/>
    <x v="13"/>
    <n v="1.0428571428571429"/>
  </r>
  <r>
    <x v="2"/>
    <s v="ACHIVE"/>
    <x v="14"/>
    <n v="1.1428571428571428"/>
  </r>
  <r>
    <x v="2"/>
    <s v="ACHIVE"/>
    <x v="15"/>
    <n v="0.8571428571428571"/>
  </r>
  <r>
    <x v="2"/>
    <s v="ACHIVE"/>
    <x v="16"/>
    <n v="0.7142857142857143"/>
  </r>
  <r>
    <x v="2"/>
    <s v="ACHIVE"/>
    <x v="17"/>
    <n v="1.0714285714285714"/>
  </r>
  <r>
    <x v="2"/>
    <s v="ACHIVE"/>
    <x v="18"/>
    <n v="1.1857142857142857"/>
  </r>
  <r>
    <x v="2"/>
    <s v="ACHIVE"/>
    <x v="19"/>
    <n v="0.9285714285714286"/>
  </r>
  <r>
    <x v="2"/>
    <s v="ACHIVE"/>
    <x v="20"/>
    <n v="1.0428571428571429"/>
  </r>
  <r>
    <x v="2"/>
    <s v="ACHIVE"/>
    <x v="21"/>
    <n v="1.1428571428571428"/>
  </r>
  <r>
    <x v="2"/>
    <s v="ACHIVE"/>
    <x v="22"/>
    <n v="0.8571428571428571"/>
  </r>
  <r>
    <x v="2"/>
    <s v="ACHIVE"/>
    <x v="23"/>
    <n v="0.7142857142857143"/>
  </r>
  <r>
    <x v="2"/>
    <s v="ACHIVE"/>
    <x v="24"/>
    <n v="1.0714285714285714"/>
  </r>
  <r>
    <x v="2"/>
    <s v="ACHIVE"/>
    <x v="25"/>
    <n v="1.1857142857142857"/>
  </r>
  <r>
    <x v="2"/>
    <s v="ACHIVE"/>
    <x v="26"/>
    <n v="0.9285714285714286"/>
  </r>
  <r>
    <x v="2"/>
    <s v="ACHIVE"/>
    <x v="27"/>
    <n v="1.0428571428571429"/>
  </r>
  <r>
    <x v="2"/>
    <s v="ACHIVE"/>
    <x v="28"/>
    <n v="1.0714285714285714"/>
  </r>
  <r>
    <x v="2"/>
    <s v="ACHIVE"/>
    <x v="29"/>
    <n v="1.1857142857142857"/>
  </r>
  <r>
    <x v="2"/>
    <s v="ACHIVE"/>
    <x v="30"/>
    <n v="0.9285714285714286"/>
  </r>
  <r>
    <x v="3"/>
    <s v="ACHIVE"/>
    <x v="0"/>
    <n v="1"/>
  </r>
  <r>
    <x v="3"/>
    <s v="ACHIVE"/>
    <x v="1"/>
    <n v="0.75"/>
  </r>
  <r>
    <x v="3"/>
    <s v="ACHIVE"/>
    <x v="2"/>
    <n v="0.625"/>
  </r>
  <r>
    <x v="3"/>
    <s v="ACHIVE"/>
    <x v="3"/>
    <n v="0.9375"/>
  </r>
  <r>
    <x v="3"/>
    <s v="ACHIVE"/>
    <x v="4"/>
    <n v="1.0375000000000001"/>
  </r>
  <r>
    <x v="3"/>
    <s v="ACHIVE"/>
    <x v="5"/>
    <n v="0.8125"/>
  </r>
  <r>
    <x v="3"/>
    <s v="ACHIVE"/>
    <x v="6"/>
    <n v="0.91249999999999998"/>
  </r>
  <r>
    <x v="3"/>
    <s v="ACHIVE"/>
    <x v="7"/>
    <n v="1"/>
  </r>
  <r>
    <x v="3"/>
    <s v="ACHIVE"/>
    <x v="8"/>
    <n v="0.75"/>
  </r>
  <r>
    <x v="3"/>
    <s v="ACHIVE"/>
    <x v="9"/>
    <n v="0.625"/>
  </r>
  <r>
    <x v="3"/>
    <s v="ACHIVE"/>
    <x v="10"/>
    <n v="0.9375"/>
  </r>
  <r>
    <x v="3"/>
    <s v="ACHIVE"/>
    <x v="11"/>
    <n v="1.0375000000000001"/>
  </r>
  <r>
    <x v="3"/>
    <s v="ACHIVE"/>
    <x v="12"/>
    <n v="0.8125"/>
  </r>
  <r>
    <x v="3"/>
    <s v="ACHIVE"/>
    <x v="13"/>
    <n v="0.91249999999999998"/>
  </r>
  <r>
    <x v="3"/>
    <s v="ACHIVE"/>
    <x v="14"/>
    <n v="1"/>
  </r>
  <r>
    <x v="3"/>
    <s v="ACHIVE"/>
    <x v="15"/>
    <n v="0.75"/>
  </r>
  <r>
    <x v="3"/>
    <s v="ACHIVE"/>
    <x v="16"/>
    <n v="0.625"/>
  </r>
  <r>
    <x v="3"/>
    <s v="ACHIVE"/>
    <x v="17"/>
    <n v="0.9375"/>
  </r>
  <r>
    <x v="3"/>
    <s v="ACHIVE"/>
    <x v="18"/>
    <n v="1.0375000000000001"/>
  </r>
  <r>
    <x v="3"/>
    <s v="ACHIVE"/>
    <x v="19"/>
    <n v="0.8125"/>
  </r>
  <r>
    <x v="3"/>
    <s v="ACHIVE"/>
    <x v="20"/>
    <n v="0.91249999999999998"/>
  </r>
  <r>
    <x v="3"/>
    <s v="ACHIVE"/>
    <x v="21"/>
    <n v="1"/>
  </r>
  <r>
    <x v="3"/>
    <s v="ACHIVE"/>
    <x v="22"/>
    <n v="0.75"/>
  </r>
  <r>
    <x v="3"/>
    <s v="ACHIVE"/>
    <x v="23"/>
    <n v="0.625"/>
  </r>
  <r>
    <x v="3"/>
    <s v="ACHIVE"/>
    <x v="24"/>
    <n v="0.9375"/>
  </r>
  <r>
    <x v="3"/>
    <s v="ACHIVE"/>
    <x v="25"/>
    <n v="1.0375000000000001"/>
  </r>
  <r>
    <x v="3"/>
    <s v="ACHIVE"/>
    <x v="26"/>
    <n v="0.8125"/>
  </r>
  <r>
    <x v="3"/>
    <s v="ACHIVE"/>
    <x v="27"/>
    <n v="0.91249999999999998"/>
  </r>
  <r>
    <x v="3"/>
    <s v="ACHIVE"/>
    <x v="28"/>
    <n v="0.9375"/>
  </r>
  <r>
    <x v="3"/>
    <s v="ACHIVE"/>
    <x v="29"/>
    <n v="1.0375000000000001"/>
  </r>
  <r>
    <x v="3"/>
    <s v="ACHIVE"/>
    <x v="30"/>
    <n v="0.8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BF"/>
    <x v="0"/>
    <x v="0"/>
    <n v="70"/>
  </r>
  <r>
    <s v="MTBF"/>
    <x v="1"/>
    <x v="0"/>
    <n v="80"/>
  </r>
  <r>
    <s v="MTBF"/>
    <x v="0"/>
    <x v="1"/>
    <n v="70"/>
  </r>
  <r>
    <s v="MTBF"/>
    <x v="1"/>
    <x v="1"/>
    <n v="60"/>
  </r>
  <r>
    <s v="MTBF"/>
    <x v="0"/>
    <x v="2"/>
    <n v="70"/>
  </r>
  <r>
    <s v="MTBF"/>
    <x v="1"/>
    <x v="2"/>
    <n v="50"/>
  </r>
  <r>
    <s v="MTBF"/>
    <x v="0"/>
    <x v="3"/>
    <n v="70"/>
  </r>
  <r>
    <s v="MTBF"/>
    <x v="1"/>
    <x v="3"/>
    <n v="75"/>
  </r>
  <r>
    <s v="MTBF"/>
    <x v="0"/>
    <x v="4"/>
    <n v="70"/>
  </r>
  <r>
    <s v="MTBF"/>
    <x v="1"/>
    <x v="4"/>
    <n v="83"/>
  </r>
  <r>
    <s v="MTBF"/>
    <x v="0"/>
    <x v="5"/>
    <n v="70"/>
  </r>
  <r>
    <s v="MTBF"/>
    <x v="1"/>
    <x v="5"/>
    <n v="65"/>
  </r>
  <r>
    <s v="MTBF"/>
    <x v="0"/>
    <x v="6"/>
    <n v="70"/>
  </r>
  <r>
    <s v="MTBF"/>
    <x v="1"/>
    <x v="6"/>
    <n v="73"/>
  </r>
  <r>
    <s v="MTBF"/>
    <x v="0"/>
    <x v="7"/>
    <n v="70"/>
  </r>
  <r>
    <s v="MTBF"/>
    <x v="1"/>
    <x v="7"/>
    <n v="80"/>
  </r>
  <r>
    <s v="MTBF"/>
    <x v="0"/>
    <x v="8"/>
    <n v="70"/>
  </r>
  <r>
    <s v="MTBF"/>
    <x v="1"/>
    <x v="8"/>
    <n v="60"/>
  </r>
  <r>
    <s v="MTBF"/>
    <x v="0"/>
    <x v="9"/>
    <n v="70"/>
  </r>
  <r>
    <s v="MTBF"/>
    <x v="1"/>
    <x v="9"/>
    <n v="50"/>
  </r>
  <r>
    <s v="MTBF"/>
    <x v="0"/>
    <x v="10"/>
    <n v="70"/>
  </r>
  <r>
    <s v="MTBF"/>
    <x v="1"/>
    <x v="10"/>
    <n v="75"/>
  </r>
  <r>
    <s v="MTBF"/>
    <x v="0"/>
    <x v="11"/>
    <n v="70"/>
  </r>
  <r>
    <s v="MTBF"/>
    <x v="1"/>
    <x v="11"/>
    <n v="83"/>
  </r>
  <r>
    <s v="MTBF"/>
    <x v="0"/>
    <x v="12"/>
    <n v="70"/>
  </r>
  <r>
    <s v="MTBF"/>
    <x v="1"/>
    <x v="12"/>
    <n v="65"/>
  </r>
  <r>
    <s v="MTBF"/>
    <x v="0"/>
    <x v="13"/>
    <n v="70"/>
  </r>
  <r>
    <s v="MTBF"/>
    <x v="1"/>
    <x v="13"/>
    <n v="73"/>
  </r>
  <r>
    <s v="MTBF"/>
    <x v="0"/>
    <x v="14"/>
    <n v="70"/>
  </r>
  <r>
    <s v="MTBF"/>
    <x v="1"/>
    <x v="14"/>
    <n v="80"/>
  </r>
  <r>
    <s v="MTBF"/>
    <x v="0"/>
    <x v="15"/>
    <n v="70"/>
  </r>
  <r>
    <s v="MTBF"/>
    <x v="1"/>
    <x v="15"/>
    <n v="60"/>
  </r>
  <r>
    <s v="MTBF"/>
    <x v="0"/>
    <x v="16"/>
    <n v="70"/>
  </r>
  <r>
    <s v="MTBF"/>
    <x v="1"/>
    <x v="16"/>
    <n v="50"/>
  </r>
  <r>
    <s v="MTBF"/>
    <x v="0"/>
    <x v="17"/>
    <n v="70"/>
  </r>
  <r>
    <s v="MTBF"/>
    <x v="1"/>
    <x v="17"/>
    <n v="75"/>
  </r>
  <r>
    <s v="MTBF"/>
    <x v="0"/>
    <x v="18"/>
    <n v="70"/>
  </r>
  <r>
    <s v="MTBF"/>
    <x v="1"/>
    <x v="18"/>
    <n v="83"/>
  </r>
  <r>
    <s v="MTBF"/>
    <x v="0"/>
    <x v="19"/>
    <n v="70"/>
  </r>
  <r>
    <s v="MTBF"/>
    <x v="1"/>
    <x v="19"/>
    <n v="65"/>
  </r>
  <r>
    <s v="MTBF"/>
    <x v="0"/>
    <x v="20"/>
    <n v="70"/>
  </r>
  <r>
    <s v="MTBF"/>
    <x v="1"/>
    <x v="20"/>
    <n v="73"/>
  </r>
  <r>
    <s v="MTBF"/>
    <x v="0"/>
    <x v="21"/>
    <n v="70"/>
  </r>
  <r>
    <s v="MTBF"/>
    <x v="1"/>
    <x v="21"/>
    <n v="80"/>
  </r>
  <r>
    <s v="MTBF"/>
    <x v="0"/>
    <x v="22"/>
    <n v="70"/>
  </r>
  <r>
    <s v="MTBF"/>
    <x v="1"/>
    <x v="22"/>
    <n v="60"/>
  </r>
  <r>
    <s v="MTBF"/>
    <x v="0"/>
    <x v="23"/>
    <n v="70"/>
  </r>
  <r>
    <s v="MTBF"/>
    <x v="1"/>
    <x v="23"/>
    <n v="50"/>
  </r>
  <r>
    <s v="MTBF"/>
    <x v="0"/>
    <x v="24"/>
    <n v="70"/>
  </r>
  <r>
    <s v="MTBF"/>
    <x v="1"/>
    <x v="24"/>
    <n v="75"/>
  </r>
  <r>
    <s v="MTBF"/>
    <x v="0"/>
    <x v="25"/>
    <n v="70"/>
  </r>
  <r>
    <s v="MTBF"/>
    <x v="1"/>
    <x v="25"/>
    <n v="83"/>
  </r>
  <r>
    <s v="MTBF"/>
    <x v="0"/>
    <x v="26"/>
    <n v="70"/>
  </r>
  <r>
    <s v="MTBF"/>
    <x v="1"/>
    <x v="26"/>
    <n v="65"/>
  </r>
  <r>
    <s v="MTBF"/>
    <x v="0"/>
    <x v="27"/>
    <n v="70"/>
  </r>
  <r>
    <s v="MTBF"/>
    <x v="1"/>
    <x v="27"/>
    <n v="73"/>
  </r>
  <r>
    <s v="MTBF"/>
    <x v="0"/>
    <x v="28"/>
    <n v="70"/>
  </r>
  <r>
    <s v="MTBF"/>
    <x v="1"/>
    <x v="28"/>
    <n v="75"/>
  </r>
  <r>
    <s v="MTBF"/>
    <x v="0"/>
    <x v="29"/>
    <n v="70"/>
  </r>
  <r>
    <s v="MTBF"/>
    <x v="1"/>
    <x v="29"/>
    <n v="83"/>
  </r>
  <r>
    <s v="MTBF"/>
    <x v="0"/>
    <x v="30"/>
    <n v="70"/>
  </r>
  <r>
    <s v="MTBF"/>
    <x v="1"/>
    <x v="30"/>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PA ALL DOZER"/>
    <x v="0"/>
    <x v="0"/>
    <n v="0.9"/>
  </r>
  <r>
    <s v="PA ALL DOZER"/>
    <x v="1"/>
    <x v="0"/>
    <n v="0.87"/>
  </r>
  <r>
    <s v="PA ALL DOZER"/>
    <x v="0"/>
    <x v="1"/>
    <n v="0.9"/>
  </r>
  <r>
    <s v="PA ALL DOZER"/>
    <x v="1"/>
    <x v="1"/>
    <n v="0.8"/>
  </r>
  <r>
    <s v="PA ALL DOZER"/>
    <x v="0"/>
    <x v="2"/>
    <n v="0.9"/>
  </r>
  <r>
    <s v="PA ALL DOZER"/>
    <x v="1"/>
    <x v="2"/>
    <n v="0.83"/>
  </r>
  <r>
    <s v="PA ALL DOZER"/>
    <x v="0"/>
    <x v="3"/>
    <n v="0.9"/>
  </r>
  <r>
    <s v="PA ALL DOZER"/>
    <x v="1"/>
    <x v="3"/>
    <n v="0.72"/>
  </r>
  <r>
    <s v="PA ALL DOZER"/>
    <x v="0"/>
    <x v="4"/>
    <n v="0.9"/>
  </r>
  <r>
    <s v="PA ALL DOZER"/>
    <x v="1"/>
    <x v="4"/>
    <n v="1"/>
  </r>
  <r>
    <s v="PA ALL DOZER"/>
    <x v="0"/>
    <x v="5"/>
    <n v="0.9"/>
  </r>
  <r>
    <s v="PA ALL DOZER"/>
    <x v="1"/>
    <x v="5"/>
    <n v="0.9"/>
  </r>
  <r>
    <s v="PA ALL DOZER"/>
    <x v="0"/>
    <x v="6"/>
    <n v="0.9"/>
  </r>
  <r>
    <s v="PA ALL DOZER"/>
    <x v="1"/>
    <x v="6"/>
    <n v="0.98"/>
  </r>
  <r>
    <s v="PA ALL DOZER"/>
    <x v="0"/>
    <x v="7"/>
    <n v="0.9"/>
  </r>
  <r>
    <s v="PA ALL DOZER"/>
    <x v="1"/>
    <x v="7"/>
    <n v="0.93"/>
  </r>
  <r>
    <s v="PA ALL DOZER"/>
    <x v="0"/>
    <x v="8"/>
    <n v="0.9"/>
  </r>
  <r>
    <s v="PA ALL DOZER"/>
    <x v="1"/>
    <x v="8"/>
    <n v="0.87"/>
  </r>
  <r>
    <s v="PA ALL DOZER"/>
    <x v="0"/>
    <x v="9"/>
    <n v="0.9"/>
  </r>
  <r>
    <s v="PA ALL DOZER"/>
    <x v="1"/>
    <x v="9"/>
    <n v="0.8"/>
  </r>
  <r>
    <s v="PA ALL DOZER"/>
    <x v="0"/>
    <x v="10"/>
    <n v="0.9"/>
  </r>
  <r>
    <s v="PA ALL DOZER"/>
    <x v="1"/>
    <x v="10"/>
    <n v="0.83"/>
  </r>
  <r>
    <s v="PA ALL DOZER"/>
    <x v="0"/>
    <x v="11"/>
    <n v="0.9"/>
  </r>
  <r>
    <s v="PA ALL DOZER"/>
    <x v="1"/>
    <x v="11"/>
    <n v="0.72"/>
  </r>
  <r>
    <s v="PA ALL DOZER"/>
    <x v="0"/>
    <x v="12"/>
    <n v="0.9"/>
  </r>
  <r>
    <s v="PA ALL DOZER"/>
    <x v="1"/>
    <x v="12"/>
    <n v="1"/>
  </r>
  <r>
    <s v="PA ALL DOZER"/>
    <x v="0"/>
    <x v="13"/>
    <n v="0.9"/>
  </r>
  <r>
    <s v="PA ALL DOZER"/>
    <x v="1"/>
    <x v="13"/>
    <n v="0.9"/>
  </r>
  <r>
    <s v="PA ALL DOZER"/>
    <x v="0"/>
    <x v="14"/>
    <n v="0.9"/>
  </r>
  <r>
    <s v="PA ALL DOZER"/>
    <x v="1"/>
    <x v="14"/>
    <n v="0.98"/>
  </r>
  <r>
    <s v="PA ALL DOZER"/>
    <x v="0"/>
    <x v="15"/>
    <n v="0.9"/>
  </r>
  <r>
    <s v="PA ALL DOZER"/>
    <x v="1"/>
    <x v="15"/>
    <n v="0.93"/>
  </r>
  <r>
    <s v="PA ALL DOZER"/>
    <x v="0"/>
    <x v="16"/>
    <n v="0.9"/>
  </r>
  <r>
    <s v="PA ALL DOZER"/>
    <x v="1"/>
    <x v="16"/>
    <n v="0.87"/>
  </r>
  <r>
    <s v="PA ALL DOZER"/>
    <x v="0"/>
    <x v="17"/>
    <n v="0.9"/>
  </r>
  <r>
    <s v="PA ALL DOZER"/>
    <x v="1"/>
    <x v="17"/>
    <n v="0.8"/>
  </r>
  <r>
    <s v="PA ALL DOZER"/>
    <x v="0"/>
    <x v="18"/>
    <n v="0.9"/>
  </r>
  <r>
    <s v="PA ALL DOZER"/>
    <x v="1"/>
    <x v="18"/>
    <n v="0.83"/>
  </r>
  <r>
    <s v="PA ALL DOZER"/>
    <x v="0"/>
    <x v="19"/>
    <n v="0.9"/>
  </r>
  <r>
    <s v="PA ALL DOZER"/>
    <x v="1"/>
    <x v="19"/>
    <n v="0.72"/>
  </r>
  <r>
    <s v="PA ALL DOZER"/>
    <x v="0"/>
    <x v="20"/>
    <n v="0.9"/>
  </r>
  <r>
    <s v="PA ALL DOZER"/>
    <x v="1"/>
    <x v="20"/>
    <n v="1"/>
  </r>
  <r>
    <s v="PA ALL DOZER"/>
    <x v="0"/>
    <x v="21"/>
    <n v="0.9"/>
  </r>
  <r>
    <s v="PA ALL DOZER"/>
    <x v="1"/>
    <x v="21"/>
    <n v="0.9"/>
  </r>
  <r>
    <s v="PA ALL DOZER"/>
    <x v="0"/>
    <x v="22"/>
    <n v="0.9"/>
  </r>
  <r>
    <s v="PA ALL DOZER"/>
    <x v="1"/>
    <x v="22"/>
    <n v="0.98"/>
  </r>
  <r>
    <s v="PA ALL DOZER"/>
    <x v="0"/>
    <x v="23"/>
    <n v="0.9"/>
  </r>
  <r>
    <s v="PA ALL DOZER"/>
    <x v="1"/>
    <x v="23"/>
    <n v="0.93"/>
  </r>
  <r>
    <s v="PA ALL DOZER"/>
    <x v="0"/>
    <x v="24"/>
    <n v="0.9"/>
  </r>
  <r>
    <s v="PA ALL DOZER"/>
    <x v="1"/>
    <x v="24"/>
    <n v="0.87"/>
  </r>
  <r>
    <s v="PA ALL DOZER"/>
    <x v="0"/>
    <x v="25"/>
    <n v="0.9"/>
  </r>
  <r>
    <s v="PA ALL DOZER"/>
    <x v="1"/>
    <x v="25"/>
    <n v="0.8"/>
  </r>
  <r>
    <s v="PA ALL DOZER"/>
    <x v="0"/>
    <x v="26"/>
    <n v="0.9"/>
  </r>
  <r>
    <s v="PA ALL DOZER"/>
    <x v="1"/>
    <x v="26"/>
    <n v="0.83"/>
  </r>
  <r>
    <s v="PA ALL DOZER"/>
    <x v="0"/>
    <x v="27"/>
    <n v="0.9"/>
  </r>
  <r>
    <s v="PA ALL DOZER"/>
    <x v="1"/>
    <x v="27"/>
    <n v="0.72"/>
  </r>
  <r>
    <s v="PA ALL DOZER"/>
    <x v="0"/>
    <x v="28"/>
    <n v="0.9"/>
  </r>
  <r>
    <s v="PA ALL DOZER"/>
    <x v="1"/>
    <x v="28"/>
    <n v="1"/>
  </r>
  <r>
    <s v="PA ALL DOZER"/>
    <x v="0"/>
    <x v="29"/>
    <n v="0.9"/>
  </r>
  <r>
    <s v="PA ALL DOZER"/>
    <x v="1"/>
    <x v="29"/>
    <n v="0.9"/>
  </r>
  <r>
    <s v="PA ALL DOZER"/>
    <x v="0"/>
    <x v="30"/>
    <n v="0.9"/>
  </r>
  <r>
    <s v="PA ALL DOZER"/>
    <x v="1"/>
    <x v="30"/>
    <n v="0.9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x v="0"/>
    <x v="0"/>
    <d v="2026-05-10T00:00:00"/>
    <d v="2026-05-31T00:00:00"/>
    <n v="21"/>
    <d v="2026-05-15T00:00:00"/>
    <s v="N/A"/>
    <s v="On Progress"/>
    <x v="0"/>
    <x v="0"/>
    <n v="1"/>
    <n v="0"/>
  </r>
  <r>
    <n v="2"/>
    <x v="0"/>
    <x v="0"/>
    <x v="1"/>
    <d v="2026-05-20T00:00:00"/>
    <d v="2026-05-31T00:00:00"/>
    <n v="11"/>
    <d v="1899-12-30T00:00:00"/>
    <s v="N/A"/>
    <s v="No Progress"/>
    <x v="1"/>
    <x v="0"/>
    <n v="1"/>
    <n v="0"/>
  </r>
  <r>
    <n v="3"/>
    <x v="0"/>
    <x v="0"/>
    <x v="0"/>
    <d v="2026-05-18T00:00:00"/>
    <d v="2026-06-15T00:00:00"/>
    <n v="28"/>
    <d v="2026-05-18T00:00:00"/>
    <s v="N/A"/>
    <s v="On Progress"/>
    <x v="0"/>
    <x v="1"/>
    <n v="1"/>
    <n v="0"/>
  </r>
  <r>
    <n v="4"/>
    <x v="0"/>
    <x v="0"/>
    <x v="0"/>
    <d v="2026-05-09T00:00:00"/>
    <d v="2026-05-26T00:00:00"/>
    <n v="17"/>
    <d v="2026-05-15T00:00:00"/>
    <s v="N/A"/>
    <s v="On Progress"/>
    <x v="0"/>
    <x v="0"/>
    <n v="1"/>
    <n v="0"/>
  </r>
  <r>
    <n v="5"/>
    <x v="0"/>
    <x v="1"/>
    <x v="0"/>
    <d v="2026-05-20T00:00:00"/>
    <d v="2026-05-30T00:00:00"/>
    <n v="10"/>
    <d v="2026-05-20T00:00:00"/>
    <s v="N/A"/>
    <s v="On Progress"/>
    <x v="0"/>
    <x v="0"/>
    <n v="1"/>
    <n v="0"/>
  </r>
  <r>
    <n v="6"/>
    <x v="0"/>
    <x v="1"/>
    <x v="1"/>
    <d v="2026-05-10T00:00:00"/>
    <d v="2026-05-31T00:00:00"/>
    <n v="21"/>
    <d v="2026-05-15T00:00:00"/>
    <s v="N/A"/>
    <s v="On Progress"/>
    <x v="0"/>
    <x v="0"/>
    <n v="1"/>
    <n v="0"/>
  </r>
  <r>
    <n v="7"/>
    <x v="0"/>
    <x v="1"/>
    <x v="2"/>
    <d v="2026-05-20T00:00:00"/>
    <d v="2026-05-25T00:00:00"/>
    <n v="5"/>
    <d v="2026-05-20T00:00:00"/>
    <s v="N/A"/>
    <s v="On Progress"/>
    <x v="0"/>
    <x v="0"/>
    <n v="1"/>
    <n v="0"/>
  </r>
  <r>
    <n v="8"/>
    <x v="0"/>
    <x v="1"/>
    <x v="2"/>
    <d v="2026-05-01T00:00:00"/>
    <d v="2026-05-21T00:00:00"/>
    <n v="20"/>
    <d v="2026-05-15T00:00:00"/>
    <s v="N/A"/>
    <s v="On Progress"/>
    <x v="0"/>
    <x v="0"/>
    <n v="1"/>
    <n v="0"/>
  </r>
  <r>
    <n v="9"/>
    <x v="0"/>
    <x v="1"/>
    <x v="2"/>
    <d v="2026-05-20T00:00:00"/>
    <d v="2026-05-31T00:00:00"/>
    <n v="11"/>
    <d v="2026-05-20T00:00:00"/>
    <d v="2026-05-30T00:00:00"/>
    <n v="10"/>
    <x v="2"/>
    <x v="2"/>
    <n v="1"/>
    <n v="1"/>
  </r>
  <r>
    <n v="10"/>
    <x v="1"/>
    <x v="0"/>
    <x v="3"/>
    <d v="2026-05-18T00:00:00"/>
    <d v="2026-05-31T00:00:00"/>
    <n v="13"/>
    <d v="2026-05-18T00:00:00"/>
    <d v="2026-05-30T00:00:00"/>
    <n v="12"/>
    <x v="2"/>
    <x v="2"/>
    <n v="1"/>
    <n v="1"/>
  </r>
  <r>
    <n v="11"/>
    <x v="1"/>
    <x v="0"/>
    <x v="3"/>
    <d v="2026-05-15T00:00:00"/>
    <d v="2026-05-31T00:00:00"/>
    <n v="16"/>
    <d v="2026-05-15T00:00:00"/>
    <d v="2026-05-30T00:00:00"/>
    <n v="15"/>
    <x v="2"/>
    <x v="2"/>
    <n v="1"/>
    <n v="1"/>
  </r>
  <r>
    <n v="12"/>
    <x v="1"/>
    <x v="0"/>
    <x v="4"/>
    <d v="2026-05-20T00:00:00"/>
    <d v="2026-05-31T00:00:00"/>
    <n v="11"/>
    <d v="2026-05-20T00:00:00"/>
    <d v="2026-05-30T00:00:00"/>
    <n v="10"/>
    <x v="2"/>
    <x v="2"/>
    <n v="1"/>
    <n v="1"/>
  </r>
  <r>
    <n v="13"/>
    <x v="1"/>
    <x v="0"/>
    <x v="5"/>
    <d v="2026-05-06T00:00:00"/>
    <d v="2026-05-31T00:00:00"/>
    <n v="25"/>
    <d v="2026-05-15T00:00:00"/>
    <d v="2026-05-30T00:00:00"/>
    <n v="15"/>
    <x v="2"/>
    <x v="2"/>
    <n v="1"/>
    <n v="1"/>
  </r>
  <r>
    <n v="14"/>
    <x v="1"/>
    <x v="0"/>
    <x v="0"/>
    <d v="2026-05-20T00:00:00"/>
    <d v="2026-05-31T00:00:00"/>
    <n v="11"/>
    <d v="2026-05-20T00:00:00"/>
    <d v="2026-05-30T00:00:00"/>
    <n v="10"/>
    <x v="2"/>
    <x v="2"/>
    <n v="1"/>
    <n v="1"/>
  </r>
  <r>
    <n v="15"/>
    <x v="1"/>
    <x v="1"/>
    <x v="3"/>
    <d v="2026-05-15T00:00:00"/>
    <d v="2026-05-31T00:00:00"/>
    <n v="16"/>
    <d v="2026-05-15T00:00:00"/>
    <d v="2026-05-30T00:00:00"/>
    <n v="15"/>
    <x v="2"/>
    <x v="2"/>
    <n v="1"/>
    <n v="1"/>
  </r>
  <r>
    <n v="16"/>
    <x v="2"/>
    <x v="0"/>
    <x v="6"/>
    <d v="2026-05-01T00:00:00"/>
    <d v="2026-05-31T00:00:00"/>
    <n v="30"/>
    <d v="2026-05-20T00:00:00"/>
    <d v="2026-05-30T00:00:00"/>
    <n v="10"/>
    <x v="2"/>
    <x v="2"/>
    <n v="1"/>
    <n v="1"/>
  </r>
  <r>
    <n v="17"/>
    <x v="2"/>
    <x v="1"/>
    <x v="7"/>
    <d v="2026-05-18T00:00:00"/>
    <d v="2026-05-31T00:00:00"/>
    <n v="13"/>
    <d v="2026-05-18T00:00:00"/>
    <d v="2026-05-30T00:00:00"/>
    <n v="12"/>
    <x v="2"/>
    <x v="2"/>
    <n v="1"/>
    <n v="1"/>
  </r>
  <r>
    <n v="18"/>
    <x v="2"/>
    <x v="0"/>
    <x v="8"/>
    <d v="2026-05-15T00:00:00"/>
    <d v="2026-05-31T00:00:00"/>
    <n v="16"/>
    <d v="2026-05-15T00:00:00"/>
    <d v="2026-05-30T00:00:00"/>
    <n v="15"/>
    <x v="2"/>
    <x v="2"/>
    <n v="1"/>
    <n v="1"/>
  </r>
  <r>
    <n v="19"/>
    <x v="2"/>
    <x v="0"/>
    <x v="8"/>
    <d v="2026-05-20T00:00:00"/>
    <d v="2026-05-31T00:00:00"/>
    <n v="11"/>
    <d v="2026-05-20T00:00:00"/>
    <d v="2026-05-30T00:00:00"/>
    <n v="10"/>
    <x v="2"/>
    <x v="2"/>
    <n v="1"/>
    <n v="1"/>
  </r>
  <r>
    <n v="20"/>
    <x v="3"/>
    <x v="0"/>
    <x v="0"/>
    <d v="2026-05-08T00:00:00"/>
    <d v="2026-05-31T00:00:00"/>
    <n v="23"/>
    <d v="2026-05-15T00:00:00"/>
    <d v="2026-05-30T00:00:00"/>
    <n v="15"/>
    <x v="2"/>
    <x v="2"/>
    <n v="1"/>
    <n v="1"/>
  </r>
  <r>
    <n v="21"/>
    <x v="3"/>
    <x v="0"/>
    <x v="2"/>
    <d v="2026-05-20T00:00:00"/>
    <d v="2026-05-31T00:00:00"/>
    <n v="11"/>
    <d v="2026-05-20T00:00:00"/>
    <d v="2026-05-30T00:00:00"/>
    <n v="10"/>
    <x v="2"/>
    <x v="2"/>
    <n v="1"/>
    <n v="1"/>
  </r>
  <r>
    <n v="22"/>
    <x v="3"/>
    <x v="0"/>
    <x v="9"/>
    <d v="2026-05-15T00:00:00"/>
    <d v="2026-05-31T00:00:00"/>
    <n v="16"/>
    <d v="2026-05-15T00:00:00"/>
    <d v="2026-05-30T00:00:00"/>
    <n v="15"/>
    <x v="2"/>
    <x v="2"/>
    <n v="1"/>
    <n v="1"/>
  </r>
  <r>
    <n v="23"/>
    <x v="3"/>
    <x v="0"/>
    <x v="4"/>
    <d v="2026-05-20T00:00:00"/>
    <d v="2026-05-31T00:00:00"/>
    <n v="11"/>
    <d v="2026-05-20T00:00:00"/>
    <d v="2026-05-30T00:00:00"/>
    <n v="10"/>
    <x v="2"/>
    <x v="2"/>
    <n v="1"/>
    <n v="1"/>
  </r>
  <r>
    <n v="24"/>
    <x v="3"/>
    <x v="0"/>
    <x v="9"/>
    <d v="2026-05-02T00:00:00"/>
    <d v="2026-05-31T00:00:00"/>
    <n v="29"/>
    <d v="2026-05-18T00:00:00"/>
    <d v="2026-05-30T00:00:00"/>
    <n v="12"/>
    <x v="2"/>
    <x v="2"/>
    <n v="1"/>
    <n v="1"/>
  </r>
  <r>
    <n v="25"/>
    <x v="4"/>
    <x v="1"/>
    <x v="7"/>
    <d v="2026-05-15T00:00:00"/>
    <d v="2026-05-31T00:00:00"/>
    <n v="16"/>
    <d v="2026-05-15T00:00:00"/>
    <d v="2026-05-30T00:00:00"/>
    <n v="15"/>
    <x v="2"/>
    <x v="2"/>
    <n v="1"/>
    <n v="1"/>
  </r>
  <r>
    <n v="26"/>
    <x v="4"/>
    <x v="1"/>
    <x v="10"/>
    <d v="2026-05-20T00:00:00"/>
    <d v="2026-05-31T00:00:00"/>
    <n v="11"/>
    <d v="2026-05-20T00:00:00"/>
    <d v="2026-05-30T00:00:00"/>
    <n v="10"/>
    <x v="2"/>
    <x v="2"/>
    <n v="1"/>
    <n v="1"/>
  </r>
  <r>
    <n v="27"/>
    <x v="4"/>
    <x v="1"/>
    <x v="2"/>
    <d v="2026-05-15T00:00:00"/>
    <d v="2026-05-31T00:00:00"/>
    <n v="16"/>
    <d v="2026-05-15T00:00:00"/>
    <d v="2026-05-30T00:00:00"/>
    <n v="15"/>
    <x v="2"/>
    <x v="2"/>
    <n v="1"/>
    <n v="1"/>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DOZER READINESS"/>
    <x v="0"/>
    <x v="0"/>
    <n v="16"/>
  </r>
  <r>
    <s v="DOZER READINESS"/>
    <x v="1"/>
    <x v="0"/>
    <n v="15"/>
  </r>
  <r>
    <s v="DOZER READINESS"/>
    <x v="0"/>
    <x v="1"/>
    <n v="16"/>
  </r>
  <r>
    <s v="DOZER READINESS"/>
    <x v="1"/>
    <x v="1"/>
    <n v="13"/>
  </r>
  <r>
    <s v="DOZER READINESS"/>
    <x v="0"/>
    <x v="2"/>
    <n v="16"/>
  </r>
  <r>
    <s v="DOZER READINESS"/>
    <x v="1"/>
    <x v="2"/>
    <n v="14"/>
  </r>
  <r>
    <s v="DOZER READINESS"/>
    <x v="0"/>
    <x v="3"/>
    <n v="16"/>
  </r>
  <r>
    <s v="DOZER READINESS"/>
    <x v="1"/>
    <x v="3"/>
    <n v="11"/>
  </r>
  <r>
    <s v="DOZER READINESS"/>
    <x v="0"/>
    <x v="4"/>
    <n v="16"/>
  </r>
  <r>
    <s v="DOZER READINESS"/>
    <x v="1"/>
    <x v="4"/>
    <n v="16"/>
  </r>
  <r>
    <s v="DOZER READINESS"/>
    <x v="0"/>
    <x v="5"/>
    <n v="16"/>
  </r>
  <r>
    <s v="DOZER READINESS"/>
    <x v="1"/>
    <x v="5"/>
    <n v="14"/>
  </r>
  <r>
    <s v="DOZER READINESS"/>
    <x v="0"/>
    <x v="6"/>
    <n v="16"/>
  </r>
  <r>
    <s v="DOZER READINESS"/>
    <x v="1"/>
    <x v="6"/>
    <n v="16"/>
  </r>
  <r>
    <s v="DOZER READINESS"/>
    <x v="0"/>
    <x v="7"/>
    <n v="16"/>
  </r>
  <r>
    <s v="DOZER READINESS"/>
    <x v="1"/>
    <x v="7"/>
    <n v="15"/>
  </r>
  <r>
    <s v="DOZER READINESS"/>
    <x v="0"/>
    <x v="8"/>
    <n v="16"/>
  </r>
  <r>
    <s v="DOZER READINESS"/>
    <x v="1"/>
    <x v="8"/>
    <n v="13"/>
  </r>
  <r>
    <s v="DOZER READINESS"/>
    <x v="0"/>
    <x v="9"/>
    <n v="16"/>
  </r>
  <r>
    <s v="DOZER READINESS"/>
    <x v="1"/>
    <x v="9"/>
    <n v="14"/>
  </r>
  <r>
    <s v="DOZER READINESS"/>
    <x v="0"/>
    <x v="10"/>
    <n v="16"/>
  </r>
  <r>
    <s v="DOZER READINESS"/>
    <x v="1"/>
    <x v="10"/>
    <n v="11"/>
  </r>
  <r>
    <s v="DOZER READINESS"/>
    <x v="0"/>
    <x v="11"/>
    <n v="16"/>
  </r>
  <r>
    <s v="DOZER READINESS"/>
    <x v="1"/>
    <x v="11"/>
    <n v="16"/>
  </r>
  <r>
    <s v="DOZER READINESS"/>
    <x v="0"/>
    <x v="12"/>
    <n v="16"/>
  </r>
  <r>
    <s v="DOZER READINESS"/>
    <x v="1"/>
    <x v="12"/>
    <n v="14"/>
  </r>
  <r>
    <s v="DOZER READINESS"/>
    <x v="0"/>
    <x v="13"/>
    <n v="16"/>
  </r>
  <r>
    <s v="DOZER READINESS"/>
    <x v="1"/>
    <x v="13"/>
    <n v="16"/>
  </r>
  <r>
    <s v="DOZER READINESS"/>
    <x v="0"/>
    <x v="14"/>
    <n v="16"/>
  </r>
  <r>
    <s v="DOZER READINESS"/>
    <x v="1"/>
    <x v="14"/>
    <n v="15"/>
  </r>
  <r>
    <s v="DOZER READINESS"/>
    <x v="0"/>
    <x v="15"/>
    <n v="16"/>
  </r>
  <r>
    <s v="DOZER READINESS"/>
    <x v="1"/>
    <x v="15"/>
    <n v="13"/>
  </r>
  <r>
    <s v="DOZER READINESS"/>
    <x v="0"/>
    <x v="16"/>
    <n v="16"/>
  </r>
  <r>
    <s v="DOZER READINESS"/>
    <x v="1"/>
    <x v="16"/>
    <n v="14"/>
  </r>
  <r>
    <s v="DOZER READINESS"/>
    <x v="0"/>
    <x v="17"/>
    <n v="16"/>
  </r>
  <r>
    <s v="DOZER READINESS"/>
    <x v="1"/>
    <x v="17"/>
    <n v="11"/>
  </r>
  <r>
    <s v="DOZER READINESS"/>
    <x v="0"/>
    <x v="18"/>
    <n v="16"/>
  </r>
  <r>
    <s v="DOZER READINESS"/>
    <x v="1"/>
    <x v="18"/>
    <n v="16"/>
  </r>
  <r>
    <s v="DOZER READINESS"/>
    <x v="0"/>
    <x v="19"/>
    <n v="16"/>
  </r>
  <r>
    <s v="DOZER READINESS"/>
    <x v="1"/>
    <x v="19"/>
    <n v="14"/>
  </r>
  <r>
    <s v="DOZER READINESS"/>
    <x v="0"/>
    <x v="20"/>
    <n v="16"/>
  </r>
  <r>
    <s v="DOZER READINESS"/>
    <x v="1"/>
    <x v="20"/>
    <n v="16"/>
  </r>
  <r>
    <s v="DOZER READINESS"/>
    <x v="0"/>
    <x v="21"/>
    <n v="16"/>
  </r>
  <r>
    <s v="DOZER READINESS"/>
    <x v="1"/>
    <x v="21"/>
    <n v="15"/>
  </r>
  <r>
    <s v="DOZER READINESS"/>
    <x v="0"/>
    <x v="22"/>
    <n v="16"/>
  </r>
  <r>
    <s v="DOZER READINESS"/>
    <x v="1"/>
    <x v="22"/>
    <n v="13"/>
  </r>
  <r>
    <s v="DOZER READINESS"/>
    <x v="0"/>
    <x v="23"/>
    <n v="16"/>
  </r>
  <r>
    <s v="DOZER READINESS"/>
    <x v="1"/>
    <x v="23"/>
    <n v="14"/>
  </r>
  <r>
    <s v="DOZER READINESS"/>
    <x v="0"/>
    <x v="24"/>
    <n v="16"/>
  </r>
  <r>
    <s v="DOZER READINESS"/>
    <x v="1"/>
    <x v="24"/>
    <n v="11"/>
  </r>
  <r>
    <s v="DOZER READINESS"/>
    <x v="0"/>
    <x v="25"/>
    <n v="16"/>
  </r>
  <r>
    <s v="DOZER READINESS"/>
    <x v="1"/>
    <x v="25"/>
    <n v="16"/>
  </r>
  <r>
    <s v="DOZER READINESS"/>
    <x v="0"/>
    <x v="26"/>
    <n v="16"/>
  </r>
  <r>
    <s v="DOZER READINESS"/>
    <x v="1"/>
    <x v="26"/>
    <n v="14"/>
  </r>
  <r>
    <s v="DOZER READINESS"/>
    <x v="0"/>
    <x v="27"/>
    <n v="16"/>
  </r>
  <r>
    <s v="DOZER READINESS"/>
    <x v="1"/>
    <x v="27"/>
    <n v="16"/>
  </r>
  <r>
    <s v="DOZER READINESS"/>
    <x v="0"/>
    <x v="28"/>
    <n v="16"/>
  </r>
  <r>
    <s v="DOZER READINESS"/>
    <x v="1"/>
    <x v="28"/>
    <n v="12"/>
  </r>
  <r>
    <s v="DOZER READINESS"/>
    <x v="0"/>
    <x v="29"/>
    <n v="16"/>
  </r>
  <r>
    <s v="DOZER READINESS"/>
    <x v="1"/>
    <x v="29"/>
    <n v="11"/>
  </r>
  <r>
    <s v="DOZER READINESS"/>
    <x v="0"/>
    <x v="30"/>
    <n v="16"/>
  </r>
  <r>
    <s v="DOZER READINESS"/>
    <x v="1"/>
    <x v="30"/>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2.2222222222222223E-2"/>
  </r>
  <r>
    <x v="0"/>
    <x v="1"/>
    <n v="2.5925925925925925E-2"/>
  </r>
  <r>
    <x v="1"/>
    <x v="0"/>
    <n v="4.4444444444444446E-2"/>
  </r>
  <r>
    <x v="1"/>
    <x v="1"/>
    <n v="5.9259259259259255E-2"/>
  </r>
  <r>
    <x v="2"/>
    <x v="0"/>
    <n v="9.6296296296296297E-2"/>
  </r>
  <r>
    <x v="2"/>
    <x v="1"/>
    <n v="0.1"/>
  </r>
  <r>
    <x v="3"/>
    <x v="0"/>
    <n v="0.14814814814814817"/>
  </r>
  <r>
    <x v="3"/>
    <x v="1"/>
    <n v="0.18518518518518517"/>
  </r>
  <r>
    <x v="4"/>
    <x v="0"/>
    <n v="0.21111111111111108"/>
  </r>
  <r>
    <x v="4"/>
    <x v="1"/>
    <n v="0.26296296296296301"/>
  </r>
  <r>
    <x v="5"/>
    <x v="0"/>
    <n v="0.28888888888888892"/>
  </r>
  <r>
    <x v="5"/>
    <x v="1"/>
    <n v="0.35555555555555546"/>
  </r>
  <r>
    <x v="6"/>
    <x v="0"/>
    <n v="0.38888888888888878"/>
  </r>
  <r>
    <x v="6"/>
    <x v="1"/>
    <n v="0.47037037037037033"/>
  </r>
  <r>
    <x v="7"/>
    <x v="0"/>
    <n v="0.48888888888888893"/>
  </r>
  <r>
    <x v="7"/>
    <x v="1"/>
    <n v="0.57037037037037053"/>
  </r>
  <r>
    <x v="8"/>
    <x v="0"/>
    <n v="0.5888888888888888"/>
  </r>
  <r>
    <x v="8"/>
    <x v="1"/>
    <n v="0.65555555555555567"/>
  </r>
  <r>
    <x v="9"/>
    <x v="0"/>
    <n v="0.68888888888888911"/>
  </r>
  <r>
    <x v="9"/>
    <x v="1"/>
    <n v="0.7407407407407407"/>
  </r>
  <r>
    <x v="10"/>
    <x v="0"/>
    <n v="0.76666666666666661"/>
  </r>
  <r>
    <x v="10"/>
    <x v="1"/>
    <n v="0.79999999999999982"/>
  </r>
  <r>
    <x v="11"/>
    <x v="0"/>
    <n v="0.84444444444444433"/>
  </r>
  <r>
    <x v="11"/>
    <x v="1"/>
    <n v="0.85925925925925928"/>
  </r>
  <r>
    <x v="12"/>
    <x v="0"/>
    <n v="0.89259259259259249"/>
  </r>
  <r>
    <x v="12"/>
    <x v="1"/>
    <n v="0.91851851851851862"/>
  </r>
  <r>
    <x v="13"/>
    <x v="0"/>
    <n v="0.94074074074074077"/>
  </r>
  <r>
    <x v="13"/>
    <x v="1"/>
    <n v="0.97037037037037044"/>
  </r>
  <r>
    <x v="14"/>
    <x v="0"/>
    <n v="0.97777777777777786"/>
  </r>
  <r>
    <x v="14"/>
    <x v="1"/>
    <n v="1"/>
  </r>
  <r>
    <x v="15"/>
    <x v="0"/>
    <n v="1"/>
  </r>
  <r>
    <x v="15"/>
    <x v="1"/>
    <n v="1"/>
  </r>
  <r>
    <x v="16"/>
    <x v="0"/>
    <n v="1"/>
  </r>
  <r>
    <x v="16"/>
    <x v="1"/>
    <n v="1"/>
  </r>
  <r>
    <x v="17"/>
    <x v="0"/>
    <n v="1"/>
  </r>
  <r>
    <x v="17"/>
    <x v="1"/>
    <n v="1"/>
  </r>
  <r>
    <x v="18"/>
    <x v="0"/>
    <n v="1"/>
  </r>
  <r>
    <x v="18"/>
    <x v="1"/>
    <n v="1"/>
  </r>
  <r>
    <x v="19"/>
    <x v="0"/>
    <n v="1"/>
  </r>
  <r>
    <x v="19"/>
    <x v="1"/>
    <n v="1"/>
  </r>
  <r>
    <x v="20"/>
    <x v="0"/>
    <n v="1"/>
  </r>
  <r>
    <x v="20"/>
    <x v="1"/>
    <n v="1"/>
  </r>
  <r>
    <x v="21"/>
    <x v="0"/>
    <n v="1"/>
  </r>
  <r>
    <x v="21"/>
    <x v="1"/>
    <n v="1"/>
  </r>
  <r>
    <x v="22"/>
    <x v="0"/>
    <n v="1"/>
  </r>
  <r>
    <x v="22"/>
    <x v="1"/>
    <n v="1"/>
  </r>
  <r>
    <x v="23"/>
    <x v="0"/>
    <n v="1"/>
  </r>
  <r>
    <x v="23"/>
    <x v="1"/>
    <n v="1"/>
  </r>
  <r>
    <x v="24"/>
    <x v="0"/>
    <n v="1"/>
  </r>
  <r>
    <x v="24"/>
    <x v="1"/>
    <n v="1"/>
  </r>
  <r>
    <x v="25"/>
    <x v="0"/>
    <n v="1"/>
  </r>
  <r>
    <x v="25"/>
    <x v="1"/>
    <n v="1"/>
  </r>
  <r>
    <x v="26"/>
    <x v="0"/>
    <n v="1"/>
  </r>
  <r>
    <x v="26"/>
    <x v="1"/>
    <n v="1"/>
  </r>
  <r>
    <x v="27"/>
    <x v="0"/>
    <n v="1"/>
  </r>
  <r>
    <x v="27"/>
    <x v="1"/>
    <n v="1"/>
  </r>
  <r>
    <x v="28"/>
    <x v="0"/>
    <n v="1"/>
  </r>
  <r>
    <x v="28"/>
    <x v="1"/>
    <n v="1"/>
  </r>
  <r>
    <x v="29"/>
    <x v="0"/>
    <n v="1"/>
  </r>
  <r>
    <x v="29"/>
    <x v="1"/>
    <n v="1"/>
  </r>
  <r>
    <x v="30"/>
    <x v="0"/>
    <n v="1"/>
  </r>
  <r>
    <x v="30"/>
    <x v="1"/>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2.2222222222222223E-2"/>
    <n v="2.5925925925925925E-2"/>
    <n v="15"/>
    <n v="0.87"/>
    <n v="80"/>
    <n v="80"/>
  </r>
  <r>
    <x v="1"/>
    <n v="4.4444444444444446E-2"/>
    <n v="5.9259259259259255E-2"/>
    <n v="15"/>
    <n v="0.87"/>
    <n v="80"/>
    <n v="80"/>
  </r>
  <r>
    <x v="2"/>
    <n v="9.6296296296296297E-2"/>
    <n v="0.1"/>
    <n v="13"/>
    <n v="0.8"/>
    <n v="60"/>
    <n v="60"/>
  </r>
  <r>
    <x v="3"/>
    <n v="0.14814814814814817"/>
    <n v="0.18518518518518517"/>
    <n v="13"/>
    <n v="0.8"/>
    <n v="60"/>
    <n v="60"/>
  </r>
  <r>
    <x v="4"/>
    <n v="0.21111111111111108"/>
    <n v="0.26296296296296301"/>
    <n v="14"/>
    <n v="0.83"/>
    <n v="50"/>
    <n v="50"/>
  </r>
  <r>
    <x v="5"/>
    <n v="0.28888888888888892"/>
    <n v="0.35555555555555546"/>
    <n v="14"/>
    <n v="0.83"/>
    <n v="50"/>
    <n v="50"/>
  </r>
  <r>
    <x v="6"/>
    <n v="0.38888888888888878"/>
    <n v="0.47037037037037033"/>
    <n v="11"/>
    <n v="0.72"/>
    <n v="75"/>
    <n v="75"/>
  </r>
  <r>
    <x v="7"/>
    <n v="0.48888888888888893"/>
    <n v="0.57037037037037053"/>
    <n v="11"/>
    <n v="0.72"/>
    <n v="75"/>
    <n v="75"/>
  </r>
  <r>
    <x v="8"/>
    <n v="0.5888888888888888"/>
    <n v="0.65555555555555567"/>
    <n v="16"/>
    <n v="1"/>
    <n v="83"/>
    <n v="83"/>
  </r>
  <r>
    <x v="9"/>
    <n v="0.68888888888888911"/>
    <n v="0.7407407407407407"/>
    <n v="16"/>
    <n v="1"/>
    <n v="83"/>
    <n v="83"/>
  </r>
  <r>
    <x v="10"/>
    <n v="0.76666666666666661"/>
    <n v="0.79999999999999982"/>
    <n v="14"/>
    <n v="0.9"/>
    <n v="65"/>
    <n v="65"/>
  </r>
  <r>
    <x v="11"/>
    <n v="0.84444444444444433"/>
    <n v="0.85925925925925928"/>
    <n v="14"/>
    <n v="0.9"/>
    <n v="65"/>
    <n v="65"/>
  </r>
  <r>
    <x v="12"/>
    <n v="0.89259259259259249"/>
    <n v="0.91851851851851862"/>
    <n v="16"/>
    <n v="0.98"/>
    <n v="73"/>
    <n v="73"/>
  </r>
  <r>
    <x v="13"/>
    <n v="0.94074074074074077"/>
    <n v="0.97037037037037044"/>
    <n v="16"/>
    <n v="0.98"/>
    <n v="73"/>
    <n v="73"/>
  </r>
  <r>
    <x v="14"/>
    <n v="0.97777777777777786"/>
    <n v="1"/>
    <n v="15"/>
    <n v="0.93"/>
    <n v="80"/>
    <n v="80"/>
  </r>
  <r>
    <x v="15"/>
    <n v="1"/>
    <n v="1"/>
    <n v="15"/>
    <n v="0.93"/>
    <n v="80"/>
    <n v="80"/>
  </r>
  <r>
    <x v="16"/>
    <n v="1"/>
    <n v="1"/>
    <n v="13"/>
    <n v="0.87"/>
    <n v="60"/>
    <n v="60"/>
  </r>
  <r>
    <x v="17"/>
    <n v="1"/>
    <n v="1"/>
    <n v="13"/>
    <n v="0.87"/>
    <n v="60"/>
    <n v="60"/>
  </r>
  <r>
    <x v="18"/>
    <n v="1"/>
    <n v="1"/>
    <n v="14"/>
    <n v="0.8"/>
    <n v="50"/>
    <n v="50"/>
  </r>
  <r>
    <x v="19"/>
    <n v="1"/>
    <n v="1"/>
    <n v="14"/>
    <n v="0.8"/>
    <n v="50"/>
    <n v="50"/>
  </r>
  <r>
    <x v="20"/>
    <n v="1"/>
    <n v="1"/>
    <n v="11"/>
    <n v="0.83"/>
    <n v="75"/>
    <n v="75"/>
  </r>
  <r>
    <x v="21"/>
    <n v="1"/>
    <n v="1"/>
    <n v="11"/>
    <n v="0.83"/>
    <n v="75"/>
    <n v="75"/>
  </r>
  <r>
    <x v="22"/>
    <n v="1"/>
    <n v="1"/>
    <n v="16"/>
    <n v="0.72"/>
    <n v="83"/>
    <n v="83"/>
  </r>
  <r>
    <x v="23"/>
    <n v="1"/>
    <n v="1"/>
    <n v="16"/>
    <n v="0.72"/>
    <n v="83"/>
    <n v="83"/>
  </r>
  <r>
    <x v="24"/>
    <n v="1"/>
    <n v="1"/>
    <n v="14"/>
    <n v="1"/>
    <n v="65"/>
    <n v="65"/>
  </r>
  <r>
    <x v="25"/>
    <n v="1"/>
    <n v="1"/>
    <n v="14"/>
    <n v="1"/>
    <n v="65"/>
    <n v="65"/>
  </r>
  <r>
    <x v="26"/>
    <n v="1"/>
    <n v="1"/>
    <n v="16"/>
    <n v="0.9"/>
    <n v="73"/>
    <n v="73"/>
  </r>
  <r>
    <x v="27"/>
    <n v="1"/>
    <n v="1"/>
    <n v="16"/>
    <n v="0.9"/>
    <n v="73"/>
    <n v="73"/>
  </r>
  <r>
    <x v="28"/>
    <n v="1"/>
    <n v="1"/>
    <n v="15"/>
    <n v="0.98"/>
    <n v="80"/>
    <n v="80"/>
  </r>
  <r>
    <x v="29"/>
    <n v="1"/>
    <n v="1"/>
    <n v="15"/>
    <n v="0.98"/>
    <n v="80"/>
    <n v="80"/>
  </r>
  <r>
    <x v="30"/>
    <n v="1"/>
    <n v="1"/>
    <n v="13"/>
    <n v="0.93"/>
    <n v="60"/>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322CFB-581F-4E64-BC5D-F2D6F8CF009E}" name="PivotTable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DATE">
  <location ref="B369:E400"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DOZER READINESS" fld="3" baseField="0" baseItem="0" numFmtId="1"/>
    <dataField name="DAILY ACTUAL" fld="2" baseField="0" baseItem="0" numFmtId="10"/>
    <dataField name="DAILY PLAN"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58B362-9579-44D0-AA55-97A25562ACA3}" name="PivotTable13"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DATE">
  <location ref="B483:E51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TR (H)" fld="6"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1C024-5D6B-4F19-9FBA-CEA9A265B260}" name="PivotTable7"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4">
  <location ref="B35:E47" firstHeaderRow="1" firstDataRow="2"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Col" dataField="1" showAll="0">
      <items count="6">
        <item h="1" x="3"/>
        <item x="1"/>
        <item x="0"/>
        <item x="2"/>
        <item h="1" m="1" x="4"/>
        <item t="default"/>
      </items>
    </pivotField>
    <pivotField showAll="0"/>
    <pivotField showAll="0"/>
    <pivotField showAll="0"/>
  </pivotFields>
  <rowFields count="1">
    <field x="3"/>
  </rowFields>
  <rowItems count="11">
    <i>
      <x v="1"/>
    </i>
    <i>
      <x v="2"/>
    </i>
    <i>
      <x v="3"/>
    </i>
    <i>
      <x v="4"/>
    </i>
    <i>
      <x v="5"/>
    </i>
    <i>
      <x v="6"/>
    </i>
    <i>
      <x v="7"/>
    </i>
    <i>
      <x v="8"/>
    </i>
    <i>
      <x v="9"/>
    </i>
    <i>
      <x v="10"/>
    </i>
    <i>
      <x v="11"/>
    </i>
  </rowItems>
  <colFields count="1">
    <field x="10"/>
  </colFields>
  <colItems count="3">
    <i>
      <x v="1"/>
    </i>
    <i>
      <x v="2"/>
    </i>
    <i>
      <x v="3"/>
    </i>
  </colItems>
  <pageFields count="2">
    <pageField fld="1" hier="-1"/>
    <pageField fld="2" hier="-1"/>
  </pageFields>
  <dataFields count="1">
    <dataField name="Count of STATUS" fld="10" subtotal="count" baseField="0" baseItem="0"/>
  </dataFields>
  <chartFormats count="4">
    <chartFormat chart="4" format="41" series="1">
      <pivotArea type="data" outline="0" fieldPosition="0">
        <references count="2">
          <reference field="4294967294" count="1" selected="0">
            <x v="0"/>
          </reference>
          <reference field="10" count="1" selected="0">
            <x v="1"/>
          </reference>
        </references>
      </pivotArea>
    </chartFormat>
    <chartFormat chart="4" format="42" series="1">
      <pivotArea type="data" outline="0" fieldPosition="0">
        <references count="2">
          <reference field="4294967294" count="1" selected="0">
            <x v="0"/>
          </reference>
          <reference field="10" count="1" selected="0">
            <x v="2"/>
          </reference>
        </references>
      </pivotArea>
    </chartFormat>
    <chartFormat chart="4" format="43" series="1">
      <pivotArea type="data" outline="0" fieldPosition="0">
        <references count="2">
          <reference field="4294967294" count="1" selected="0">
            <x v="0"/>
          </reference>
          <reference field="10" count="1" selected="0">
            <x v="3"/>
          </reference>
        </references>
      </pivotArea>
    </chartFormat>
    <chartFormat chart="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76BA54-8477-43FA-BA4E-6F535CB0AA9D}"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88:D120" firstHeaderRow="1" firstDataRow="2" firstDataCol="1"/>
  <pivotFields count="4">
    <pivotField showAll="0"/>
    <pivotField axis="axisCol" showAll="0">
      <items count="3">
        <item x="0"/>
        <item x="1"/>
        <item t="default"/>
      </items>
    </pivotField>
    <pivotField axis="axisRow" multipleItemSelectionAllowed="1"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dataFields>
  <formats count="1">
    <format dxfId="57">
      <pivotArea dataOnly="0" labelOnly="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D11A91-B4AF-4238-A908-C8315A33101A}" name="PivotTable3" cacheId="1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B18:D20" firstHeaderRow="1" firstDataRow="2"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axis="axisCol" showAll="0">
      <items count="8">
        <item h="1" x="3"/>
        <item x="1"/>
        <item m="1" x="5"/>
        <item m="1" x="4"/>
        <item m="1" x="6"/>
        <item h="1" x="2"/>
        <item x="0"/>
        <item t="default"/>
      </items>
    </pivotField>
    <pivotField showAll="0"/>
    <pivotField showAll="0"/>
  </pivotFields>
  <rowItems count="1">
    <i/>
  </rowItems>
  <colFields count="1">
    <field x="11"/>
  </colFields>
  <colItems count="2">
    <i>
      <x v="1"/>
    </i>
    <i>
      <x v="6"/>
    </i>
  </colItems>
  <pageFields count="2">
    <pageField fld="1" hier="-1"/>
    <pageField fld="2" hier="-1"/>
  </pageFields>
  <dataFields count="1">
    <dataField name="Count of NO" fld="0" subtotal="count" baseField="0" baseItem="0"/>
  </dataFields>
  <chartFormats count="2">
    <chartFormat chart="2" format="39" series="1">
      <pivotArea type="data" outline="0" fieldPosition="0">
        <references count="1">
          <reference field="4294967294" count="1" selected="0">
            <x v="0"/>
          </reference>
        </references>
      </pivotArea>
    </chartFormat>
    <chartFormat chart="3"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741BF2-06B9-44E5-ADC1-5DB17B0C824A}" name="PivotTable11"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B243:F276" firstHeaderRow="1" firstDataRow="2" firstDataCol="1"/>
  <pivotFields count="4">
    <pivotField axis="axisCol" showAll="0">
      <items count="5">
        <item x="0"/>
        <item x="2"/>
        <item x="1"/>
        <item x="3"/>
        <item t="default"/>
      </items>
    </pivotField>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0"/>
  </colFields>
  <colItems count="4">
    <i>
      <x/>
    </i>
    <i>
      <x v="1"/>
    </i>
    <i>
      <x v="2"/>
    </i>
    <i>
      <x v="3"/>
    </i>
  </colItems>
  <dataFields count="1">
    <dataField name="Sum of VALUE" fld="3" baseField="0" baseItem="0" numFmtId="1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3">
          <reference field="4294967294" count="1" selected="0">
            <x v="0"/>
          </reference>
          <reference field="0" count="1" selected="0">
            <x v="0"/>
          </reference>
          <reference field="2" count="1" selected="0">
            <x v="3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6FC119-E097-45CA-81F1-41BA734EC4B8}" name="PivotTable17"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DAYS">
  <location ref="B329:D361" firstHeaderRow="1" firstDataRow="2" firstDataCol="1"/>
  <pivotFields count="3">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m="1" x="31"/>
        <item t="default"/>
      </items>
    </pivotField>
    <pivotField axis="axisCol" showAll="0">
      <items count="4">
        <item x="1"/>
        <item x="0"/>
        <item h="1" m="1" x="2"/>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ACH" fld="2" subtotal="average" baseField="0" baseItem="0"/>
  </dataFields>
  <formats count="1">
    <format dxfId="58">
      <pivotArea collapsedLevelsAreSubtotals="1" fieldPosition="0">
        <references count="2">
          <reference field="0" count="0"/>
          <reference field="1" count="0" selected="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3">
          <reference field="4294967294" count="1" selected="0">
            <x v="0"/>
          </reference>
          <reference field="0" count="1" selected="0">
            <x v="3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D81363-6F9D-4A6B-9D9E-CA575FE9FB1A}" name="PivotTable5"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2">
  <location ref="B59:C70" firstHeaderRow="1" firstDataRow="1"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1">
    <i>
      <x v="1"/>
    </i>
    <i>
      <x v="2"/>
    </i>
    <i>
      <x v="3"/>
    </i>
    <i>
      <x v="4"/>
    </i>
    <i>
      <x v="5"/>
    </i>
    <i>
      <x v="6"/>
    </i>
    <i>
      <x v="7"/>
    </i>
    <i>
      <x v="8"/>
    </i>
    <i>
      <x v="9"/>
    </i>
    <i>
      <x v="10"/>
    </i>
    <i>
      <x v="11"/>
    </i>
  </rowItems>
  <colItems count="1">
    <i/>
  </colItems>
  <pageFields count="2">
    <pageField fld="1" hier="-1"/>
    <pageField fld="2" hier="-1"/>
  </pageFields>
  <dataFields count="1">
    <dataField name="COMPLETION RATE" fld="13" subtotal="average" baseField="3" baseItem="1" numFmtId="9"/>
  </dataFields>
  <formats count="1">
    <format dxfId="59">
      <pivotArea outline="0" collapsedLevelsAreSubtotals="1" fieldPosition="0">
        <references count="1">
          <reference field="4294967294" count="1" selected="0">
            <x v="0"/>
          </reference>
        </references>
      </pivotArea>
    </format>
  </formats>
  <chartFormats count="1">
    <chartFormat chart="5"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6D75CA-19EC-4147-9212-77C0B12C4896}" name="PivotTable12"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B285:F319" firstHeaderRow="1" firstDataRow="3" firstDataCol="1"/>
  <pivotFields count="5">
    <pivotField showAll="0"/>
    <pivotField axis="axisCol" showAll="0" defaultSubtotal="0">
      <items count="5">
        <item x="0"/>
        <item h="1" x="2"/>
        <item h="1" x="1"/>
        <item x="3"/>
        <item h="1" x="4"/>
      </items>
    </pivotField>
    <pivotField axis="axisCol" showAll="0">
      <items count="4">
        <item h="1" m="1" x="2"/>
        <item x="1"/>
        <item x="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4">
    <i>
      <x/>
      <x v="1"/>
    </i>
    <i r="1">
      <x v="2"/>
    </i>
    <i>
      <x v="3"/>
      <x v="1"/>
    </i>
    <i r="1">
      <x v="2"/>
    </i>
  </colItems>
  <dataFields count="1">
    <dataField name="Sum of VALUE" fld="4" baseField="0" baseItem="0"/>
  </dataFields>
  <formats count="1">
    <format dxfId="60">
      <pivotArea collapsedLevelsAreSubtotals="1" fieldPosition="0">
        <references count="2">
          <reference field="1" count="1" selected="0">
            <x v="3"/>
          </reference>
          <reference field="3" count="0"/>
        </references>
      </pivotArea>
    </format>
  </formats>
  <chartFormats count="8">
    <chartFormat chart="0" format="0"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2"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3"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4"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5"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6"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7" series="1">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7299D1-591C-464B-88C8-D5AEEDFDDC92}"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27:D15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9"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numFmtId="9"/>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D7D573-BF7E-43D0-A724-D3370FEC091D}" name="PivotTable16" cacheId="9" dataOnRows="1" dataPosition="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6">
  <location ref="B203:D236"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68C5F5-FAC8-4C8A-A22F-9979FCC56F4B}" name="PivotTable2" cacheId="14"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7:C11" firstHeaderRow="1" firstDataRow="1"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Row" showAll="0">
      <items count="6">
        <item h="1" x="3"/>
        <item x="2"/>
        <item x="0"/>
        <item x="1"/>
        <item h="1" m="1" x="4"/>
        <item t="default"/>
      </items>
    </pivotField>
    <pivotField showAll="0"/>
    <pivotField showAll="0"/>
    <pivotField showAll="0"/>
  </pivotFields>
  <rowFields count="1">
    <field x="10"/>
  </rowFields>
  <rowItems count="4">
    <i>
      <x v="1"/>
    </i>
    <i>
      <x v="2"/>
    </i>
    <i>
      <x v="3"/>
    </i>
    <i t="grand">
      <x/>
    </i>
  </rowItems>
  <colItems count="1">
    <i/>
  </colItems>
  <pageFields count="2">
    <pageField fld="1" hier="-1"/>
    <pageField fld="2" hier="-1"/>
  </pageField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966F98-07AF-42EF-82C0-045B8542FD4B}" name="PivotTable1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B520:H551"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dataField="1" numFmtId="167" showAll="0"/>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6">
    <i>
      <x/>
    </i>
    <i i="1">
      <x v="1"/>
    </i>
    <i i="2">
      <x v="2"/>
    </i>
    <i i="3">
      <x v="3"/>
    </i>
    <i i="4">
      <x v="4"/>
    </i>
    <i i="5">
      <x v="5"/>
    </i>
  </colItems>
  <dataFields count="6">
    <dataField name="DAILY ACTUAL" fld="2" baseField="0" baseItem="0" numFmtId="10"/>
    <dataField name="DAILY PLAN" fld="1" baseField="0" baseItem="0" numFmtId="10"/>
    <dataField name="MTTR (H)" fld="6" baseField="0" baseItem="0"/>
    <dataField name="Sum of DOZER_READINESS" fld="3" baseField="0" baseItem="0" numFmtId="1"/>
    <dataField name="Sum of PA_DOZER" fld="4" baseField="0" baseItem="0" numFmtId="167"/>
    <dataField name="Sum of MTBF" fld="5"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A6D7FE-998A-4285-9207-05D44F62A2F1}" name="PivotTable10"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B166:D19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0D91F3-76B4-4A15-A1A3-E3711E0424E8}"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DATE">
  <location ref="B403:E43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dataField="1"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PA DOZER" fld="4" baseField="0" baseItem="0" numFmtId="167"/>
    <dataField name="DAILY ACTUAL" fld="2" baseField="0" baseItem="0" numFmtId="10"/>
    <dataField name="DAILY PLAN" fld="1" baseField="0" baseItem="0" numFmtId="10"/>
  </dataFields>
  <chartFormats count="9">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DE4962-A287-43EA-B4C5-CFA8B06C841E}" name="PivotTable8"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rowHeaderCaption="DATE">
  <location ref="B442:E473"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BF (H)" fld="5"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CB65D1-52DB-427B-8FD3-17AED97993CA}" autoFormatId="16" applyNumberFormats="0" applyBorderFormats="0" applyFontFormats="0" applyPatternFormats="0" applyAlignmentFormats="0" applyWidthHeightFormats="0">
  <queryTableRefresh nextId="6">
    <queryTableFields count="5">
      <queryTableField id="1" name="NO" tableColumnId="1"/>
      <queryTableField id="2" name="5 FACTOR" tableColumnId="2"/>
      <queryTableField id="3" name="CATEGORY" tableColumnId="3"/>
      <queryTableField id="4" name="Attribute" tableColumnId="4"/>
      <queryTableField id="5"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FACTOR" xr10:uid="{171A5481-8183-47AF-AAF5-FEAF42B5BB25}" sourceName="5 FACTOR">
  <pivotTables>
    <pivotTable tabId="8" name="PivotTable2"/>
    <pivotTable tabId="8" name="PivotTable7"/>
    <pivotTable tabId="8" name="PivotTable5"/>
    <pivotTable tabId="8" name="PivotTable3"/>
  </pivotTables>
  <data>
    <tabular pivotCacheId="780390545">
      <items count="6">
        <i x="4" s="1"/>
        <i x="2" s="1"/>
        <i x="0" s="1"/>
        <i x="1"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2692C2-868E-4FE2-A8BD-708CA61FBA30}" sourceName="CATEGORY">
  <pivotTables>
    <pivotTable tabId="8" name="PivotTable2"/>
    <pivotTable tabId="8" name="PivotTable7"/>
    <pivotTable tabId="8" name="PivotTable5"/>
    <pivotTable tabId="8" name="PivotTable3"/>
  </pivotTables>
  <data>
    <tabular pivotCacheId="780390545">
      <items count="3">
        <i x="1" s="1"/>
        <i x="0"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24B84EC9-0CCE-45D0-94BE-6D51BC040E91}" sourceName="PIC">
  <pivotTables>
    <pivotTable tabId="8" name="PivotTable2"/>
    <pivotTable tabId="8" name="PivotTable7"/>
    <pivotTable tabId="8" name="PivotTable5"/>
    <pivotTable tabId="8" name="PivotTable3"/>
  </pivotTables>
  <data>
    <tabular pivotCacheId="780390545">
      <items count="12">
        <i x="3" s="1"/>
        <i x="9" s="1"/>
        <i x="0" s="1"/>
        <i x="6" s="1"/>
        <i x="7" s="1"/>
        <i x="1" s="1"/>
        <i x="4" s="1"/>
        <i x="10" s="1"/>
        <i x="5" s="1"/>
        <i x="2" s="1"/>
        <i x="8" s="1"/>
        <i x="1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1F47B2BB-BB0A-4578-92EA-6AE1DE268F6F}" sourceName="PARAMETER">
  <pivotTables>
    <pivotTable tabId="8" name="PivotTable11"/>
  </pivotTables>
  <data>
    <tabular pivotCacheId="440526308">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1" xr10:uid="{9DAB5D21-13BF-4FA0-8190-5A7F6C676FA9}" sourceName="PARAMETER">
  <pivotTables>
    <pivotTable tabId="8" name="PivotTable12"/>
  </pivotTables>
  <data>
    <tabular pivotCacheId="1088675586">
      <items count="5">
        <i x="3" s="1"/>
        <i x="0" s="1"/>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91C298E9-7A7E-4285-B616-E8CEACE75F77}" cache="Slicer_PARAMETER" caption="PARAMETER" rowHeight="241300"/>
  <slicer name="PARAMETER 2" xr10:uid="{E1F1542E-094B-428F-AAC0-B7A23F1DDD35}" cache="Slicer_PARAMETER1" caption="PARAMET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5 FACTOR" xr10:uid="{0E853FF5-9073-4C93-8A36-328DD7C1863E}" cache="Slicer_5_FACTOR" caption="5 FACTOR" style="SlicerStyleLight3" rowHeight="241300"/>
  <slicer name="CATEGORY" xr10:uid="{21986DFF-CD46-4E2A-A44B-0332C56805C8}" cache="Slicer_CATEGORY" caption="CATEGORY" style="SlicerStyleLight3" rowHeight="241300"/>
  <slicer name="PIC" xr10:uid="{C2430508-135B-4DE8-98EA-B42796063A03}" cache="Slicer_PIC" caption="PIC" style="SlicerStyleLight3"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62FF9-3109-483A-8502-301C09C9B7DD}" name="Tbl_SM" displayName="Tbl_SM" ref="B7:Q31" totalsRowShown="0" headerRowDxfId="128" tableBorderDxfId="127" headerRowCellStyle="Normal 2">
  <autoFilter ref="B7:Q31" xr:uid="{CAA62FF9-3109-483A-8502-301C09C9B7DD}"/>
  <tableColumns count="16">
    <tableColumn id="1" xr3:uid="{FC20C965-80EC-440C-A01A-00CFAD73B6C6}" name="NO" dataDxfId="126" dataCellStyle="Normal 2"/>
    <tableColumn id="2" xr3:uid="{16435EF2-EB76-4E6E-A5A0-D517559F4818}" name="5 FACTOR" dataDxfId="125" dataCellStyle="Normal 2"/>
    <tableColumn id="3" xr3:uid="{914C0C2C-44DC-4A8A-BEED-A72388C449DC}" name="BRAINSTORMING (PROBLEM)"/>
    <tableColumn id="4" xr3:uid="{34215F3F-ABAA-4693-9186-2C020F1E4F42}" name="CATEGORY" dataDxfId="124" dataCellStyle="Normal 2"/>
    <tableColumn id="5" xr3:uid="{C6C569FC-539A-4444-A8F7-2A28B39797DF}" name="ACTION PLAN" dataDxfId="123" dataCellStyle="Normal 2"/>
    <tableColumn id="6" xr3:uid="{E532DAF9-22B4-4E38-B5C9-BB056BD44458}" name="PIC" dataDxfId="122" dataCellStyle="Normal 2"/>
    <tableColumn id="7" xr3:uid="{05C6B481-456E-43C0-AA22-20F2885FF52E}" name="PLAN START" dataDxfId="121" dataCellStyle="Normal 2"/>
    <tableColumn id="8" xr3:uid="{738A2241-7000-4982-AF5F-8DB4DA781CB0}" name="DUE DATA" dataDxfId="120" dataCellStyle="Normal 2"/>
    <tableColumn id="9" xr3:uid="{26F1CC36-4564-4AE6-A241-4542657918F2}" name="PLAN DURATION" dataDxfId="119" dataCellStyle="Normal 2">
      <calculatedColumnFormula>(I8-H8)+1</calculatedColumnFormula>
    </tableColumn>
    <tableColumn id="10" xr3:uid="{6B4825AF-5216-4414-809A-74A9BE2864B6}" name="ACTUAL START" dataDxfId="118" dataCellStyle="Normal 2"/>
    <tableColumn id="11" xr3:uid="{4D23FB81-AF8A-43AA-B252-6933CD0FB009}" name="ACTUAL FINISH" dataDxfId="117" dataCellStyle="Normal 2"/>
    <tableColumn id="12" xr3:uid="{A2F4AEAE-4D0F-49F9-81EC-71A809AF5B5B}" name="ACTUAL DURATION" dataDxfId="116" dataCellStyle="Normal 2">
      <calculatedColumnFormula>IF(AND(K8=0,L8=0),"No Progress",IF(Tbl_SM[[#This Row],[ACTUAL START]]="",0,IF(L8-K8&lt;0,"On Progress",L8-K8)))</calculatedColumnFormula>
    </tableColumn>
    <tableColumn id="13" xr3:uid="{F3F01F05-7A13-4801-8812-9F555FA784A3}" name="STATUS" dataDxfId="115" dataCellStyle="Normal 2">
      <calculatedColumnFormula>IF(Tbl_SM[[#This Row],[PLAN START]]="","",
IF(Tbl_SM[[#This Row],[ACTUAL FINISH]]&lt;&gt;"","CLOSE",
IF(Tbl_SM[[#This Row],[ACTUAL START]]&lt;&gt;"","ON PROGRESS",
"OPEN")))</calculatedColumnFormula>
    </tableColumn>
    <tableColumn id="15" xr3:uid="{9F97E5C5-7C14-4752-A3CC-204C173FE6B4}" name="DUE STATUS" dataDxfId="114" dataCellStyle="Normal 2">
      <calculatedColumnFormula>IF(Tbl_SM[[#This Row],[PLAN START]]="","",
IF(Tbl_SM[[#This Row],[ACTUAL FINISH]]&lt;&gt;"","CLOSE",
IF(TODAY()&gt;Tbl_SM[[#This Row],[DUE DATA]],"OVERDUE",
IF((Tbl_SM[[#This Row],[DUE DATA]]-TODAY())&lt;=3,"&lt; 3 HARI",
IF((Tbl_SM[[#This Row],[DUE DATA]]-TODAY())&lt;=7,"&lt; 7 HARI",
IF((Tbl_SM[[#This Row],[DUE DATA]]-TODAY())&lt;=14,"&lt; 14 HARI",
"&gt; 14 HARI"))))))</calculatedColumnFormula>
    </tableColumn>
    <tableColumn id="14" xr3:uid="{226E1D60-7484-4DF0-8510-27E9CEE31065}" name="COMPLETION" dataDxfId="113" dataCellStyle="Normal 2">
      <calculatedColumnFormula>IF(SUM(S8:AW8)=0,"",IFERROR(MAX(DG8:EK8),""))</calculatedColumnFormula>
    </tableColumn>
    <tableColumn id="16" xr3:uid="{2E5FFF36-872E-47C7-8DF3-C039C4BC61CF}" name="COMPLETION_FLAG" dataDxfId="112" dataCellStyle="Normal 2">
      <calculatedColumnFormula>IF(Tbl_SM[[#This Row],[STATUS]]="CLOSE",1,0)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076C82-D3CE-495E-A54C-FF87505A7748}" name="TBL_ACHIV" displayName="TBL_ACHIV" ref="V3:Y127" totalsRowShown="0">
  <autoFilter ref="V3:Y127" xr:uid="{7C076C82-D3CE-495E-A54C-FF87505A7748}"/>
  <tableColumns count="4">
    <tableColumn id="1" xr3:uid="{6CB1103F-65E3-4E01-A5CF-26762B34A3FA}" name="PARAMETER"/>
    <tableColumn id="2" xr3:uid="{EC69C92D-5ECB-49C9-86A9-D826114415F1}" name="CATEGORY"/>
    <tableColumn id="3" xr3:uid="{1A5A3DDE-6547-4A07-95A7-11E85215E288}" name="DATE" dataDxfId="111"/>
    <tableColumn id="4" xr3:uid="{27787B1E-6734-4DC1-A4C2-FB881F9D6122}" name="VALUE" dataDxfId="110" dataCellStyle="Percent">
      <calculatedColumnFormula array="1">IF(INDEX('Activity Plan'!$S$34:$AW$99,
MATCH("*"&amp;TRIM($V4)&amp;"*",'Activity Plan'!$D$35:$D$100,0)+MATCH($W4,{"PLAN";"ACTUAL";"ACHIVE"},0)-1,
MATCH($X4,DAY('Activity Plan'!$S$7:$AW$7),0))=0,
"N/A",
INDEX('Activity Plan'!$S$34:$AW$99,
MATCH("*"&amp;TRIM($V4)&amp;"*",'Activity Plan'!$D$35:$D$100,0)+MATCH($W4,{"PLAN";"ACTUAL";"ACHIVE"},0)-1,
MATCH($X4,DAY('Activity Plan'!$S$7:$AW$7),0)))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EA6B7-23CC-4454-83CA-49E1E8B44B40}" name="TBL_DOZER_READINESS" displayName="TBL_DOZER_READINESS" ref="B3:E65" totalsRowShown="0">
  <autoFilter ref="B3:E65" xr:uid="{D5EEA6B7-23CC-4454-83CA-49E1E8B44B40}"/>
  <tableColumns count="4">
    <tableColumn id="1" xr3:uid="{AC1C3906-55EC-4691-9683-739180040650}" name="PARAMETER"/>
    <tableColumn id="2" xr3:uid="{4FCF3E5B-3AB2-4973-AC2A-B42FE0A11778}" name="CATEGORY"/>
    <tableColumn id="3" xr3:uid="{60B8828A-1050-4B64-A92E-9EFA8B51CFD9}" name="DATE"/>
    <tableColumn id="4" xr3:uid="{14B9AAA9-9182-4250-BB7C-97C6FE3E1B86}" name="VALUE">
      <calculatedColumnFormula array="1">IF(INDEX('Activity Plan'!$S$34:$AW$99,
MATCH("*"&amp;TRIM($B4)&amp;"*",'Activity Plan'!$D$35:$D$100,0)+MATCH($C4,{"PLAN";"ACTUAL";"ACHIVE"},0)-1,
MATCH($D4,DAY('Activity Plan'!$S$7:$AW$7),0))=0,
"N/A",
INDEX('Activity Plan'!$S$34:$AW$99,
MATCH("*"&amp;TRIM($B4)&amp;"*",'Activity Plan'!$D$35:$D$100,0)+MATCH($C4,{"PLAN";"ACTUAL";"ACHIVE"},0)-1,
MATCH($D4,DAY('Activity Plan'!$S$7:$AW$7),0)))</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D86472-74E5-484A-927E-DAB8F9E126B1}" name="TBL_PA_DOZER" displayName="TBL_PA_DOZER" ref="G3:J65" totalsRowShown="0">
  <autoFilter ref="G3:J65" xr:uid="{E6D86472-74E5-484A-927E-DAB8F9E126B1}"/>
  <tableColumns count="4">
    <tableColumn id="1" xr3:uid="{0E7D3400-5D6C-4D57-AEB6-ED8B4E8A5746}" name="PARAMETER"/>
    <tableColumn id="2" xr3:uid="{482E3452-2E36-4F5C-9181-53240D1E6B43}" name="CATEGORY"/>
    <tableColumn id="3" xr3:uid="{75C8DCAC-5682-441B-B405-546E7E680868}" name="DATE"/>
    <tableColumn id="4" xr3:uid="{EB43C21A-7771-40D3-9454-023A9F43EBBC}" name="VALUE" dataDxfId="109" dataCellStyle="Percent">
      <calculatedColumnFormula array="1">IF(INDEX('Activity Plan'!$S$34:$AW$99,
MATCH("*"&amp;TRIM($G4)&amp;"*",'Activity Plan'!$D$35:$D$100,0)+MATCH($H4,{"PLAN";"ACTUAL";"ACHIVE"},0)-1,
MATCH($I4,DAY('Activity Plan'!$S$7:$AW$7),0))=0,
"N/A",
INDEX('Activity Plan'!$S$34:$AW$99,
MATCH("*"&amp;TRIM($G4)&amp;"*",'Activity Plan'!$D$35:$D$100,0)+MATCH($H4,{"PLAN";"ACTUAL";"ACHIVE"},0)-1,
MATCH($I4,DAY('Activity Plan'!$S$7:$AW$7),0)))</calculatedColumnFormula>
    </tableColum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970FCC-DC5C-4009-AD7E-863DD74F740C}" name="Tbl_MTBF" displayName="Tbl_MTBF" ref="L3:O65" totalsRowShown="0">
  <autoFilter ref="L3:O65" xr:uid="{BD970FCC-DC5C-4009-AD7E-863DD74F740C}"/>
  <tableColumns count="4">
    <tableColumn id="1" xr3:uid="{44C34688-27A3-40CE-828B-13D9CEE4CD07}" name="PARAMETER"/>
    <tableColumn id="2" xr3:uid="{1367A4C0-3DE0-4495-912F-143DBBE20D9E}" name="CATEGORY"/>
    <tableColumn id="3" xr3:uid="{E23A9E27-760C-4C4E-9902-792758BF0A8E}" name="DATE"/>
    <tableColumn id="4" xr3:uid="{CCCA97C2-FE68-494E-933B-135B89632D86}" name="VALUE" dataDxfId="108" dataCellStyle="Percent">
      <calculatedColumnFormula array="1">IF(INDEX('Activity Plan'!$S$34:$AW$99,
MATCH("*"&amp;TRIM($L4)&amp;"*",'Activity Plan'!$D$35:$D$100,0)+MATCH($M4,{"PLAN";"ACTUAL";"ACHIVE"},0)-1,
MATCH($N4,DAY('Activity Plan'!$S$7:$AW$7),0))=0,
"N/A",
INDEX('Activity Plan'!$S$34:$AW$99,
MATCH("*"&amp;TRIM($L4)&amp;"*",'Activity Plan'!$D$35:$D$100,0)+MATCH($M4,{"PLAN";"ACTUAL";"ACHIVE"},0)-1,
MATCH($N4,DAY('Activity Plan'!$S$7:$AW$7),0)))</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4B76CE-1871-4D36-83E9-664BE3F5943F}" name="Tbl_Summary" displayName="Tbl_Summary" ref="AF3:AS37" totalsRowShown="0" headerRowDxfId="107">
  <autoFilter ref="AF3:AS37" xr:uid="{C94B76CE-1871-4D36-83E9-664BE3F5943F}"/>
  <tableColumns count="14">
    <tableColumn id="1" xr3:uid="{ED854BFB-7A8A-4168-8369-4F1DC6B94739}" name="NO" dataDxfId="106">
      <calculatedColumnFormula>IF(ROWS($Z$15:Z15)&gt;COUNTA(Tbl_SM[NO]),"N/A",ROWS($Z$15:Z15))</calculatedColumnFormula>
    </tableColumn>
    <tableColumn id="2" xr3:uid="{D9421DF0-D05A-4B83-8806-FE7D0A6CAA72}" name="5 FACTOR" dataDxfId="105">
      <calculatedColumnFormula>IF(OR(Tbl_Summary[[#This Row],[NO]]="",Tbl_Summary[[#This Row],[NO]]="N/A"),"",_xlfn.XLOOKUP(Tbl_Summary[[#This Row],[NO]],Tbl_SM[NO],Tbl_SM[5 FACTOR]))</calculatedColumnFormula>
    </tableColumn>
    <tableColumn id="3" xr3:uid="{CE1BDC83-0FDD-4AF3-B21A-C10D772836A2}" name="CATEGORY" dataDxfId="104">
      <calculatedColumnFormula>IF(OR(Tbl_Summary[[#This Row],[NO]]="",Tbl_Summary[[#This Row],[NO]]="N/A"),"",_xlfn.XLOOKUP(Tbl_Summary[[#This Row],[NO]],Tbl_SM[NO],Tbl_SM[CATEGORY]))</calculatedColumnFormula>
    </tableColumn>
    <tableColumn id="4" xr3:uid="{63B6D9C4-DAF0-4F6E-B909-72BAE2FAB627}" name="PIC" dataDxfId="103">
      <calculatedColumnFormula>IF(OR(Tbl_Summary[[#This Row],[NO]]="",Tbl_Summary[[#This Row],[NO]]="N/A"),"",_xlfn.XLOOKUP(Tbl_Summary[[#This Row],[NO]],Tbl_SM[NO],Tbl_SM[PIC]))</calculatedColumnFormula>
    </tableColumn>
    <tableColumn id="5" xr3:uid="{A0830142-C5EF-4CAC-82E7-132EB7769FFE}" name="PLAN START" dataDxfId="102" dataCellStyle="Normal 2">
      <calculatedColumnFormula>IF(OR(Tbl_Summary[[#This Row],[NO]]="",Tbl_Summary[[#This Row],[NO]]="N/A"),"",_xlfn.XLOOKUP(Tbl_Summary[[#This Row],[NO]],Tbl_SM[NO],Tbl_SM[PLAN START]))</calculatedColumnFormula>
    </tableColumn>
    <tableColumn id="6" xr3:uid="{0DFF647F-42D5-43F2-816F-43E38909882E}" name="DUE DATA" dataDxfId="101" dataCellStyle="Normal 2">
      <calculatedColumnFormula>IF(OR(Tbl_Summary[[#This Row],[NO]]="",Tbl_Summary[[#This Row],[NO]]="N/A"),"",_xlfn.XLOOKUP(Tbl_Summary[[#This Row],[NO]],Tbl_SM[NO],Tbl_SM[DUE DATA]))</calculatedColumnFormula>
    </tableColumn>
    <tableColumn id="7" xr3:uid="{BB16CA8A-EC6F-4CE9-AA03-F57FEAB92A00}" name="PLAN DURATION" dataDxfId="100">
      <calculatedColumnFormula>IF(OR(Tbl_Summary[[#This Row],[NO]]="",Tbl_Summary[[#This Row],[NO]]="N/A"),"",_xlfn.XLOOKUP(Tbl_Summary[[#This Row],[NO]],Tbl_SM[NO],Tbl_SM[PLAN DURATION]))</calculatedColumnFormula>
    </tableColumn>
    <tableColumn id="8" xr3:uid="{1D1EBCE3-6E49-4022-8A3D-D391BD5B9785}" name="ACTUAL START" dataDxfId="99" dataCellStyle="Normal 2">
      <calculatedColumnFormula>IFERROR(IF(OR(Tbl_Summary[[#This Row],[NO]]="",Tbl_Summary[[#This Row],[NO]]="N/A"),"",_xlfn.XLOOKUP(Tbl_Summary[[#This Row],[NO]],Tbl_SM[NO],Tbl_SM[ACTUAL START])),"")</calculatedColumnFormula>
    </tableColumn>
    <tableColumn id="9" xr3:uid="{0234AC7E-88E5-42DD-A7BB-BE6BD4494177}" name="ACTUAL FINISH" dataDxfId="98" dataCellStyle="Normal 2">
      <calculatedColumnFormula>IFERROR(IF(OR(Tbl_Summary[[#This Row],[NO]]="",Tbl_Summary[[#This Row],[NO]]="N/A"),"N/A",
IF(_xlfn.XLOOKUP(Tbl_Summary[[#This Row],[NO]],Tbl_SM[NO],Tbl_SM[ACTUAL FINISH])=0,"N/A",
_xlfn.XLOOKUP(Tbl_Summary[[#This Row],[NO]],Tbl_SM[NO],Tbl_SM[ACTUAL FINISH]))),"N/A")</calculatedColumnFormula>
    </tableColumn>
    <tableColumn id="10" xr3:uid="{C3117507-FF63-4EE8-BE60-4FA3E3854CEA}" name="ACTUAL DURATION" dataDxfId="97">
      <calculatedColumnFormula>IFERROR(IF(OR(Tbl_Summary[[#This Row],[NO]]="",Tbl_Summary[[#This Row],[NO]]="N/A"),"",_xlfn.XLOOKUP(Tbl_Summary[[#This Row],[NO]],Tbl_SM[NO],Tbl_SM[ACTUAL DURATION])),"")</calculatedColumnFormula>
    </tableColumn>
    <tableColumn id="11" xr3:uid="{AD60AAC1-7CF2-4F22-994A-7B68D8E35547}" name="STATUS" dataDxfId="96">
      <calculatedColumnFormula>IFERROR(IF(OR(Tbl_Summary[[#This Row],[NO]]="",Tbl_Summary[[#This Row],[NO]]="N/A"),"",_xlfn.XLOOKUP(Tbl_Summary[[#This Row],[NO]],Tbl_SM[NO],Tbl_SM[STATUS])),"")</calculatedColumnFormula>
    </tableColumn>
    <tableColumn id="14" xr3:uid="{09BF978A-1CC6-453E-8056-D4371679C1AF}" name="DUE STATUS" dataDxfId="95" dataCellStyle="Normal 2">
      <calculatedColumnFormula>IFERROR(IF(OR(Tbl_Summary[[#This Row],[NO]]="",Tbl_Summary[[#This Row],[NO]]="N/A"),"",_xlfn.XLOOKUP(Tbl_Summary[[#This Row],[NO]],Tbl_SM[NO],Tbl_SM[DUE STATUS])),"")</calculatedColumnFormula>
    </tableColumn>
    <tableColumn id="13" xr3:uid="{DCCEEFE5-A7B3-4E47-80E9-9A977D5E2954}" name="COMPLETION" dataDxfId="94" dataCellStyle="Normal 2">
      <calculatedColumnFormula>IFERROR(IF(OR(Tbl_Summary[[#This Row],[NO]]="",Tbl_Summary[[#This Row],[NO]]="N/A"),"",_xlfn.XLOOKUP(Tbl_Summary[[#This Row],[NO]],Tbl_SM[NO],Tbl_SM[COMPLETION])),"")</calculatedColumnFormula>
    </tableColumn>
    <tableColumn id="12" xr3:uid="{ADAEE855-687A-4441-831C-F515DE522760}" name="COMPLETION_FLAG" dataDxfId="93" dataCellStyle="Normal 2">
      <calculatedColumnFormula>IFERROR(IF(OR(Tbl_Summary[[#This Row],[NO]]="",Tbl_Summary[[#This Row],[NO]]="N/A"),"",_xlfn.XLOOKUP(Tbl_Summary[[#This Row],[NO]],Tbl_SM[NO],Tbl_SM[COMPLETION_FLAG])),"")</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5245E3-64CA-4F1E-B0E6-16FFB3D5B8D7}" name="Table8" displayName="Table8" ref="AU8:CB39" totalsRowShown="0" headerRowDxfId="92">
  <autoFilter ref="AU8:CB39" xr:uid="{285245E3-64CA-4F1E-B0E6-16FFB3D5B8D7}"/>
  <tableColumns count="34">
    <tableColumn id="1" xr3:uid="{DA7E2988-254B-48F1-B4E4-A456DB7333C5}" name="NO" dataDxfId="91">
      <calculatedColumnFormula>IF(ROWS($Z$15:Z15)&gt;COUNTA(Tbl_SM[NO]),"N/A",ROWS($Z$15:Z15))</calculatedColumnFormula>
    </tableColumn>
    <tableColumn id="2" xr3:uid="{C425F283-D36C-4971-B8C1-1BC6C65DEF4F}" name="5 FACTOR" dataDxfId="90">
      <calculatedColumnFormula>IF(OR(Table8[[#This Row],[NO]]="",Table8[[#This Row],[NO]]="N/A"),"",_xlfn.XLOOKUP(Table8[[#This Row],[NO]],Tbl_SM[NO],Tbl_SM[5 FACTOR]))</calculatedColumnFormula>
    </tableColumn>
    <tableColumn id="3" xr3:uid="{8D6028C8-786B-4D39-BC49-A52A23B7D606}" name="CATEGORY" dataDxfId="89">
      <calculatedColumnFormula>IF(OR(Table8[[#This Row],[NO]]="",Table8[[#This Row],[NO]]="N/A"),"",_xlfn.XLOOKUP(Table8[[#This Row],[NO]],Tbl_SM[NO],Tbl_SM[CATEGORY]))</calculatedColumnFormula>
    </tableColumn>
    <tableColumn id="4" xr3:uid="{262574B1-E393-4575-80E2-5D8730FB3C44}" name="1" dataDxfId="88">
      <calculatedColumnFormula>'Activity Plan'!GU8</calculatedColumnFormula>
    </tableColumn>
    <tableColumn id="5" xr3:uid="{14EEF8FF-E08F-4F08-8E01-143182229E2D}" name="2">
      <calculatedColumnFormula>'Activity Plan'!GV8</calculatedColumnFormula>
    </tableColumn>
    <tableColumn id="6" xr3:uid="{6187E062-C962-4457-BE1B-FB2A8B1FD1F4}" name="3">
      <calculatedColumnFormula>'Activity Plan'!GW8</calculatedColumnFormula>
    </tableColumn>
    <tableColumn id="7" xr3:uid="{4B5EE185-DE69-4E26-BCC4-FF51C0D153DD}" name="4">
      <calculatedColumnFormula>'Activity Plan'!GX8</calculatedColumnFormula>
    </tableColumn>
    <tableColumn id="8" xr3:uid="{D313F673-5CC1-424A-A177-96C8251E27C4}" name="5">
      <calculatedColumnFormula>'Activity Plan'!GY8</calculatedColumnFormula>
    </tableColumn>
    <tableColumn id="9" xr3:uid="{485C95FB-3B15-4373-BD29-BA30757DB7FE}" name="6">
      <calculatedColumnFormula>'Activity Plan'!GZ8</calculatedColumnFormula>
    </tableColumn>
    <tableColumn id="10" xr3:uid="{74475C47-22DE-4C86-BCA6-E78B8AC7FABE}" name="7">
      <calculatedColumnFormula>'Activity Plan'!HA8</calculatedColumnFormula>
    </tableColumn>
    <tableColumn id="11" xr3:uid="{BE4514D5-06FB-4886-96AA-94AEA3926F7B}" name="8">
      <calculatedColumnFormula>'Activity Plan'!HB8</calculatedColumnFormula>
    </tableColumn>
    <tableColumn id="12" xr3:uid="{11CBF1B6-6280-4774-A561-6B642C0F19BA}" name="9">
      <calculatedColumnFormula>'Activity Plan'!HC8</calculatedColumnFormula>
    </tableColumn>
    <tableColumn id="13" xr3:uid="{F06C2682-4528-4D93-BF49-80D0A8B1FA39}" name="10">
      <calculatedColumnFormula>'Activity Plan'!HD8</calculatedColumnFormula>
    </tableColumn>
    <tableColumn id="14" xr3:uid="{3288AFA9-5814-43AB-9140-2CC14640064D}" name="11">
      <calculatedColumnFormula>'Activity Plan'!HE8</calculatedColumnFormula>
    </tableColumn>
    <tableColumn id="15" xr3:uid="{95FE21FE-EB87-400B-B57E-9D8466A95026}" name="12">
      <calculatedColumnFormula>'Activity Plan'!HF8</calculatedColumnFormula>
    </tableColumn>
    <tableColumn id="16" xr3:uid="{7ABEFB55-F7A7-4AD2-9334-D55B6F462220}" name="13">
      <calculatedColumnFormula>'Activity Plan'!HG8</calculatedColumnFormula>
    </tableColumn>
    <tableColumn id="17" xr3:uid="{EE650341-882E-4333-8CBD-07B357A8584F}" name="14">
      <calculatedColumnFormula>'Activity Plan'!HH8</calculatedColumnFormula>
    </tableColumn>
    <tableColumn id="18" xr3:uid="{56CAED18-A81C-4EA1-AE9B-AEA58575E6A8}" name="15">
      <calculatedColumnFormula>'Activity Plan'!HI8</calculatedColumnFormula>
    </tableColumn>
    <tableColumn id="19" xr3:uid="{6EFB2419-7CD3-4020-899E-A43DB2269203}" name="16">
      <calculatedColumnFormula>'Activity Plan'!HJ8</calculatedColumnFormula>
    </tableColumn>
    <tableColumn id="20" xr3:uid="{C99648EC-3CCA-49DB-8BE1-7E9D948E2962}" name="17">
      <calculatedColumnFormula>'Activity Plan'!HK8</calculatedColumnFormula>
    </tableColumn>
    <tableColumn id="21" xr3:uid="{E8180B07-DFD9-4C49-B88F-19E9BF32D0BC}" name="18">
      <calculatedColumnFormula>'Activity Plan'!HL8</calculatedColumnFormula>
    </tableColumn>
    <tableColumn id="22" xr3:uid="{453CB58E-BF26-44AA-8A87-69AE6D63A090}" name="19">
      <calculatedColumnFormula>'Activity Plan'!HM8</calculatedColumnFormula>
    </tableColumn>
    <tableColumn id="23" xr3:uid="{12166DBE-427C-4CC2-B3E2-5CBEA1BDEF71}" name="20">
      <calculatedColumnFormula>'Activity Plan'!HN8</calculatedColumnFormula>
    </tableColumn>
    <tableColumn id="24" xr3:uid="{631FCA34-86A5-42F2-B71E-60F04AF4C224}" name="21">
      <calculatedColumnFormula>'Activity Plan'!HO8</calculatedColumnFormula>
    </tableColumn>
    <tableColumn id="25" xr3:uid="{B1D76326-4A9E-48F7-A79C-7191280784AC}" name="22">
      <calculatedColumnFormula>'Activity Plan'!HP8</calculatedColumnFormula>
    </tableColumn>
    <tableColumn id="26" xr3:uid="{F29754E3-8A00-4224-8AA3-928A8658CA3C}" name="23">
      <calculatedColumnFormula>'Activity Plan'!HQ8</calculatedColumnFormula>
    </tableColumn>
    <tableColumn id="27" xr3:uid="{D207C134-0262-438F-9C8E-7427B1F7B226}" name="24">
      <calculatedColumnFormula>'Activity Plan'!HR8</calculatedColumnFormula>
    </tableColumn>
    <tableColumn id="28" xr3:uid="{CE790E17-0FC7-4447-8AA4-0A63E2BAAB19}" name="25">
      <calculatedColumnFormula>'Activity Plan'!HS8</calculatedColumnFormula>
    </tableColumn>
    <tableColumn id="29" xr3:uid="{F5F6277E-9689-462E-BDCB-E06724D73FBB}" name="26">
      <calculatedColumnFormula>'Activity Plan'!HT8</calculatedColumnFormula>
    </tableColumn>
    <tableColumn id="30" xr3:uid="{4061747A-D55D-467F-8624-EB799FC290C1}" name="27">
      <calculatedColumnFormula>'Activity Plan'!HU8</calculatedColumnFormula>
    </tableColumn>
    <tableColumn id="31" xr3:uid="{494FCAE3-821D-4658-8F0B-4BC9D48F2FB1}" name="28">
      <calculatedColumnFormula>'Activity Plan'!HV8</calculatedColumnFormula>
    </tableColumn>
    <tableColumn id="32" xr3:uid="{3DB6A007-E494-43AE-849B-D796EF450E24}" name="29">
      <calculatedColumnFormula>'Activity Plan'!HW8</calculatedColumnFormula>
    </tableColumn>
    <tableColumn id="33" xr3:uid="{8DDED8A3-4D68-421A-997A-E83C9ABFD65E}" name="30">
      <calculatedColumnFormula>'Activity Plan'!HX8</calculatedColumnFormula>
    </tableColumn>
    <tableColumn id="34" xr3:uid="{B33F1216-001F-42C7-91B8-726B12DB1083}" name="31">
      <calculatedColumnFormula>'Activity Plan'!HY8</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3D7E5-D3EF-483B-9878-44EC726FD665}" name="Table8_1" displayName="Table8_1" ref="CF3:CJ787" tableType="queryTable" totalsRowShown="0">
  <autoFilter ref="CF3:CJ787" xr:uid="{A963D7E5-D3EF-483B-9878-44EC726FD665}"/>
  <tableColumns count="5">
    <tableColumn id="1" xr3:uid="{F127048D-B3ED-408E-A6AE-9D57EA58116C}" uniqueName="1" name="NO" queryTableFieldId="1"/>
    <tableColumn id="2" xr3:uid="{7979708A-3DD2-40C1-9B54-B8D1279C29E5}" uniqueName="2" name="5 FACTOR" queryTableFieldId="2" dataDxfId="87"/>
    <tableColumn id="3" xr3:uid="{2A5184D9-B942-4406-A403-CA8B1AE961B5}" uniqueName="3" name="CATEGORY" queryTableFieldId="3" dataDxfId="86"/>
    <tableColumn id="4" xr3:uid="{46FD583A-6D45-44D5-A2A7-01F2107A4752}" uniqueName="4" name="Attribute" queryTableFieldId="4" dataDxfId="85"/>
    <tableColumn id="5" xr3:uid="{535582CF-8B67-46CE-9B0E-A31AB33E2678}" uniqueName="5" name="Value" queryTableFieldId="5" dataDxfId="84" dataCellStyle="Percent"/>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249C89-9BB8-4206-9348-61A9B5836DEE}" name="Table10" displayName="Table10" ref="CL3:CP313" totalsRowShown="0" headerRowDxfId="83" dataDxfId="81" headerRowBorderDxfId="82" tableBorderDxfId="80">
  <autoFilter ref="CL3:CP313" xr:uid="{FB249C89-9BB8-4206-9348-61A9B5836DEE}"/>
  <tableColumns count="5">
    <tableColumn id="5" xr3:uid="{7282B936-36EF-4613-9F3E-CD357C499D72}" name="SS" dataDxfId="79"/>
    <tableColumn id="1" xr3:uid="{07070BE6-9B26-40BA-A2AB-0345ED9C0322}" name="PARAMETER" dataDxfId="78"/>
    <tableColumn id="2" xr3:uid="{17C16AA1-6728-4CC2-8888-E1BCD0F18D60}" name="CATEGORY" dataDxfId="77"/>
    <tableColumn id="3" xr3:uid="{6649C5D3-514C-4797-87B4-7E26B3002558}" name="DATE" dataDxfId="76"/>
    <tableColumn id="4" xr3:uid="{DA8305E3-7D52-4E7D-9B22-4339D53D171A}" name="VALUE" dataDxfId="75" dataCellStyle="Percent"/>
  </tableColumns>
  <tableStyleInfo name="TableStyleMedium2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F49CAA-C74B-4D0A-9B55-29895A51D2E1}" name="TBL_ACHIVEMENT" displayName="TBL_ACHIVEMENT" ref="AA3:AD65" totalsRowShown="0" headerRowDxfId="74" dataDxfId="72" headerRowBorderDxfId="73" tableBorderDxfId="71">
  <autoFilter ref="AA3:AD65" xr:uid="{B8F49CAA-C74B-4D0A-9B55-29895A51D2E1}"/>
  <tableColumns count="4">
    <tableColumn id="1" xr3:uid="{92ED05EC-40C7-41E8-9134-F24CB9DDC47B}" name="PARAMETER" dataDxfId="70"/>
    <tableColumn id="2" xr3:uid="{DF7554A2-51DD-4107-8709-862286DB29AB}" name="CATEGORY" dataDxfId="69"/>
    <tableColumn id="3" xr3:uid="{58CA0AC1-789E-4A87-A449-07F955A9A241}" name="DATE" dataDxfId="68"/>
    <tableColumn id="4" xr3:uid="{F8D08E1C-4E73-4C8B-B73C-A96C2B91F8AF}" name="VALUE" dataDxfId="6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02D75-BEA6-46B6-9A62-AD2A31E4E116}" name="Tbl_MTTR" displayName="Tbl_MTTR" ref="Q3:T65" totalsRowShown="0">
  <autoFilter ref="Q3:T65" xr:uid="{BA802D75-BEA6-46B6-9A62-AD2A31E4E116}"/>
  <tableColumns count="4">
    <tableColumn id="1" xr3:uid="{32F5255C-12BD-4D60-BD4B-CF359155210C}" name="PARAMETER"/>
    <tableColumn id="2" xr3:uid="{DF74EB29-B780-4989-B747-9F09BE4E5AE3}" name="CATEGORY"/>
    <tableColumn id="3" xr3:uid="{70426C4A-781C-4C56-B770-4B5183C5206E}" name="DATE"/>
    <tableColumn id="4" xr3:uid="{E4D1BF89-9833-4C85-AE44-70F91CD79E26}" name="VALUE" dataDxfId="66" dataCellStyle="Percent">
      <calculatedColumnFormula array="1">IF(INDEX('Activity Plan'!$S$34:$AW$99,
MATCH("*"&amp;TRIM($Q4)&amp;"*",'Activity Plan'!$D$35:$D$100,0)+MATCH($R4,{"PLAN";"ACTUAL";"ACHIVE"},0)-1,
MATCH($S4,DAY('Activity Plan'!$S$7:$AW$7),0))=0,
"N/A",
INDEX('Activity Plan'!$S$34:$AW$99,
MATCH("*"&amp;TRIM($Q4)&amp;"*",'Activity Plan'!$D$35:$D$100,0)+MATCH($R4,{"PLAN";"ACTUAL";"ACHIVE"},0)-1,
MATCH($S4,DAY('Activity Plan'!$S$7:$AW$7),0)))</calculatedColumnFormula>
    </tableColumn>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11C68D3-357F-4AD5-82C3-9EDE43F582A0}" name="Tbl_PvsA" displayName="Tbl_PvsA" ref="CU3:CW65" totalsRowShown="0">
  <autoFilter ref="CU3:CW65" xr:uid="{911C68D3-357F-4AD5-82C3-9EDE43F582A0}"/>
  <tableColumns count="3">
    <tableColumn id="1" xr3:uid="{F8CCA3B7-0598-4464-B276-BC1255CE1A7B}" name="DAY"/>
    <tableColumn id="2" xr3:uid="{3F265F2A-263C-4E33-AFF7-22A1CAFB9A09}" name="TYPE"/>
    <tableColumn id="3" xr3:uid="{0822BC0E-6BAB-4E2C-92F1-589D1FBB67B1}" name="ACHIEVEMENT" dataDxfId="65" dataCellStyle="Percent"/>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5FE59C-88FA-44D4-8DAA-4F2E9D3F2B0A}" name="SUM_ACT" displayName="SUM_ACT" ref="CZ3:DF34" totalsRowShown="0">
  <autoFilter ref="CZ3:DF34" xr:uid="{A75FE59C-88FA-44D4-8DAA-4F2E9D3F2B0A}"/>
  <tableColumns count="7">
    <tableColumn id="1" xr3:uid="{94C23798-5026-427F-A2EA-DCF4A020A725}" name="DATE">
      <calculatedColumnFormula array="1">_xlfn.SEQUENCE(31)</calculatedColumnFormula>
    </tableColumn>
    <tableColumn id="2" xr3:uid="{8F399D2B-A301-49B0-A75F-AC5BBD694536}" name="DAILY_PLAN" dataDxfId="64">
      <calculatedColumnFormula>SUMIFS(TBL_ACHIVEMENT[VALUE],
        TBL_ACHIVEMENT[DATE],TBL_ACHIVEMENT[[#This Row],[DATE]],
        TBL_ACHIVEMENT[CATEGORY],"PLAN")</calculatedColumnFormula>
    </tableColumn>
    <tableColumn id="3" xr3:uid="{93978AD4-9B0A-4765-AEDB-FB3388E2763E}" name="DAILY_ACTUAL" dataDxfId="63">
      <calculatedColumnFormula>SUMIFS(TBL_ACHIVEMENT[VALUE],
        TBL_ACHIVEMENT[DATE],TBL_ACHIVEMENT[[#This Row],[DATE]],
        TBL_ACHIVEMENT[CATEGORY],"ACTUAL")</calculatedColumnFormula>
    </tableColumn>
    <tableColumn id="4" xr3:uid="{F9F6A2C3-CE8F-415F-A90F-5975784C7A4F}" name="DOZER_READINESS" dataDxfId="62">
      <calculatedColumnFormula>SUMIFS(TBL_DOZER_READINESS[VALUE],
        TBL_DOZER_READINESS[DATE],TBL_DOZER_READINESS[[#This Row],[DATE]],
        TBL_DOZER_READINESS[CATEGORY],"ACTUAL")</calculatedColumnFormula>
    </tableColumn>
    <tableColumn id="5" xr3:uid="{34C9611B-9D30-4577-8EA3-DD4B0EDC352B}" name="PA_DOZER" dataDxfId="61" dataCellStyle="Percent">
      <calculatedColumnFormula>SUMIFS(TBL_PA_DOZER[VALUE],
TBL_PA_DOZER[DATE],TBL_PA_DOZER[[#This Row],[DATE]],
TBL_PA_DOZER[CATEGORY],"ACTUAL")</calculatedColumnFormula>
    </tableColumn>
    <tableColumn id="6" xr3:uid="{2C12D971-4B95-4659-B2C7-36A0D8DD880C}" name="MTBF">
      <calculatedColumnFormula>SUMIFS(Tbl_MTBF[VALUE],
Tbl_MTBF[DATE],Tbl_MTBF[[#This Row],[DATE]],
Tbl_MTBF[CATEGORY],"ACTUAL")</calculatedColumnFormula>
    </tableColumn>
    <tableColumn id="7" xr3:uid="{508E2BEC-0CF0-4FDC-AADE-C75A69DD4056}" name="MTTR">
      <calculatedColumnFormula>SUMIFS(Tbl_MTTR[VALUE],
Tbl_MTTR[DATE],Tbl_MTTR[[#This Row],[DATE]],
Tbl_MTTR[CATEGORY],"ACTUAL")</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EA33-4A09-451D-8282-60A5015BBB75}">
  <sheetPr codeName="Sheet2">
    <tabColor rgb="FF002060"/>
  </sheetPr>
  <dimension ref="A1:KH67"/>
  <sheetViews>
    <sheetView tabSelected="1" topLeftCell="A20" zoomScale="70" zoomScaleNormal="70" workbookViewId="0">
      <selection activeCell="B25" sqref="B25:B31"/>
    </sheetView>
  </sheetViews>
  <sheetFormatPr defaultColWidth="9.08984375" defaultRowHeight="14.5" x14ac:dyDescent="0.35"/>
  <cols>
    <col min="1" max="1" width="1.81640625" style="1" customWidth="1"/>
    <col min="2" max="2" width="6.26953125" style="1" customWidth="1"/>
    <col min="3" max="3" width="18.36328125" style="8" customWidth="1"/>
    <col min="4" max="4" width="52" style="1" customWidth="1"/>
    <col min="5" max="5" width="15.36328125" style="15" customWidth="1"/>
    <col min="6" max="6" width="41.08984375" style="1" customWidth="1"/>
    <col min="7" max="7" width="16.54296875" style="1" customWidth="1"/>
    <col min="8" max="8" width="17" style="1" customWidth="1"/>
    <col min="9" max="9" width="15.7265625" style="1" customWidth="1"/>
    <col min="10" max="10" width="20.81640625" style="1" customWidth="1"/>
    <col min="11" max="11" width="20" style="1" customWidth="1"/>
    <col min="12" max="12" width="19.6328125" style="1" customWidth="1"/>
    <col min="13" max="13" width="23.81640625" style="1" customWidth="1"/>
    <col min="14" max="15" width="23" style="1" customWidth="1"/>
    <col min="16" max="16" width="22.36328125" style="1" customWidth="1"/>
    <col min="17" max="17" width="26.1796875" style="15" hidden="1" customWidth="1"/>
    <col min="18" max="18" width="3.90625" style="31" customWidth="1"/>
    <col min="19" max="50" width="11.26953125" style="1" customWidth="1"/>
    <col min="51" max="51" width="11.26953125" style="15" customWidth="1"/>
    <col min="52" max="81" width="11.26953125" style="1" customWidth="1"/>
    <col min="82" max="82" width="11.26953125" style="15" customWidth="1"/>
    <col min="83" max="109" width="11.26953125" style="1" customWidth="1"/>
    <col min="110" max="110" width="4.6328125" style="1" customWidth="1"/>
    <col min="111" max="111" width="7.26953125" style="31" customWidth="1"/>
    <col min="112" max="112" width="7.26953125" style="15" customWidth="1"/>
    <col min="113" max="201" width="7.26953125" style="1" customWidth="1"/>
    <col min="202" max="202" width="4.6328125" style="1" customWidth="1"/>
    <col min="203" max="293" width="7.26953125" style="1" customWidth="1"/>
    <col min="294" max="354" width="9.08984375" style="1"/>
    <col min="355" max="355" width="1.81640625" style="1" customWidth="1"/>
    <col min="356" max="356" width="13.54296875" style="1" customWidth="1"/>
    <col min="357" max="357" width="29" style="1" customWidth="1"/>
    <col min="358" max="358" width="25.08984375" style="1" customWidth="1"/>
    <col min="359" max="359" width="25.26953125" style="1" customWidth="1"/>
    <col min="360" max="360" width="25.08984375" style="1" customWidth="1"/>
    <col min="361" max="361" width="23" style="1" customWidth="1"/>
    <col min="362" max="610" width="9.08984375" style="1"/>
    <col min="611" max="611" width="1.81640625" style="1" customWidth="1"/>
    <col min="612" max="612" width="13.54296875" style="1" customWidth="1"/>
    <col min="613" max="613" width="29" style="1" customWidth="1"/>
    <col min="614" max="614" width="25.08984375" style="1" customWidth="1"/>
    <col min="615" max="615" width="25.26953125" style="1" customWidth="1"/>
    <col min="616" max="616" width="25.08984375" style="1" customWidth="1"/>
    <col min="617" max="617" width="23" style="1" customWidth="1"/>
    <col min="618" max="866" width="9.08984375" style="1"/>
    <col min="867" max="867" width="1.81640625" style="1" customWidth="1"/>
    <col min="868" max="868" width="13.54296875" style="1" customWidth="1"/>
    <col min="869" max="869" width="29" style="1" customWidth="1"/>
    <col min="870" max="870" width="25.08984375" style="1" customWidth="1"/>
    <col min="871" max="871" width="25.26953125" style="1" customWidth="1"/>
    <col min="872" max="872" width="25.08984375" style="1" customWidth="1"/>
    <col min="873" max="873" width="23" style="1" customWidth="1"/>
    <col min="874" max="1122" width="9.08984375" style="1"/>
    <col min="1123" max="1123" width="1.81640625" style="1" customWidth="1"/>
    <col min="1124" max="1124" width="13.54296875" style="1" customWidth="1"/>
    <col min="1125" max="1125" width="29" style="1" customWidth="1"/>
    <col min="1126" max="1126" width="25.08984375" style="1" customWidth="1"/>
    <col min="1127" max="1127" width="25.26953125" style="1" customWidth="1"/>
    <col min="1128" max="1128" width="25.08984375" style="1" customWidth="1"/>
    <col min="1129" max="1129" width="23" style="1" customWidth="1"/>
    <col min="1130" max="1378" width="9.08984375" style="1"/>
    <col min="1379" max="1379" width="1.81640625" style="1" customWidth="1"/>
    <col min="1380" max="1380" width="13.54296875" style="1" customWidth="1"/>
    <col min="1381" max="1381" width="29" style="1" customWidth="1"/>
    <col min="1382" max="1382" width="25.08984375" style="1" customWidth="1"/>
    <col min="1383" max="1383" width="25.26953125" style="1" customWidth="1"/>
    <col min="1384" max="1384" width="25.08984375" style="1" customWidth="1"/>
    <col min="1385" max="1385" width="23" style="1" customWidth="1"/>
    <col min="1386" max="1634" width="9.08984375" style="1"/>
    <col min="1635" max="1635" width="1.81640625" style="1" customWidth="1"/>
    <col min="1636" max="1636" width="13.54296875" style="1" customWidth="1"/>
    <col min="1637" max="1637" width="29" style="1" customWidth="1"/>
    <col min="1638" max="1638" width="25.08984375" style="1" customWidth="1"/>
    <col min="1639" max="1639" width="25.26953125" style="1" customWidth="1"/>
    <col min="1640" max="1640" width="25.08984375" style="1" customWidth="1"/>
    <col min="1641" max="1641" width="23" style="1" customWidth="1"/>
    <col min="1642" max="1890" width="9.08984375" style="1"/>
    <col min="1891" max="1891" width="1.81640625" style="1" customWidth="1"/>
    <col min="1892" max="1892" width="13.54296875" style="1" customWidth="1"/>
    <col min="1893" max="1893" width="29" style="1" customWidth="1"/>
    <col min="1894" max="1894" width="25.08984375" style="1" customWidth="1"/>
    <col min="1895" max="1895" width="25.26953125" style="1" customWidth="1"/>
    <col min="1896" max="1896" width="25.08984375" style="1" customWidth="1"/>
    <col min="1897" max="1897" width="23" style="1" customWidth="1"/>
    <col min="1898" max="2146" width="9.08984375" style="1"/>
    <col min="2147" max="2147" width="1.81640625" style="1" customWidth="1"/>
    <col min="2148" max="2148" width="13.54296875" style="1" customWidth="1"/>
    <col min="2149" max="2149" width="29" style="1" customWidth="1"/>
    <col min="2150" max="2150" width="25.08984375" style="1" customWidth="1"/>
    <col min="2151" max="2151" width="25.26953125" style="1" customWidth="1"/>
    <col min="2152" max="2152" width="25.08984375" style="1" customWidth="1"/>
    <col min="2153" max="2153" width="23" style="1" customWidth="1"/>
    <col min="2154" max="2402" width="9.08984375" style="1"/>
    <col min="2403" max="2403" width="1.81640625" style="1" customWidth="1"/>
    <col min="2404" max="2404" width="13.54296875" style="1" customWidth="1"/>
    <col min="2405" max="2405" width="29" style="1" customWidth="1"/>
    <col min="2406" max="2406" width="25.08984375" style="1" customWidth="1"/>
    <col min="2407" max="2407" width="25.26953125" style="1" customWidth="1"/>
    <col min="2408" max="2408" width="25.08984375" style="1" customWidth="1"/>
    <col min="2409" max="2409" width="23" style="1" customWidth="1"/>
    <col min="2410" max="2658" width="9.08984375" style="1"/>
    <col min="2659" max="2659" width="1.81640625" style="1" customWidth="1"/>
    <col min="2660" max="2660" width="13.54296875" style="1" customWidth="1"/>
    <col min="2661" max="2661" width="29" style="1" customWidth="1"/>
    <col min="2662" max="2662" width="25.08984375" style="1" customWidth="1"/>
    <col min="2663" max="2663" width="25.26953125" style="1" customWidth="1"/>
    <col min="2664" max="2664" width="25.08984375" style="1" customWidth="1"/>
    <col min="2665" max="2665" width="23" style="1" customWidth="1"/>
    <col min="2666" max="2914" width="9.08984375" style="1"/>
    <col min="2915" max="2915" width="1.81640625" style="1" customWidth="1"/>
    <col min="2916" max="2916" width="13.54296875" style="1" customWidth="1"/>
    <col min="2917" max="2917" width="29" style="1" customWidth="1"/>
    <col min="2918" max="2918" width="25.08984375" style="1" customWidth="1"/>
    <col min="2919" max="2919" width="25.26953125" style="1" customWidth="1"/>
    <col min="2920" max="2920" width="25.08984375" style="1" customWidth="1"/>
    <col min="2921" max="2921" width="23" style="1" customWidth="1"/>
    <col min="2922" max="3170" width="9.08984375" style="1"/>
    <col min="3171" max="3171" width="1.81640625" style="1" customWidth="1"/>
    <col min="3172" max="3172" width="13.54296875" style="1" customWidth="1"/>
    <col min="3173" max="3173" width="29" style="1" customWidth="1"/>
    <col min="3174" max="3174" width="25.08984375" style="1" customWidth="1"/>
    <col min="3175" max="3175" width="25.26953125" style="1" customWidth="1"/>
    <col min="3176" max="3176" width="25.08984375" style="1" customWidth="1"/>
    <col min="3177" max="3177" width="23" style="1" customWidth="1"/>
    <col min="3178" max="3426" width="9.08984375" style="1"/>
    <col min="3427" max="3427" width="1.81640625" style="1" customWidth="1"/>
    <col min="3428" max="3428" width="13.54296875" style="1" customWidth="1"/>
    <col min="3429" max="3429" width="29" style="1" customWidth="1"/>
    <col min="3430" max="3430" width="25.08984375" style="1" customWidth="1"/>
    <col min="3431" max="3431" width="25.26953125" style="1" customWidth="1"/>
    <col min="3432" max="3432" width="25.08984375" style="1" customWidth="1"/>
    <col min="3433" max="3433" width="23" style="1" customWidth="1"/>
    <col min="3434" max="3682" width="9.08984375" style="1"/>
    <col min="3683" max="3683" width="1.81640625" style="1" customWidth="1"/>
    <col min="3684" max="3684" width="13.54296875" style="1" customWidth="1"/>
    <col min="3685" max="3685" width="29" style="1" customWidth="1"/>
    <col min="3686" max="3686" width="25.08984375" style="1" customWidth="1"/>
    <col min="3687" max="3687" width="25.26953125" style="1" customWidth="1"/>
    <col min="3688" max="3688" width="25.08984375" style="1" customWidth="1"/>
    <col min="3689" max="3689" width="23" style="1" customWidth="1"/>
    <col min="3690" max="3938" width="9.08984375" style="1"/>
    <col min="3939" max="3939" width="1.81640625" style="1" customWidth="1"/>
    <col min="3940" max="3940" width="13.54296875" style="1" customWidth="1"/>
    <col min="3941" max="3941" width="29" style="1" customWidth="1"/>
    <col min="3942" max="3942" width="25.08984375" style="1" customWidth="1"/>
    <col min="3943" max="3943" width="25.26953125" style="1" customWidth="1"/>
    <col min="3944" max="3944" width="25.08984375" style="1" customWidth="1"/>
    <col min="3945" max="3945" width="23" style="1" customWidth="1"/>
    <col min="3946" max="4194" width="9.08984375" style="1"/>
    <col min="4195" max="4195" width="1.81640625" style="1" customWidth="1"/>
    <col min="4196" max="4196" width="13.54296875" style="1" customWidth="1"/>
    <col min="4197" max="4197" width="29" style="1" customWidth="1"/>
    <col min="4198" max="4198" width="25.08984375" style="1" customWidth="1"/>
    <col min="4199" max="4199" width="25.26953125" style="1" customWidth="1"/>
    <col min="4200" max="4200" width="25.08984375" style="1" customWidth="1"/>
    <col min="4201" max="4201" width="23" style="1" customWidth="1"/>
    <col min="4202" max="4450" width="9.08984375" style="1"/>
    <col min="4451" max="4451" width="1.81640625" style="1" customWidth="1"/>
    <col min="4452" max="4452" width="13.54296875" style="1" customWidth="1"/>
    <col min="4453" max="4453" width="29" style="1" customWidth="1"/>
    <col min="4454" max="4454" width="25.08984375" style="1" customWidth="1"/>
    <col min="4455" max="4455" width="25.26953125" style="1" customWidth="1"/>
    <col min="4456" max="4456" width="25.08984375" style="1" customWidth="1"/>
    <col min="4457" max="4457" width="23" style="1" customWidth="1"/>
    <col min="4458" max="4706" width="9.08984375" style="1"/>
    <col min="4707" max="4707" width="1.81640625" style="1" customWidth="1"/>
    <col min="4708" max="4708" width="13.54296875" style="1" customWidth="1"/>
    <col min="4709" max="4709" width="29" style="1" customWidth="1"/>
    <col min="4710" max="4710" width="25.08984375" style="1" customWidth="1"/>
    <col min="4711" max="4711" width="25.26953125" style="1" customWidth="1"/>
    <col min="4712" max="4712" width="25.08984375" style="1" customWidth="1"/>
    <col min="4713" max="4713" width="23" style="1" customWidth="1"/>
    <col min="4714" max="4962" width="9.08984375" style="1"/>
    <col min="4963" max="4963" width="1.81640625" style="1" customWidth="1"/>
    <col min="4964" max="4964" width="13.54296875" style="1" customWidth="1"/>
    <col min="4965" max="4965" width="29" style="1" customWidth="1"/>
    <col min="4966" max="4966" width="25.08984375" style="1" customWidth="1"/>
    <col min="4967" max="4967" width="25.26953125" style="1" customWidth="1"/>
    <col min="4968" max="4968" width="25.08984375" style="1" customWidth="1"/>
    <col min="4969" max="4969" width="23" style="1" customWidth="1"/>
    <col min="4970" max="5218" width="9.08984375" style="1"/>
    <col min="5219" max="5219" width="1.81640625" style="1" customWidth="1"/>
    <col min="5220" max="5220" width="13.54296875" style="1" customWidth="1"/>
    <col min="5221" max="5221" width="29" style="1" customWidth="1"/>
    <col min="5222" max="5222" width="25.08984375" style="1" customWidth="1"/>
    <col min="5223" max="5223" width="25.26953125" style="1" customWidth="1"/>
    <col min="5224" max="5224" width="25.08984375" style="1" customWidth="1"/>
    <col min="5225" max="5225" width="23" style="1" customWidth="1"/>
    <col min="5226" max="5474" width="9.08984375" style="1"/>
    <col min="5475" max="5475" width="1.81640625" style="1" customWidth="1"/>
    <col min="5476" max="5476" width="13.54296875" style="1" customWidth="1"/>
    <col min="5477" max="5477" width="29" style="1" customWidth="1"/>
    <col min="5478" max="5478" width="25.08984375" style="1" customWidth="1"/>
    <col min="5479" max="5479" width="25.26953125" style="1" customWidth="1"/>
    <col min="5480" max="5480" width="25.08984375" style="1" customWidth="1"/>
    <col min="5481" max="5481" width="23" style="1" customWidth="1"/>
    <col min="5482" max="5730" width="9.08984375" style="1"/>
    <col min="5731" max="5731" width="1.81640625" style="1" customWidth="1"/>
    <col min="5732" max="5732" width="13.54296875" style="1" customWidth="1"/>
    <col min="5733" max="5733" width="29" style="1" customWidth="1"/>
    <col min="5734" max="5734" width="25.08984375" style="1" customWidth="1"/>
    <col min="5735" max="5735" width="25.26953125" style="1" customWidth="1"/>
    <col min="5736" max="5736" width="25.08984375" style="1" customWidth="1"/>
    <col min="5737" max="5737" width="23" style="1" customWidth="1"/>
    <col min="5738" max="5986" width="9.08984375" style="1"/>
    <col min="5987" max="5987" width="1.81640625" style="1" customWidth="1"/>
    <col min="5988" max="5988" width="13.54296875" style="1" customWidth="1"/>
    <col min="5989" max="5989" width="29" style="1" customWidth="1"/>
    <col min="5990" max="5990" width="25.08984375" style="1" customWidth="1"/>
    <col min="5991" max="5991" width="25.26953125" style="1" customWidth="1"/>
    <col min="5992" max="5992" width="25.08984375" style="1" customWidth="1"/>
    <col min="5993" max="5993" width="23" style="1" customWidth="1"/>
    <col min="5994" max="6242" width="9.08984375" style="1"/>
    <col min="6243" max="6243" width="1.81640625" style="1" customWidth="1"/>
    <col min="6244" max="6244" width="13.54296875" style="1" customWidth="1"/>
    <col min="6245" max="6245" width="29" style="1" customWidth="1"/>
    <col min="6246" max="6246" width="25.08984375" style="1" customWidth="1"/>
    <col min="6247" max="6247" width="25.26953125" style="1" customWidth="1"/>
    <col min="6248" max="6248" width="25.08984375" style="1" customWidth="1"/>
    <col min="6249" max="6249" width="23" style="1" customWidth="1"/>
    <col min="6250" max="6498" width="9.08984375" style="1"/>
    <col min="6499" max="6499" width="1.81640625" style="1" customWidth="1"/>
    <col min="6500" max="6500" width="13.54296875" style="1" customWidth="1"/>
    <col min="6501" max="6501" width="29" style="1" customWidth="1"/>
    <col min="6502" max="6502" width="25.08984375" style="1" customWidth="1"/>
    <col min="6503" max="6503" width="25.26953125" style="1" customWidth="1"/>
    <col min="6504" max="6504" width="25.08984375" style="1" customWidth="1"/>
    <col min="6505" max="6505" width="23" style="1" customWidth="1"/>
    <col min="6506" max="6754" width="9.08984375" style="1"/>
    <col min="6755" max="6755" width="1.81640625" style="1" customWidth="1"/>
    <col min="6756" max="6756" width="13.54296875" style="1" customWidth="1"/>
    <col min="6757" max="6757" width="29" style="1" customWidth="1"/>
    <col min="6758" max="6758" width="25.08984375" style="1" customWidth="1"/>
    <col min="6759" max="6759" width="25.26953125" style="1" customWidth="1"/>
    <col min="6760" max="6760" width="25.08984375" style="1" customWidth="1"/>
    <col min="6761" max="6761" width="23" style="1" customWidth="1"/>
    <col min="6762" max="7010" width="9.08984375" style="1"/>
    <col min="7011" max="7011" width="1.81640625" style="1" customWidth="1"/>
    <col min="7012" max="7012" width="13.54296875" style="1" customWidth="1"/>
    <col min="7013" max="7013" width="29" style="1" customWidth="1"/>
    <col min="7014" max="7014" width="25.08984375" style="1" customWidth="1"/>
    <col min="7015" max="7015" width="25.26953125" style="1" customWidth="1"/>
    <col min="7016" max="7016" width="25.08984375" style="1" customWidth="1"/>
    <col min="7017" max="7017" width="23" style="1" customWidth="1"/>
    <col min="7018" max="7266" width="9.08984375" style="1"/>
    <col min="7267" max="7267" width="1.81640625" style="1" customWidth="1"/>
    <col min="7268" max="7268" width="13.54296875" style="1" customWidth="1"/>
    <col min="7269" max="7269" width="29" style="1" customWidth="1"/>
    <col min="7270" max="7270" width="25.08984375" style="1" customWidth="1"/>
    <col min="7271" max="7271" width="25.26953125" style="1" customWidth="1"/>
    <col min="7272" max="7272" width="25.08984375" style="1" customWidth="1"/>
    <col min="7273" max="7273" width="23" style="1" customWidth="1"/>
    <col min="7274" max="7522" width="9.08984375" style="1"/>
    <col min="7523" max="7523" width="1.81640625" style="1" customWidth="1"/>
    <col min="7524" max="7524" width="13.54296875" style="1" customWidth="1"/>
    <col min="7525" max="7525" width="29" style="1" customWidth="1"/>
    <col min="7526" max="7526" width="25.08984375" style="1" customWidth="1"/>
    <col min="7527" max="7527" width="25.26953125" style="1" customWidth="1"/>
    <col min="7528" max="7528" width="25.08984375" style="1" customWidth="1"/>
    <col min="7529" max="7529" width="23" style="1" customWidth="1"/>
    <col min="7530" max="7778" width="9.08984375" style="1"/>
    <col min="7779" max="7779" width="1.81640625" style="1" customWidth="1"/>
    <col min="7780" max="7780" width="13.54296875" style="1" customWidth="1"/>
    <col min="7781" max="7781" width="29" style="1" customWidth="1"/>
    <col min="7782" max="7782" width="25.08984375" style="1" customWidth="1"/>
    <col min="7783" max="7783" width="25.26953125" style="1" customWidth="1"/>
    <col min="7784" max="7784" width="25.08984375" style="1" customWidth="1"/>
    <col min="7785" max="7785" width="23" style="1" customWidth="1"/>
    <col min="7786" max="8034" width="9.08984375" style="1"/>
    <col min="8035" max="8035" width="1.81640625" style="1" customWidth="1"/>
    <col min="8036" max="8036" width="13.54296875" style="1" customWidth="1"/>
    <col min="8037" max="8037" width="29" style="1" customWidth="1"/>
    <col min="8038" max="8038" width="25.08984375" style="1" customWidth="1"/>
    <col min="8039" max="8039" width="25.26953125" style="1" customWidth="1"/>
    <col min="8040" max="8040" width="25.08984375" style="1" customWidth="1"/>
    <col min="8041" max="8041" width="23" style="1" customWidth="1"/>
    <col min="8042" max="8290" width="9.08984375" style="1"/>
    <col min="8291" max="8291" width="1.81640625" style="1" customWidth="1"/>
    <col min="8292" max="8292" width="13.54296875" style="1" customWidth="1"/>
    <col min="8293" max="8293" width="29" style="1" customWidth="1"/>
    <col min="8294" max="8294" width="25.08984375" style="1" customWidth="1"/>
    <col min="8295" max="8295" width="25.26953125" style="1" customWidth="1"/>
    <col min="8296" max="8296" width="25.08984375" style="1" customWidth="1"/>
    <col min="8297" max="8297" width="23" style="1" customWidth="1"/>
    <col min="8298" max="8546" width="9.08984375" style="1"/>
    <col min="8547" max="8547" width="1.81640625" style="1" customWidth="1"/>
    <col min="8548" max="8548" width="13.54296875" style="1" customWidth="1"/>
    <col min="8549" max="8549" width="29" style="1" customWidth="1"/>
    <col min="8550" max="8550" width="25.08984375" style="1" customWidth="1"/>
    <col min="8551" max="8551" width="25.26953125" style="1" customWidth="1"/>
    <col min="8552" max="8552" width="25.08984375" style="1" customWidth="1"/>
    <col min="8553" max="8553" width="23" style="1" customWidth="1"/>
    <col min="8554" max="8802" width="9.08984375" style="1"/>
    <col min="8803" max="8803" width="1.81640625" style="1" customWidth="1"/>
    <col min="8804" max="8804" width="13.54296875" style="1" customWidth="1"/>
    <col min="8805" max="8805" width="29" style="1" customWidth="1"/>
    <col min="8806" max="8806" width="25.08984375" style="1" customWidth="1"/>
    <col min="8807" max="8807" width="25.26953125" style="1" customWidth="1"/>
    <col min="8808" max="8808" width="25.08984375" style="1" customWidth="1"/>
    <col min="8809" max="8809" width="23" style="1" customWidth="1"/>
    <col min="8810" max="9058" width="9.08984375" style="1"/>
    <col min="9059" max="9059" width="1.81640625" style="1" customWidth="1"/>
    <col min="9060" max="9060" width="13.54296875" style="1" customWidth="1"/>
    <col min="9061" max="9061" width="29" style="1" customWidth="1"/>
    <col min="9062" max="9062" width="25.08984375" style="1" customWidth="1"/>
    <col min="9063" max="9063" width="25.26953125" style="1" customWidth="1"/>
    <col min="9064" max="9064" width="25.08984375" style="1" customWidth="1"/>
    <col min="9065" max="9065" width="23" style="1" customWidth="1"/>
    <col min="9066" max="9314" width="9.08984375" style="1"/>
    <col min="9315" max="9315" width="1.81640625" style="1" customWidth="1"/>
    <col min="9316" max="9316" width="13.54296875" style="1" customWidth="1"/>
    <col min="9317" max="9317" width="29" style="1" customWidth="1"/>
    <col min="9318" max="9318" width="25.08984375" style="1" customWidth="1"/>
    <col min="9319" max="9319" width="25.26953125" style="1" customWidth="1"/>
    <col min="9320" max="9320" width="25.08984375" style="1" customWidth="1"/>
    <col min="9321" max="9321" width="23" style="1" customWidth="1"/>
    <col min="9322" max="9570" width="9.08984375" style="1"/>
    <col min="9571" max="9571" width="1.81640625" style="1" customWidth="1"/>
    <col min="9572" max="9572" width="13.54296875" style="1" customWidth="1"/>
    <col min="9573" max="9573" width="29" style="1" customWidth="1"/>
    <col min="9574" max="9574" width="25.08984375" style="1" customWidth="1"/>
    <col min="9575" max="9575" width="25.26953125" style="1" customWidth="1"/>
    <col min="9576" max="9576" width="25.08984375" style="1" customWidth="1"/>
    <col min="9577" max="9577" width="23" style="1" customWidth="1"/>
    <col min="9578" max="9826" width="9.08984375" style="1"/>
    <col min="9827" max="9827" width="1.81640625" style="1" customWidth="1"/>
    <col min="9828" max="9828" width="13.54296875" style="1" customWidth="1"/>
    <col min="9829" max="9829" width="29" style="1" customWidth="1"/>
    <col min="9830" max="9830" width="25.08984375" style="1" customWidth="1"/>
    <col min="9831" max="9831" width="25.26953125" style="1" customWidth="1"/>
    <col min="9832" max="9832" width="25.08984375" style="1" customWidth="1"/>
    <col min="9833" max="9833" width="23" style="1" customWidth="1"/>
    <col min="9834" max="10082" width="9.08984375" style="1"/>
    <col min="10083" max="10083" width="1.81640625" style="1" customWidth="1"/>
    <col min="10084" max="10084" width="13.54296875" style="1" customWidth="1"/>
    <col min="10085" max="10085" width="29" style="1" customWidth="1"/>
    <col min="10086" max="10086" width="25.08984375" style="1" customWidth="1"/>
    <col min="10087" max="10087" width="25.26953125" style="1" customWidth="1"/>
    <col min="10088" max="10088" width="25.08984375" style="1" customWidth="1"/>
    <col min="10089" max="10089" width="23" style="1" customWidth="1"/>
    <col min="10090" max="10338" width="9.08984375" style="1"/>
    <col min="10339" max="10339" width="1.81640625" style="1" customWidth="1"/>
    <col min="10340" max="10340" width="13.54296875" style="1" customWidth="1"/>
    <col min="10341" max="10341" width="29" style="1" customWidth="1"/>
    <col min="10342" max="10342" width="25.08984375" style="1" customWidth="1"/>
    <col min="10343" max="10343" width="25.26953125" style="1" customWidth="1"/>
    <col min="10344" max="10344" width="25.08984375" style="1" customWidth="1"/>
    <col min="10345" max="10345" width="23" style="1" customWidth="1"/>
    <col min="10346" max="10594" width="9.08984375" style="1"/>
    <col min="10595" max="10595" width="1.81640625" style="1" customWidth="1"/>
    <col min="10596" max="10596" width="13.54296875" style="1" customWidth="1"/>
    <col min="10597" max="10597" width="29" style="1" customWidth="1"/>
    <col min="10598" max="10598" width="25.08984375" style="1" customWidth="1"/>
    <col min="10599" max="10599" width="25.26953125" style="1" customWidth="1"/>
    <col min="10600" max="10600" width="25.08984375" style="1" customWidth="1"/>
    <col min="10601" max="10601" width="23" style="1" customWidth="1"/>
    <col min="10602" max="10850" width="9.08984375" style="1"/>
    <col min="10851" max="10851" width="1.81640625" style="1" customWidth="1"/>
    <col min="10852" max="10852" width="13.54296875" style="1" customWidth="1"/>
    <col min="10853" max="10853" width="29" style="1" customWidth="1"/>
    <col min="10854" max="10854" width="25.08984375" style="1" customWidth="1"/>
    <col min="10855" max="10855" width="25.26953125" style="1" customWidth="1"/>
    <col min="10856" max="10856" width="25.08984375" style="1" customWidth="1"/>
    <col min="10857" max="10857" width="23" style="1" customWidth="1"/>
    <col min="10858" max="11106" width="9.08984375" style="1"/>
    <col min="11107" max="11107" width="1.81640625" style="1" customWidth="1"/>
    <col min="11108" max="11108" width="13.54296875" style="1" customWidth="1"/>
    <col min="11109" max="11109" width="29" style="1" customWidth="1"/>
    <col min="11110" max="11110" width="25.08984375" style="1" customWidth="1"/>
    <col min="11111" max="11111" width="25.26953125" style="1" customWidth="1"/>
    <col min="11112" max="11112" width="25.08984375" style="1" customWidth="1"/>
    <col min="11113" max="11113" width="23" style="1" customWidth="1"/>
    <col min="11114" max="11362" width="9.08984375" style="1"/>
    <col min="11363" max="11363" width="1.81640625" style="1" customWidth="1"/>
    <col min="11364" max="11364" width="13.54296875" style="1" customWidth="1"/>
    <col min="11365" max="11365" width="29" style="1" customWidth="1"/>
    <col min="11366" max="11366" width="25.08984375" style="1" customWidth="1"/>
    <col min="11367" max="11367" width="25.26953125" style="1" customWidth="1"/>
    <col min="11368" max="11368" width="25.08984375" style="1" customWidth="1"/>
    <col min="11369" max="11369" width="23" style="1" customWidth="1"/>
    <col min="11370" max="11618" width="9.08984375" style="1"/>
    <col min="11619" max="11619" width="1.81640625" style="1" customWidth="1"/>
    <col min="11620" max="11620" width="13.54296875" style="1" customWidth="1"/>
    <col min="11621" max="11621" width="29" style="1" customWidth="1"/>
    <col min="11622" max="11622" width="25.08984375" style="1" customWidth="1"/>
    <col min="11623" max="11623" width="25.26953125" style="1" customWidth="1"/>
    <col min="11624" max="11624" width="25.08984375" style="1" customWidth="1"/>
    <col min="11625" max="11625" width="23" style="1" customWidth="1"/>
    <col min="11626" max="11874" width="9.08984375" style="1"/>
    <col min="11875" max="11875" width="1.81640625" style="1" customWidth="1"/>
    <col min="11876" max="11876" width="13.54296875" style="1" customWidth="1"/>
    <col min="11877" max="11877" width="29" style="1" customWidth="1"/>
    <col min="11878" max="11878" width="25.08984375" style="1" customWidth="1"/>
    <col min="11879" max="11879" width="25.26953125" style="1" customWidth="1"/>
    <col min="11880" max="11880" width="25.08984375" style="1" customWidth="1"/>
    <col min="11881" max="11881" width="23" style="1" customWidth="1"/>
    <col min="11882" max="12130" width="9.08984375" style="1"/>
    <col min="12131" max="12131" width="1.81640625" style="1" customWidth="1"/>
    <col min="12132" max="12132" width="13.54296875" style="1" customWidth="1"/>
    <col min="12133" max="12133" width="29" style="1" customWidth="1"/>
    <col min="12134" max="12134" width="25.08984375" style="1" customWidth="1"/>
    <col min="12135" max="12135" width="25.26953125" style="1" customWidth="1"/>
    <col min="12136" max="12136" width="25.08984375" style="1" customWidth="1"/>
    <col min="12137" max="12137" width="23" style="1" customWidth="1"/>
    <col min="12138" max="12386" width="9.08984375" style="1"/>
    <col min="12387" max="12387" width="1.81640625" style="1" customWidth="1"/>
    <col min="12388" max="12388" width="13.54296875" style="1" customWidth="1"/>
    <col min="12389" max="12389" width="29" style="1" customWidth="1"/>
    <col min="12390" max="12390" width="25.08984375" style="1" customWidth="1"/>
    <col min="12391" max="12391" width="25.26953125" style="1" customWidth="1"/>
    <col min="12392" max="12392" width="25.08984375" style="1" customWidth="1"/>
    <col min="12393" max="12393" width="23" style="1" customWidth="1"/>
    <col min="12394" max="12642" width="9.08984375" style="1"/>
    <col min="12643" max="12643" width="1.81640625" style="1" customWidth="1"/>
    <col min="12644" max="12644" width="13.54296875" style="1" customWidth="1"/>
    <col min="12645" max="12645" width="29" style="1" customWidth="1"/>
    <col min="12646" max="12646" width="25.08984375" style="1" customWidth="1"/>
    <col min="12647" max="12647" width="25.26953125" style="1" customWidth="1"/>
    <col min="12648" max="12648" width="25.08984375" style="1" customWidth="1"/>
    <col min="12649" max="12649" width="23" style="1" customWidth="1"/>
    <col min="12650" max="12898" width="9.08984375" style="1"/>
    <col min="12899" max="12899" width="1.81640625" style="1" customWidth="1"/>
    <col min="12900" max="12900" width="13.54296875" style="1" customWidth="1"/>
    <col min="12901" max="12901" width="29" style="1" customWidth="1"/>
    <col min="12902" max="12902" width="25.08984375" style="1" customWidth="1"/>
    <col min="12903" max="12903" width="25.26953125" style="1" customWidth="1"/>
    <col min="12904" max="12904" width="25.08984375" style="1" customWidth="1"/>
    <col min="12905" max="12905" width="23" style="1" customWidth="1"/>
    <col min="12906" max="13154" width="9.08984375" style="1"/>
    <col min="13155" max="13155" width="1.81640625" style="1" customWidth="1"/>
    <col min="13156" max="13156" width="13.54296875" style="1" customWidth="1"/>
    <col min="13157" max="13157" width="29" style="1" customWidth="1"/>
    <col min="13158" max="13158" width="25.08984375" style="1" customWidth="1"/>
    <col min="13159" max="13159" width="25.26953125" style="1" customWidth="1"/>
    <col min="13160" max="13160" width="25.08984375" style="1" customWidth="1"/>
    <col min="13161" max="13161" width="23" style="1" customWidth="1"/>
    <col min="13162" max="13410" width="9.08984375" style="1"/>
    <col min="13411" max="13411" width="1.81640625" style="1" customWidth="1"/>
    <col min="13412" max="13412" width="13.54296875" style="1" customWidth="1"/>
    <col min="13413" max="13413" width="29" style="1" customWidth="1"/>
    <col min="13414" max="13414" width="25.08984375" style="1" customWidth="1"/>
    <col min="13415" max="13415" width="25.26953125" style="1" customWidth="1"/>
    <col min="13416" max="13416" width="25.08984375" style="1" customWidth="1"/>
    <col min="13417" max="13417" width="23" style="1" customWidth="1"/>
    <col min="13418" max="13666" width="9.08984375" style="1"/>
    <col min="13667" max="13667" width="1.81640625" style="1" customWidth="1"/>
    <col min="13668" max="13668" width="13.54296875" style="1" customWidth="1"/>
    <col min="13669" max="13669" width="29" style="1" customWidth="1"/>
    <col min="13670" max="13670" width="25.08984375" style="1" customWidth="1"/>
    <col min="13671" max="13671" width="25.26953125" style="1" customWidth="1"/>
    <col min="13672" max="13672" width="25.08984375" style="1" customWidth="1"/>
    <col min="13673" max="13673" width="23" style="1" customWidth="1"/>
    <col min="13674" max="13922" width="9.08984375" style="1"/>
    <col min="13923" max="13923" width="1.81640625" style="1" customWidth="1"/>
    <col min="13924" max="13924" width="13.54296875" style="1" customWidth="1"/>
    <col min="13925" max="13925" width="29" style="1" customWidth="1"/>
    <col min="13926" max="13926" width="25.08984375" style="1" customWidth="1"/>
    <col min="13927" max="13927" width="25.26953125" style="1" customWidth="1"/>
    <col min="13928" max="13928" width="25.08984375" style="1" customWidth="1"/>
    <col min="13929" max="13929" width="23" style="1" customWidth="1"/>
    <col min="13930" max="14178" width="9.08984375" style="1"/>
    <col min="14179" max="14179" width="1.81640625" style="1" customWidth="1"/>
    <col min="14180" max="14180" width="13.54296875" style="1" customWidth="1"/>
    <col min="14181" max="14181" width="29" style="1" customWidth="1"/>
    <col min="14182" max="14182" width="25.08984375" style="1" customWidth="1"/>
    <col min="14183" max="14183" width="25.26953125" style="1" customWidth="1"/>
    <col min="14184" max="14184" width="25.08984375" style="1" customWidth="1"/>
    <col min="14185" max="14185" width="23" style="1" customWidth="1"/>
    <col min="14186" max="14434" width="9.08984375" style="1"/>
    <col min="14435" max="14435" width="1.81640625" style="1" customWidth="1"/>
    <col min="14436" max="14436" width="13.54296875" style="1" customWidth="1"/>
    <col min="14437" max="14437" width="29" style="1" customWidth="1"/>
    <col min="14438" max="14438" width="25.08984375" style="1" customWidth="1"/>
    <col min="14439" max="14439" width="25.26953125" style="1" customWidth="1"/>
    <col min="14440" max="14440" width="25.08984375" style="1" customWidth="1"/>
    <col min="14441" max="14441" width="23" style="1" customWidth="1"/>
    <col min="14442" max="14690" width="9.08984375" style="1"/>
    <col min="14691" max="14691" width="1.81640625" style="1" customWidth="1"/>
    <col min="14692" max="14692" width="13.54296875" style="1" customWidth="1"/>
    <col min="14693" max="14693" width="29" style="1" customWidth="1"/>
    <col min="14694" max="14694" width="25.08984375" style="1" customWidth="1"/>
    <col min="14695" max="14695" width="25.26953125" style="1" customWidth="1"/>
    <col min="14696" max="14696" width="25.08984375" style="1" customWidth="1"/>
    <col min="14697" max="14697" width="23" style="1" customWidth="1"/>
    <col min="14698" max="14946" width="9.08984375" style="1"/>
    <col min="14947" max="14947" width="1.81640625" style="1" customWidth="1"/>
    <col min="14948" max="14948" width="13.54296875" style="1" customWidth="1"/>
    <col min="14949" max="14949" width="29" style="1" customWidth="1"/>
    <col min="14950" max="14950" width="25.08984375" style="1" customWidth="1"/>
    <col min="14951" max="14951" width="25.26953125" style="1" customWidth="1"/>
    <col min="14952" max="14952" width="25.08984375" style="1" customWidth="1"/>
    <col min="14953" max="14953" width="23" style="1" customWidth="1"/>
    <col min="14954" max="15202" width="9.08984375" style="1"/>
    <col min="15203" max="15203" width="1.81640625" style="1" customWidth="1"/>
    <col min="15204" max="15204" width="13.54296875" style="1" customWidth="1"/>
    <col min="15205" max="15205" width="29" style="1" customWidth="1"/>
    <col min="15206" max="15206" width="25.08984375" style="1" customWidth="1"/>
    <col min="15207" max="15207" width="25.26953125" style="1" customWidth="1"/>
    <col min="15208" max="15208" width="25.08984375" style="1" customWidth="1"/>
    <col min="15209" max="15209" width="23" style="1" customWidth="1"/>
    <col min="15210" max="15458" width="9.08984375" style="1"/>
    <col min="15459" max="15459" width="1.81640625" style="1" customWidth="1"/>
    <col min="15460" max="15460" width="13.54296875" style="1" customWidth="1"/>
    <col min="15461" max="15461" width="29" style="1" customWidth="1"/>
    <col min="15462" max="15462" width="25.08984375" style="1" customWidth="1"/>
    <col min="15463" max="15463" width="25.26953125" style="1" customWidth="1"/>
    <col min="15464" max="15464" width="25.08984375" style="1" customWidth="1"/>
    <col min="15465" max="15465" width="23" style="1" customWidth="1"/>
    <col min="15466" max="15714" width="9.08984375" style="1"/>
    <col min="15715" max="15715" width="1.81640625" style="1" customWidth="1"/>
    <col min="15716" max="15716" width="13.54296875" style="1" customWidth="1"/>
    <col min="15717" max="15717" width="29" style="1" customWidth="1"/>
    <col min="15718" max="15718" width="25.08984375" style="1" customWidth="1"/>
    <col min="15719" max="15719" width="25.26953125" style="1" customWidth="1"/>
    <col min="15720" max="15720" width="25.08984375" style="1" customWidth="1"/>
    <col min="15721" max="15721" width="23" style="1" customWidth="1"/>
    <col min="15722" max="15970" width="9.08984375" style="1"/>
    <col min="15971" max="15971" width="1.81640625" style="1" customWidth="1"/>
    <col min="15972" max="15972" width="13.54296875" style="1" customWidth="1"/>
    <col min="15973" max="15973" width="29" style="1" customWidth="1"/>
    <col min="15974" max="15974" width="25.08984375" style="1" customWidth="1"/>
    <col min="15975" max="15975" width="25.26953125" style="1" customWidth="1"/>
    <col min="15976" max="15976" width="25.08984375" style="1" customWidth="1"/>
    <col min="15977" max="15977" width="23" style="1" customWidth="1"/>
    <col min="15978" max="16226" width="9.08984375" style="1"/>
    <col min="16227" max="16227" width="1.81640625" style="1" customWidth="1"/>
    <col min="16228" max="16228" width="13.54296875" style="1" customWidth="1"/>
    <col min="16229" max="16229" width="29" style="1" customWidth="1"/>
    <col min="16230" max="16230" width="25.08984375" style="1" customWidth="1"/>
    <col min="16231" max="16231" width="25.26953125" style="1" customWidth="1"/>
    <col min="16232" max="16232" width="25.08984375" style="1" customWidth="1"/>
    <col min="16233" max="16233" width="23" style="1" customWidth="1"/>
    <col min="16234" max="16384" width="9.08984375" style="1"/>
  </cols>
  <sheetData>
    <row r="1" spans="1:294" ht="23" customHeight="1" x14ac:dyDescent="0.35">
      <c r="A1" s="4"/>
      <c r="B1" s="236" t="s">
        <v>121</v>
      </c>
      <c r="C1" s="237"/>
      <c r="D1" s="237"/>
      <c r="E1" s="237"/>
      <c r="F1" s="237"/>
      <c r="G1" s="237"/>
      <c r="H1" s="237"/>
      <c r="I1" s="237"/>
      <c r="J1" s="237"/>
      <c r="K1" s="237"/>
      <c r="L1" s="237"/>
      <c r="M1" s="237"/>
      <c r="N1" s="237"/>
      <c r="O1" s="237"/>
      <c r="P1" s="238"/>
      <c r="S1" s="249" t="s">
        <v>167</v>
      </c>
      <c r="T1" s="249"/>
      <c r="U1" s="232" t="s">
        <v>122</v>
      </c>
      <c r="V1" s="233"/>
      <c r="W1" s="232" t="s">
        <v>169</v>
      </c>
      <c r="X1" s="233"/>
      <c r="Y1" s="232" t="s">
        <v>170</v>
      </c>
      <c r="Z1" s="233"/>
      <c r="AC1" s="214"/>
    </row>
    <row r="2" spans="1:294" ht="21.5" customHeight="1" x14ac:dyDescent="0.35">
      <c r="A2" s="4"/>
      <c r="B2" s="239"/>
      <c r="C2" s="240"/>
      <c r="D2" s="240"/>
      <c r="E2" s="240"/>
      <c r="F2" s="240"/>
      <c r="G2" s="240"/>
      <c r="H2" s="240"/>
      <c r="I2" s="240"/>
      <c r="J2" s="240"/>
      <c r="K2" s="240"/>
      <c r="L2" s="240"/>
      <c r="M2" s="240"/>
      <c r="N2" s="240"/>
      <c r="O2" s="240"/>
      <c r="P2" s="241"/>
      <c r="S2" s="249"/>
      <c r="T2" s="249"/>
      <c r="U2" s="232" t="s">
        <v>17</v>
      </c>
      <c r="V2" s="233"/>
      <c r="W2" s="232">
        <v>2026</v>
      </c>
      <c r="X2" s="233"/>
      <c r="Y2" s="232">
        <v>90</v>
      </c>
      <c r="Z2" s="233"/>
      <c r="AC2" s="180"/>
      <c r="AD2" s="1" t="s">
        <v>114</v>
      </c>
      <c r="AG2" s="179"/>
      <c r="AH2" s="1" t="s">
        <v>115</v>
      </c>
      <c r="AL2" s="214"/>
      <c r="DG2" s="1"/>
      <c r="DH2" s="168"/>
      <c r="DI2" s="1" t="s">
        <v>116</v>
      </c>
      <c r="DN2" s="167"/>
      <c r="DO2" s="1" t="s">
        <v>117</v>
      </c>
      <c r="DU2" s="165"/>
      <c r="DV2" s="1" t="s">
        <v>118</v>
      </c>
      <c r="EA2" s="164"/>
      <c r="EB2" s="1" t="s">
        <v>119</v>
      </c>
      <c r="EF2" s="166"/>
      <c r="EG2" s="1" t="s">
        <v>120</v>
      </c>
      <c r="EL2" s="37"/>
      <c r="EM2" s="31"/>
      <c r="EN2" s="174"/>
      <c r="EO2" s="41" t="s">
        <v>134</v>
      </c>
      <c r="EP2" s="12"/>
      <c r="EQ2" s="175"/>
      <c r="ER2" s="12" t="s">
        <v>136</v>
      </c>
      <c r="ES2" s="12"/>
      <c r="EU2" s="176"/>
      <c r="EV2" s="177" t="s">
        <v>135</v>
      </c>
      <c r="EW2" s="12"/>
      <c r="EY2" s="181"/>
      <c r="EZ2" s="12" t="s">
        <v>137</v>
      </c>
      <c r="FA2" s="12"/>
      <c r="FC2" s="178"/>
      <c r="FD2" s="12" t="s">
        <v>166</v>
      </c>
    </row>
    <row r="3" spans="1:294" s="173" customFormat="1" ht="21.5" customHeight="1" x14ac:dyDescent="0.35">
      <c r="A3" s="170"/>
      <c r="B3" s="247"/>
      <c r="C3" s="248"/>
      <c r="D3" s="248"/>
      <c r="E3" s="211"/>
      <c r="F3" s="211"/>
      <c r="G3" s="211"/>
      <c r="H3" s="211"/>
      <c r="I3" s="211"/>
      <c r="J3" s="211"/>
      <c r="K3" s="211"/>
      <c r="L3" s="211"/>
      <c r="M3" s="211"/>
      <c r="N3" s="211"/>
      <c r="O3" s="211"/>
      <c r="P3" s="212"/>
      <c r="Q3" s="15"/>
      <c r="R3" s="169"/>
      <c r="S3" s="223">
        <f>DATE($W$2, MATCH($U$2,{"JANUARI";"FEBRUARI";"MARET";"APRIL";"MEI";"JUNI";"JULI";"AGUSTUS";"SEPTEMBER";"OKTOBER";"NOVEMBER";"DESEMBER"},0), 1 + COLUMN(A1) - 1)</f>
        <v>46174</v>
      </c>
      <c r="T3" s="222"/>
      <c r="U3" s="222"/>
      <c r="V3" s="222"/>
      <c r="W3" s="222"/>
      <c r="X3" s="222"/>
      <c r="Y3" s="222"/>
      <c r="Z3" s="222"/>
      <c r="AA3" s="222"/>
      <c r="AB3" s="222"/>
      <c r="AC3" s="222"/>
      <c r="AD3" s="222"/>
      <c r="AE3" s="222"/>
      <c r="AF3" s="222"/>
      <c r="AG3" s="222"/>
      <c r="AH3" s="222"/>
      <c r="AI3" s="222"/>
      <c r="AJ3" s="222"/>
      <c r="AK3" s="222"/>
      <c r="AL3" s="222"/>
      <c r="AM3" s="222"/>
      <c r="AN3" s="222"/>
      <c r="AO3" s="222"/>
      <c r="AP3" s="222"/>
      <c r="AQ3" s="222"/>
      <c r="AR3" s="222"/>
      <c r="AS3" s="222"/>
      <c r="AT3" s="222"/>
      <c r="AU3" s="222"/>
      <c r="AV3" s="222"/>
      <c r="AW3" s="222"/>
      <c r="AX3" s="222"/>
      <c r="AY3" s="222"/>
      <c r="AZ3" s="222"/>
      <c r="BA3" s="222"/>
      <c r="BB3" s="222"/>
      <c r="BC3" s="222"/>
      <c r="BD3" s="222"/>
      <c r="BE3" s="222"/>
      <c r="BF3" s="222"/>
      <c r="BG3" s="222"/>
      <c r="BH3" s="222"/>
      <c r="BI3" s="222"/>
      <c r="BJ3" s="213"/>
      <c r="BK3" s="213"/>
      <c r="BL3" s="213"/>
      <c r="BM3" s="213"/>
      <c r="BN3" s="213"/>
      <c r="BO3" s="213"/>
      <c r="BP3" s="213"/>
      <c r="BQ3" s="213"/>
      <c r="BR3" s="213"/>
      <c r="BS3" s="213"/>
      <c r="BT3" s="213"/>
      <c r="BU3" s="213"/>
      <c r="BV3" s="213"/>
      <c r="BW3" s="213"/>
      <c r="BX3" s="213"/>
      <c r="BY3" s="213"/>
      <c r="BZ3" s="213"/>
      <c r="CA3" s="213"/>
      <c r="CB3" s="213"/>
      <c r="CC3" s="213"/>
      <c r="CD3" s="213"/>
      <c r="CE3" s="213"/>
      <c r="CF3" s="213"/>
      <c r="CG3" s="213"/>
      <c r="CH3" s="213"/>
      <c r="CI3" s="213"/>
      <c r="CJ3" s="213"/>
      <c r="CK3" s="213"/>
      <c r="CL3" s="213"/>
      <c r="CM3" s="213"/>
      <c r="CN3" s="213"/>
      <c r="CO3" s="213"/>
      <c r="CP3" s="213"/>
      <c r="CQ3" s="213"/>
      <c r="CR3" s="213"/>
      <c r="CS3" s="213"/>
      <c r="CT3" s="213"/>
      <c r="CU3" s="213"/>
      <c r="CV3" s="213"/>
      <c r="CW3" s="213"/>
      <c r="CX3" s="213"/>
      <c r="CY3" s="213"/>
      <c r="CZ3" s="213"/>
      <c r="DA3" s="213"/>
      <c r="DB3" s="213"/>
      <c r="DC3" s="213"/>
      <c r="DD3" s="213"/>
      <c r="DE3" s="213"/>
      <c r="DF3" s="170"/>
      <c r="DG3" s="169"/>
      <c r="DH3" s="171"/>
      <c r="DI3" s="170"/>
      <c r="DJ3" s="170"/>
      <c r="DK3" s="170"/>
      <c r="DL3" s="170"/>
      <c r="DM3" s="170"/>
      <c r="DN3" s="170"/>
      <c r="DO3" s="170"/>
      <c r="DP3" s="170"/>
      <c r="DQ3" s="170"/>
      <c r="DR3" s="170"/>
      <c r="DS3" s="170"/>
      <c r="DT3" s="170"/>
      <c r="DU3" s="170"/>
      <c r="DV3" s="170"/>
      <c r="DW3" s="170"/>
      <c r="DX3" s="170"/>
      <c r="DY3" s="170"/>
      <c r="DZ3" s="170"/>
      <c r="EA3" s="170"/>
      <c r="EB3" s="170"/>
      <c r="EC3" s="170"/>
      <c r="ED3" s="170"/>
      <c r="EE3" s="170"/>
      <c r="EF3" s="170"/>
      <c r="EG3" s="170"/>
      <c r="EH3" s="170"/>
      <c r="EI3" s="170"/>
      <c r="EJ3" s="170"/>
      <c r="EK3" s="170"/>
      <c r="EL3" s="170"/>
      <c r="EM3" s="172"/>
    </row>
    <row r="4" spans="1:294" ht="15" thickBot="1" x14ac:dyDescent="0.4">
      <c r="A4"/>
      <c r="B4" s="234" t="s">
        <v>174</v>
      </c>
      <c r="C4" s="235"/>
      <c r="D4" s="235"/>
      <c r="E4" s="206"/>
      <c r="F4" s="206"/>
      <c r="G4" s="206"/>
      <c r="H4" s="206"/>
      <c r="I4" s="206"/>
      <c r="J4" s="206"/>
      <c r="K4" s="206"/>
      <c r="L4" s="206"/>
      <c r="M4" s="206"/>
      <c r="N4" s="206"/>
      <c r="O4" s="206"/>
      <c r="P4" s="207"/>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c r="BF4" s="222"/>
      <c r="BG4" s="222"/>
      <c r="BH4" s="222"/>
      <c r="BI4" s="222"/>
      <c r="BJ4" s="213"/>
      <c r="BK4" s="21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3"/>
      <c r="CL4" s="213"/>
      <c r="CM4" s="213"/>
      <c r="CN4" s="213"/>
      <c r="CO4" s="213"/>
      <c r="CP4" s="213"/>
      <c r="CQ4" s="213"/>
      <c r="CR4" s="213"/>
      <c r="CS4" s="213"/>
      <c r="CT4" s="213"/>
      <c r="CU4" s="213"/>
      <c r="CV4" s="213"/>
      <c r="CW4" s="213"/>
      <c r="CX4" s="213"/>
      <c r="CY4" s="213"/>
      <c r="CZ4" s="213"/>
      <c r="DA4" s="213"/>
      <c r="DB4" s="213"/>
      <c r="DC4" s="213"/>
      <c r="DD4" s="213"/>
      <c r="DE4" s="213"/>
      <c r="DF4" s="24"/>
      <c r="DH4" s="216"/>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217"/>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c r="JF4" s="12"/>
      <c r="JG4" s="12"/>
      <c r="JH4" s="12"/>
      <c r="JI4" s="12"/>
      <c r="JJ4" s="12"/>
      <c r="JK4" s="12"/>
      <c r="JL4" s="12"/>
      <c r="JM4" s="12"/>
      <c r="JN4" s="12"/>
      <c r="JO4" s="12"/>
      <c r="JP4" s="12"/>
      <c r="JQ4" s="12"/>
      <c r="JR4" s="12"/>
      <c r="JS4" s="12"/>
      <c r="JT4" s="12"/>
      <c r="JU4" s="12"/>
      <c r="JV4" s="12"/>
      <c r="JW4" s="12"/>
      <c r="JX4" s="12"/>
      <c r="JY4" s="12"/>
      <c r="JZ4" s="12"/>
      <c r="KA4" s="12"/>
      <c r="KB4" s="12"/>
      <c r="KC4" s="12"/>
      <c r="KD4" s="12"/>
      <c r="KE4" s="12"/>
      <c r="KF4" s="12"/>
      <c r="KG4" s="12"/>
    </row>
    <row r="5" spans="1:294" ht="24" thickBot="1" x14ac:dyDescent="0.4">
      <c r="A5"/>
      <c r="B5" s="203" t="s">
        <v>175</v>
      </c>
      <c r="C5" s="204"/>
      <c r="D5" s="204"/>
      <c r="E5" s="204"/>
      <c r="F5" s="204"/>
      <c r="G5" s="204"/>
      <c r="H5" s="204"/>
      <c r="I5" s="204"/>
      <c r="J5" s="204"/>
      <c r="K5" s="204"/>
      <c r="L5" s="204"/>
      <c r="M5" s="204"/>
      <c r="N5" s="204"/>
      <c r="O5" s="204"/>
      <c r="P5" s="205"/>
      <c r="Q5" s="187"/>
      <c r="S5" s="256" t="s">
        <v>21</v>
      </c>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6"/>
      <c r="BD5" s="256"/>
      <c r="BE5" s="256"/>
      <c r="BF5" s="256"/>
      <c r="BG5" s="256"/>
      <c r="BH5" s="256"/>
      <c r="BI5" s="256"/>
      <c r="BJ5" s="256"/>
      <c r="BK5" s="256"/>
      <c r="BL5" s="256"/>
      <c r="BM5" s="256"/>
      <c r="BN5" s="256"/>
      <c r="BO5" s="256"/>
      <c r="BP5" s="256"/>
      <c r="BQ5" s="256"/>
      <c r="BR5" s="256"/>
      <c r="BS5" s="256"/>
      <c r="BT5" s="256"/>
      <c r="BU5" s="256"/>
      <c r="BV5" s="256"/>
      <c r="BW5" s="256"/>
      <c r="BX5" s="256"/>
      <c r="BY5" s="256"/>
      <c r="BZ5" s="256"/>
      <c r="CA5" s="256"/>
      <c r="CB5" s="256"/>
      <c r="CC5" s="256"/>
      <c r="CD5" s="256"/>
      <c r="CE5" s="256"/>
      <c r="CF5" s="256"/>
      <c r="CG5" s="256"/>
      <c r="CH5" s="256"/>
      <c r="CI5" s="256"/>
      <c r="CJ5" s="256"/>
      <c r="CK5" s="256"/>
      <c r="CL5" s="256"/>
      <c r="CM5" s="256"/>
      <c r="CN5" s="256"/>
      <c r="CO5" s="256"/>
      <c r="CP5" s="256"/>
      <c r="CQ5" s="256"/>
      <c r="CR5" s="256"/>
      <c r="CS5" s="256"/>
      <c r="CT5" s="256"/>
      <c r="CU5" s="256"/>
      <c r="CV5" s="256"/>
      <c r="CW5" s="256"/>
      <c r="CX5" s="256"/>
      <c r="CY5" s="256"/>
      <c r="CZ5" s="256"/>
      <c r="DA5" s="256"/>
      <c r="DB5" s="256"/>
      <c r="DC5" s="256"/>
      <c r="DD5" s="256"/>
      <c r="DE5" s="256"/>
      <c r="DF5" s="24"/>
      <c r="DG5" s="250" t="s">
        <v>22</v>
      </c>
      <c r="DH5" s="251"/>
      <c r="DI5" s="251"/>
      <c r="DJ5" s="251"/>
      <c r="DK5" s="251"/>
      <c r="DL5" s="251"/>
      <c r="DM5" s="251"/>
      <c r="DN5" s="251"/>
      <c r="DO5" s="251"/>
      <c r="DP5" s="251"/>
      <c r="DQ5" s="251"/>
      <c r="DR5" s="251"/>
      <c r="DS5" s="251"/>
      <c r="DT5" s="251"/>
      <c r="DU5" s="251"/>
      <c r="DV5" s="251"/>
      <c r="DW5" s="251"/>
      <c r="DX5" s="251"/>
      <c r="DY5" s="251"/>
      <c r="DZ5" s="251"/>
      <c r="EA5" s="251"/>
      <c r="EB5" s="251"/>
      <c r="EC5" s="251"/>
      <c r="ED5" s="251"/>
      <c r="EE5" s="251"/>
      <c r="EF5" s="251"/>
      <c r="EG5" s="251"/>
      <c r="EH5" s="251"/>
      <c r="EI5" s="251"/>
      <c r="EJ5" s="251"/>
      <c r="EK5" s="251"/>
      <c r="EL5" s="251"/>
      <c r="EM5" s="251"/>
      <c r="EN5" s="251"/>
      <c r="EO5" s="251"/>
      <c r="EP5" s="251"/>
      <c r="EQ5" s="251"/>
      <c r="ER5" s="251"/>
      <c r="ES5" s="251"/>
      <c r="ET5" s="251"/>
      <c r="EU5" s="251"/>
      <c r="EV5" s="251"/>
      <c r="EW5" s="251"/>
      <c r="EX5" s="251"/>
      <c r="EY5" s="251"/>
      <c r="EZ5" s="251"/>
      <c r="FA5" s="251"/>
      <c r="FB5" s="251"/>
      <c r="FC5" s="251"/>
      <c r="FD5" s="251"/>
      <c r="FE5" s="251"/>
      <c r="FF5" s="251"/>
      <c r="FG5" s="251"/>
      <c r="FH5" s="251"/>
      <c r="FI5" s="251"/>
      <c r="FJ5" s="251"/>
      <c r="FK5" s="251"/>
      <c r="FL5" s="251"/>
      <c r="FM5" s="251"/>
      <c r="FN5" s="251"/>
      <c r="FO5" s="251"/>
      <c r="FP5" s="251"/>
      <c r="FQ5" s="251"/>
      <c r="FR5" s="251"/>
      <c r="FS5" s="251"/>
      <c r="FT5" s="251"/>
      <c r="FU5" s="251"/>
      <c r="FV5" s="251"/>
      <c r="FW5" s="251"/>
      <c r="FX5" s="251"/>
      <c r="FY5" s="251"/>
      <c r="FZ5" s="251"/>
      <c r="GA5" s="251"/>
      <c r="GB5" s="251"/>
      <c r="GC5" s="251"/>
      <c r="GD5" s="251"/>
      <c r="GE5" s="251"/>
      <c r="GF5" s="251"/>
      <c r="GG5" s="251"/>
      <c r="GH5" s="251"/>
      <c r="GI5" s="251"/>
      <c r="GJ5" s="251"/>
      <c r="GK5" s="251"/>
      <c r="GL5" s="251"/>
      <c r="GM5" s="251"/>
      <c r="GN5" s="251"/>
      <c r="GO5" s="251"/>
      <c r="GP5" s="251"/>
      <c r="GQ5" s="251"/>
      <c r="GR5" s="251"/>
      <c r="GS5" s="252"/>
      <c r="GT5" s="31"/>
      <c r="GU5" s="253" t="s">
        <v>39</v>
      </c>
      <c r="GV5" s="254"/>
      <c r="GW5" s="254"/>
      <c r="GX5" s="254"/>
      <c r="GY5" s="254"/>
      <c r="GZ5" s="254"/>
      <c r="HA5" s="254"/>
      <c r="HB5" s="254"/>
      <c r="HC5" s="254"/>
      <c r="HD5" s="254"/>
      <c r="HE5" s="254"/>
      <c r="HF5" s="254"/>
      <c r="HG5" s="254"/>
      <c r="HH5" s="254"/>
      <c r="HI5" s="254"/>
      <c r="HJ5" s="254"/>
      <c r="HK5" s="254"/>
      <c r="HL5" s="254"/>
      <c r="HM5" s="254"/>
      <c r="HN5" s="254"/>
      <c r="HO5" s="254"/>
      <c r="HP5" s="254"/>
      <c r="HQ5" s="254"/>
      <c r="HR5" s="254"/>
      <c r="HS5" s="254"/>
      <c r="HT5" s="254"/>
      <c r="HU5" s="254"/>
      <c r="HV5" s="254"/>
      <c r="HW5" s="254"/>
      <c r="HX5" s="254"/>
      <c r="HY5" s="254"/>
      <c r="HZ5" s="254"/>
      <c r="IA5" s="254"/>
      <c r="IB5" s="254"/>
      <c r="IC5" s="254"/>
      <c r="ID5" s="254"/>
      <c r="IE5" s="254"/>
      <c r="IF5" s="254"/>
      <c r="IG5" s="254"/>
      <c r="IH5" s="254"/>
      <c r="II5" s="254"/>
      <c r="IJ5" s="254"/>
      <c r="IK5" s="254"/>
      <c r="IL5" s="254"/>
      <c r="IM5" s="254"/>
      <c r="IN5" s="254"/>
      <c r="IO5" s="254"/>
      <c r="IP5" s="254"/>
      <c r="IQ5" s="254"/>
      <c r="IR5" s="254"/>
      <c r="IS5" s="254"/>
      <c r="IT5" s="254"/>
      <c r="IU5" s="254"/>
      <c r="IV5" s="254"/>
      <c r="IW5" s="254"/>
      <c r="IX5" s="254"/>
      <c r="IY5" s="254"/>
      <c r="IZ5" s="254"/>
      <c r="JA5" s="254"/>
      <c r="JB5" s="254"/>
      <c r="JC5" s="254"/>
      <c r="JD5" s="254"/>
      <c r="JE5" s="254"/>
      <c r="JF5" s="254"/>
      <c r="JG5" s="254"/>
      <c r="JH5" s="254"/>
      <c r="JI5" s="254"/>
      <c r="JJ5" s="254"/>
      <c r="JK5" s="254"/>
      <c r="JL5" s="254"/>
      <c r="JM5" s="254"/>
      <c r="JN5" s="254"/>
      <c r="JO5" s="254"/>
      <c r="JP5" s="254"/>
      <c r="JQ5" s="254"/>
      <c r="JR5" s="254"/>
      <c r="JS5" s="254"/>
      <c r="JT5" s="254"/>
      <c r="JU5" s="254"/>
      <c r="JV5" s="254"/>
      <c r="JW5" s="254"/>
      <c r="JX5" s="254"/>
      <c r="JY5" s="254"/>
      <c r="JZ5" s="254"/>
      <c r="KA5" s="254"/>
      <c r="KB5" s="254"/>
      <c r="KC5" s="254"/>
      <c r="KD5" s="254"/>
      <c r="KE5" s="254"/>
      <c r="KF5" s="254"/>
      <c r="KG5" s="255"/>
      <c r="KH5" s="13"/>
    </row>
    <row r="6" spans="1:294" s="3" customFormat="1" ht="16" thickBot="1" x14ac:dyDescent="0.4">
      <c r="A6" s="2"/>
      <c r="B6" s="63"/>
      <c r="C6" s="63"/>
      <c r="D6" s="63"/>
      <c r="E6" s="63"/>
      <c r="F6" s="63"/>
      <c r="G6" s="64"/>
      <c r="H6" s="257" t="s">
        <v>21</v>
      </c>
      <c r="I6" s="258"/>
      <c r="J6" s="259"/>
      <c r="K6" s="257" t="s">
        <v>22</v>
      </c>
      <c r="L6" s="258"/>
      <c r="M6" s="259"/>
      <c r="N6" s="66"/>
      <c r="O6" s="66"/>
      <c r="P6" s="66"/>
      <c r="Q6" s="187"/>
      <c r="R6" s="31"/>
      <c r="S6" s="209" t="str">
        <f>IF(DAY(S7)=1,TEXT(S7,"mmm yyyy"),"")</f>
        <v>Jun 2026</v>
      </c>
      <c r="T6" s="210" t="str">
        <f>IF(DAY(T7)=1,TEXT(T7,"mmm yyyy"),"")</f>
        <v/>
      </c>
      <c r="U6" s="210" t="str">
        <f t="shared" ref="U6:CF6" si="0">IF(DAY(U7)=1,TEXT(U7,"mmm yyyy"),"")</f>
        <v/>
      </c>
      <c r="V6" s="210" t="str">
        <f t="shared" si="0"/>
        <v/>
      </c>
      <c r="W6" s="210" t="str">
        <f t="shared" si="0"/>
        <v/>
      </c>
      <c r="X6" s="210" t="str">
        <f t="shared" si="0"/>
        <v/>
      </c>
      <c r="Y6" s="210" t="str">
        <f t="shared" si="0"/>
        <v/>
      </c>
      <c r="Z6" s="210" t="str">
        <f t="shared" si="0"/>
        <v/>
      </c>
      <c r="AA6" s="210" t="str">
        <f t="shared" si="0"/>
        <v/>
      </c>
      <c r="AB6" s="210" t="str">
        <f t="shared" si="0"/>
        <v/>
      </c>
      <c r="AC6" s="210" t="str">
        <f t="shared" si="0"/>
        <v/>
      </c>
      <c r="AD6" s="210" t="str">
        <f t="shared" si="0"/>
        <v/>
      </c>
      <c r="AE6" s="210" t="str">
        <f t="shared" si="0"/>
        <v/>
      </c>
      <c r="AF6" s="210" t="str">
        <f t="shared" si="0"/>
        <v/>
      </c>
      <c r="AG6" s="210" t="str">
        <f t="shared" si="0"/>
        <v/>
      </c>
      <c r="AH6" s="210" t="str">
        <f t="shared" si="0"/>
        <v/>
      </c>
      <c r="AI6" s="210" t="str">
        <f t="shared" si="0"/>
        <v/>
      </c>
      <c r="AJ6" s="210" t="str">
        <f t="shared" si="0"/>
        <v/>
      </c>
      <c r="AK6" s="210" t="str">
        <f t="shared" si="0"/>
        <v/>
      </c>
      <c r="AL6" s="210" t="str">
        <f t="shared" si="0"/>
        <v/>
      </c>
      <c r="AM6" s="210" t="str">
        <f t="shared" si="0"/>
        <v/>
      </c>
      <c r="AN6" s="210" t="str">
        <f t="shared" si="0"/>
        <v/>
      </c>
      <c r="AO6" s="210" t="str">
        <f t="shared" si="0"/>
        <v/>
      </c>
      <c r="AP6" s="210" t="str">
        <f t="shared" si="0"/>
        <v/>
      </c>
      <c r="AQ6" s="210" t="str">
        <f t="shared" si="0"/>
        <v/>
      </c>
      <c r="AR6" s="210" t="str">
        <f t="shared" si="0"/>
        <v/>
      </c>
      <c r="AS6" s="210" t="str">
        <f t="shared" si="0"/>
        <v/>
      </c>
      <c r="AT6" s="210" t="str">
        <f t="shared" si="0"/>
        <v/>
      </c>
      <c r="AU6" s="210" t="str">
        <f t="shared" si="0"/>
        <v/>
      </c>
      <c r="AV6" s="210" t="str">
        <f t="shared" si="0"/>
        <v/>
      </c>
      <c r="AW6" s="210" t="str">
        <f t="shared" si="0"/>
        <v>Jul 2026</v>
      </c>
      <c r="AX6" s="210" t="str">
        <f t="shared" si="0"/>
        <v/>
      </c>
      <c r="AY6" s="210" t="str">
        <f t="shared" si="0"/>
        <v/>
      </c>
      <c r="AZ6" s="210" t="str">
        <f t="shared" si="0"/>
        <v/>
      </c>
      <c r="BA6" s="210" t="str">
        <f t="shared" si="0"/>
        <v/>
      </c>
      <c r="BB6" s="210" t="str">
        <f t="shared" si="0"/>
        <v/>
      </c>
      <c r="BC6" s="210" t="str">
        <f t="shared" si="0"/>
        <v/>
      </c>
      <c r="BD6" s="210" t="str">
        <f t="shared" si="0"/>
        <v/>
      </c>
      <c r="BE6" s="210" t="str">
        <f t="shared" si="0"/>
        <v/>
      </c>
      <c r="BF6" s="210" t="str">
        <f t="shared" si="0"/>
        <v/>
      </c>
      <c r="BG6" s="210" t="str">
        <f t="shared" si="0"/>
        <v/>
      </c>
      <c r="BH6" s="210" t="str">
        <f t="shared" si="0"/>
        <v/>
      </c>
      <c r="BI6" s="210" t="str">
        <f t="shared" si="0"/>
        <v/>
      </c>
      <c r="BJ6" s="210" t="str">
        <f t="shared" si="0"/>
        <v/>
      </c>
      <c r="BK6" s="210" t="str">
        <f t="shared" si="0"/>
        <v/>
      </c>
      <c r="BL6" s="210" t="str">
        <f t="shared" si="0"/>
        <v/>
      </c>
      <c r="BM6" s="210" t="str">
        <f t="shared" si="0"/>
        <v/>
      </c>
      <c r="BN6" s="210" t="str">
        <f t="shared" si="0"/>
        <v/>
      </c>
      <c r="BO6" s="210" t="str">
        <f t="shared" si="0"/>
        <v/>
      </c>
      <c r="BP6" s="210" t="str">
        <f t="shared" si="0"/>
        <v/>
      </c>
      <c r="BQ6" s="210" t="str">
        <f t="shared" si="0"/>
        <v/>
      </c>
      <c r="BR6" s="210" t="str">
        <f t="shared" si="0"/>
        <v/>
      </c>
      <c r="BS6" s="210" t="str">
        <f t="shared" si="0"/>
        <v/>
      </c>
      <c r="BT6" s="210" t="str">
        <f t="shared" si="0"/>
        <v/>
      </c>
      <c r="BU6" s="210" t="str">
        <f t="shared" si="0"/>
        <v/>
      </c>
      <c r="BV6" s="210" t="str">
        <f t="shared" si="0"/>
        <v/>
      </c>
      <c r="BW6" s="210" t="str">
        <f t="shared" si="0"/>
        <v/>
      </c>
      <c r="BX6" s="210" t="str">
        <f t="shared" si="0"/>
        <v/>
      </c>
      <c r="BY6" s="210" t="str">
        <f t="shared" si="0"/>
        <v/>
      </c>
      <c r="BZ6" s="210" t="str">
        <f t="shared" si="0"/>
        <v/>
      </c>
      <c r="CA6" s="210" t="str">
        <f t="shared" si="0"/>
        <v/>
      </c>
      <c r="CB6" s="210" t="str">
        <f t="shared" si="0"/>
        <v>Aug 2026</v>
      </c>
      <c r="CC6" s="210" t="str">
        <f t="shared" si="0"/>
        <v/>
      </c>
      <c r="CD6" s="210" t="str">
        <f t="shared" si="0"/>
        <v/>
      </c>
      <c r="CE6" s="210" t="str">
        <f t="shared" si="0"/>
        <v/>
      </c>
      <c r="CF6" s="210" t="str">
        <f t="shared" si="0"/>
        <v/>
      </c>
      <c r="CG6" s="210" t="str">
        <f t="shared" ref="CG6:DE6" si="1">IF(DAY(CG7)=1,TEXT(CG7,"mmm yyyy"),"")</f>
        <v/>
      </c>
      <c r="CH6" s="210" t="str">
        <f t="shared" si="1"/>
        <v/>
      </c>
      <c r="CI6" s="210" t="str">
        <f t="shared" si="1"/>
        <v/>
      </c>
      <c r="CJ6" s="210" t="str">
        <f t="shared" si="1"/>
        <v/>
      </c>
      <c r="CK6" s="210" t="str">
        <f t="shared" si="1"/>
        <v/>
      </c>
      <c r="CL6" s="210" t="str">
        <f t="shared" si="1"/>
        <v/>
      </c>
      <c r="CM6" s="210" t="str">
        <f t="shared" si="1"/>
        <v/>
      </c>
      <c r="CN6" s="210" t="str">
        <f t="shared" si="1"/>
        <v/>
      </c>
      <c r="CO6" s="210" t="str">
        <f t="shared" si="1"/>
        <v/>
      </c>
      <c r="CP6" s="210" t="str">
        <f t="shared" si="1"/>
        <v/>
      </c>
      <c r="CQ6" s="210" t="str">
        <f t="shared" si="1"/>
        <v/>
      </c>
      <c r="CR6" s="210" t="str">
        <f t="shared" si="1"/>
        <v/>
      </c>
      <c r="CS6" s="210" t="str">
        <f t="shared" si="1"/>
        <v/>
      </c>
      <c r="CT6" s="210" t="str">
        <f t="shared" si="1"/>
        <v/>
      </c>
      <c r="CU6" s="210" t="str">
        <f t="shared" si="1"/>
        <v/>
      </c>
      <c r="CV6" s="210" t="str">
        <f t="shared" si="1"/>
        <v/>
      </c>
      <c r="CW6" s="210" t="str">
        <f t="shared" si="1"/>
        <v/>
      </c>
      <c r="CX6" s="210" t="str">
        <f t="shared" si="1"/>
        <v/>
      </c>
      <c r="CY6" s="210" t="str">
        <f t="shared" si="1"/>
        <v/>
      </c>
      <c r="CZ6" s="210" t="str">
        <f t="shared" si="1"/>
        <v/>
      </c>
      <c r="DA6" s="210" t="str">
        <f t="shared" si="1"/>
        <v/>
      </c>
      <c r="DB6" s="210" t="str">
        <f t="shared" si="1"/>
        <v/>
      </c>
      <c r="DC6" s="210" t="str">
        <f t="shared" si="1"/>
        <v/>
      </c>
      <c r="DD6" s="210" t="str">
        <f t="shared" si="1"/>
        <v/>
      </c>
      <c r="DE6" s="215" t="str">
        <f t="shared" si="1"/>
        <v/>
      </c>
      <c r="DF6" s="25"/>
      <c r="DG6" s="229" t="str">
        <f>IF(DAY(DG7)=1,TEXT(DG7,"mmm yyyy"),"")</f>
        <v>Jun 2026</v>
      </c>
      <c r="DH6" s="230" t="str">
        <f>IF(DAY(DH7)=1,TEXT(DH7,"mmm yyyy"),"")</f>
        <v/>
      </c>
      <c r="DI6" s="230" t="str">
        <f t="shared" ref="DI6:FT6" si="2">IF(DAY(DI7)=1,TEXT(DI7,"mmm yyyy"),"")</f>
        <v/>
      </c>
      <c r="DJ6" s="230" t="str">
        <f t="shared" si="2"/>
        <v/>
      </c>
      <c r="DK6" s="230" t="str">
        <f t="shared" si="2"/>
        <v/>
      </c>
      <c r="DL6" s="230" t="str">
        <f t="shared" si="2"/>
        <v/>
      </c>
      <c r="DM6" s="230" t="str">
        <f t="shared" si="2"/>
        <v/>
      </c>
      <c r="DN6" s="230" t="str">
        <f t="shared" si="2"/>
        <v/>
      </c>
      <c r="DO6" s="230" t="str">
        <f t="shared" si="2"/>
        <v/>
      </c>
      <c r="DP6" s="230" t="str">
        <f t="shared" si="2"/>
        <v/>
      </c>
      <c r="DQ6" s="230" t="str">
        <f t="shared" si="2"/>
        <v/>
      </c>
      <c r="DR6" s="230" t="str">
        <f t="shared" si="2"/>
        <v/>
      </c>
      <c r="DS6" s="230" t="str">
        <f t="shared" si="2"/>
        <v/>
      </c>
      <c r="DT6" s="230" t="str">
        <f t="shared" si="2"/>
        <v/>
      </c>
      <c r="DU6" s="230" t="str">
        <f t="shared" si="2"/>
        <v/>
      </c>
      <c r="DV6" s="230" t="str">
        <f t="shared" si="2"/>
        <v/>
      </c>
      <c r="DW6" s="230" t="str">
        <f t="shared" si="2"/>
        <v/>
      </c>
      <c r="DX6" s="230" t="str">
        <f t="shared" si="2"/>
        <v/>
      </c>
      <c r="DY6" s="230" t="str">
        <f t="shared" si="2"/>
        <v/>
      </c>
      <c r="DZ6" s="230" t="str">
        <f t="shared" si="2"/>
        <v/>
      </c>
      <c r="EA6" s="230" t="str">
        <f t="shared" si="2"/>
        <v/>
      </c>
      <c r="EB6" s="230" t="str">
        <f t="shared" si="2"/>
        <v/>
      </c>
      <c r="EC6" s="230" t="str">
        <f t="shared" si="2"/>
        <v/>
      </c>
      <c r="ED6" s="230" t="str">
        <f t="shared" si="2"/>
        <v/>
      </c>
      <c r="EE6" s="230" t="str">
        <f t="shared" si="2"/>
        <v/>
      </c>
      <c r="EF6" s="230" t="str">
        <f t="shared" si="2"/>
        <v/>
      </c>
      <c r="EG6" s="230" t="str">
        <f t="shared" si="2"/>
        <v/>
      </c>
      <c r="EH6" s="230" t="str">
        <f t="shared" si="2"/>
        <v/>
      </c>
      <c r="EI6" s="230" t="str">
        <f t="shared" si="2"/>
        <v/>
      </c>
      <c r="EJ6" s="230" t="str">
        <f t="shared" si="2"/>
        <v/>
      </c>
      <c r="EK6" s="230" t="str">
        <f t="shared" si="2"/>
        <v>Jul 2026</v>
      </c>
      <c r="EL6" s="230" t="str">
        <f t="shared" si="2"/>
        <v/>
      </c>
      <c r="EM6" s="230" t="str">
        <f t="shared" si="2"/>
        <v/>
      </c>
      <c r="EN6" s="230" t="str">
        <f t="shared" si="2"/>
        <v/>
      </c>
      <c r="EO6" s="230" t="str">
        <f t="shared" si="2"/>
        <v/>
      </c>
      <c r="EP6" s="230" t="str">
        <f t="shared" si="2"/>
        <v/>
      </c>
      <c r="EQ6" s="230" t="str">
        <f t="shared" si="2"/>
        <v/>
      </c>
      <c r="ER6" s="230" t="str">
        <f t="shared" si="2"/>
        <v/>
      </c>
      <c r="ES6" s="230" t="str">
        <f t="shared" si="2"/>
        <v/>
      </c>
      <c r="ET6" s="230" t="str">
        <f t="shared" si="2"/>
        <v/>
      </c>
      <c r="EU6" s="230" t="str">
        <f t="shared" si="2"/>
        <v/>
      </c>
      <c r="EV6" s="230" t="str">
        <f t="shared" si="2"/>
        <v/>
      </c>
      <c r="EW6" s="230" t="str">
        <f t="shared" si="2"/>
        <v/>
      </c>
      <c r="EX6" s="230" t="str">
        <f t="shared" si="2"/>
        <v/>
      </c>
      <c r="EY6" s="230" t="str">
        <f t="shared" si="2"/>
        <v/>
      </c>
      <c r="EZ6" s="230" t="str">
        <f t="shared" si="2"/>
        <v/>
      </c>
      <c r="FA6" s="230" t="str">
        <f t="shared" si="2"/>
        <v/>
      </c>
      <c r="FB6" s="230" t="str">
        <f t="shared" si="2"/>
        <v/>
      </c>
      <c r="FC6" s="230" t="str">
        <f t="shared" si="2"/>
        <v/>
      </c>
      <c r="FD6" s="230" t="str">
        <f t="shared" si="2"/>
        <v/>
      </c>
      <c r="FE6" s="230" t="str">
        <f t="shared" si="2"/>
        <v/>
      </c>
      <c r="FF6" s="230" t="str">
        <f t="shared" si="2"/>
        <v/>
      </c>
      <c r="FG6" s="230" t="str">
        <f t="shared" si="2"/>
        <v/>
      </c>
      <c r="FH6" s="230" t="str">
        <f t="shared" si="2"/>
        <v/>
      </c>
      <c r="FI6" s="230" t="str">
        <f t="shared" si="2"/>
        <v/>
      </c>
      <c r="FJ6" s="230" t="str">
        <f t="shared" si="2"/>
        <v/>
      </c>
      <c r="FK6" s="230" t="str">
        <f t="shared" si="2"/>
        <v/>
      </c>
      <c r="FL6" s="230" t="str">
        <f t="shared" si="2"/>
        <v/>
      </c>
      <c r="FM6" s="230" t="str">
        <f t="shared" si="2"/>
        <v/>
      </c>
      <c r="FN6" s="230" t="str">
        <f t="shared" si="2"/>
        <v/>
      </c>
      <c r="FO6" s="230" t="str">
        <f t="shared" si="2"/>
        <v/>
      </c>
      <c r="FP6" s="230" t="str">
        <f t="shared" si="2"/>
        <v>Aug 2026</v>
      </c>
      <c r="FQ6" s="230" t="str">
        <f t="shared" si="2"/>
        <v/>
      </c>
      <c r="FR6" s="230" t="str">
        <f t="shared" si="2"/>
        <v/>
      </c>
      <c r="FS6" s="230" t="str">
        <f t="shared" si="2"/>
        <v/>
      </c>
      <c r="FT6" s="230" t="str">
        <f t="shared" si="2"/>
        <v/>
      </c>
      <c r="FU6" s="230" t="str">
        <f t="shared" ref="FU6:GS6" si="3">IF(DAY(FU7)=1,TEXT(FU7,"mmm yyyy"),"")</f>
        <v/>
      </c>
      <c r="FV6" s="230" t="str">
        <f t="shared" si="3"/>
        <v/>
      </c>
      <c r="FW6" s="230" t="str">
        <f t="shared" si="3"/>
        <v/>
      </c>
      <c r="FX6" s="230" t="str">
        <f t="shared" si="3"/>
        <v/>
      </c>
      <c r="FY6" s="230" t="str">
        <f t="shared" si="3"/>
        <v/>
      </c>
      <c r="FZ6" s="230" t="str">
        <f t="shared" si="3"/>
        <v/>
      </c>
      <c r="GA6" s="230" t="str">
        <f t="shared" si="3"/>
        <v/>
      </c>
      <c r="GB6" s="230" t="str">
        <f t="shared" si="3"/>
        <v/>
      </c>
      <c r="GC6" s="230" t="str">
        <f t="shared" si="3"/>
        <v/>
      </c>
      <c r="GD6" s="230" t="str">
        <f t="shared" si="3"/>
        <v/>
      </c>
      <c r="GE6" s="230" t="str">
        <f t="shared" si="3"/>
        <v/>
      </c>
      <c r="GF6" s="230" t="str">
        <f t="shared" si="3"/>
        <v/>
      </c>
      <c r="GG6" s="230" t="str">
        <f t="shared" si="3"/>
        <v/>
      </c>
      <c r="GH6" s="230" t="str">
        <f t="shared" si="3"/>
        <v/>
      </c>
      <c r="GI6" s="230" t="str">
        <f t="shared" si="3"/>
        <v/>
      </c>
      <c r="GJ6" s="230" t="str">
        <f t="shared" si="3"/>
        <v/>
      </c>
      <c r="GK6" s="230" t="str">
        <f t="shared" si="3"/>
        <v/>
      </c>
      <c r="GL6" s="230" t="str">
        <f t="shared" si="3"/>
        <v/>
      </c>
      <c r="GM6" s="230" t="str">
        <f t="shared" si="3"/>
        <v/>
      </c>
      <c r="GN6" s="230" t="str">
        <f t="shared" si="3"/>
        <v/>
      </c>
      <c r="GO6" s="230" t="str">
        <f t="shared" si="3"/>
        <v/>
      </c>
      <c r="GP6" s="230" t="str">
        <f t="shared" si="3"/>
        <v/>
      </c>
      <c r="GQ6" s="230" t="str">
        <f t="shared" si="3"/>
        <v/>
      </c>
      <c r="GR6" s="230" t="str">
        <f t="shared" si="3"/>
        <v/>
      </c>
      <c r="GS6" s="231" t="str">
        <f t="shared" si="3"/>
        <v/>
      </c>
      <c r="GT6" s="31"/>
      <c r="GU6" s="229" t="str">
        <f>IF(DAY(GU7)=1,TEXT(GU7,"mmm yyyy"),"")</f>
        <v>Jun 2026</v>
      </c>
      <c r="GV6" s="230" t="str">
        <f>IF(DAY(GV7)=1,TEXT(GV7,"mmm yyyy"),"")</f>
        <v/>
      </c>
      <c r="GW6" s="230" t="str">
        <f t="shared" ref="GW6:JH6" si="4">IF(DAY(GW7)=1,TEXT(GW7,"mmm yyyy"),"")</f>
        <v/>
      </c>
      <c r="GX6" s="230" t="str">
        <f t="shared" si="4"/>
        <v/>
      </c>
      <c r="GY6" s="230" t="str">
        <f t="shared" si="4"/>
        <v/>
      </c>
      <c r="GZ6" s="230" t="str">
        <f t="shared" si="4"/>
        <v/>
      </c>
      <c r="HA6" s="230" t="str">
        <f t="shared" si="4"/>
        <v/>
      </c>
      <c r="HB6" s="230" t="str">
        <f t="shared" si="4"/>
        <v/>
      </c>
      <c r="HC6" s="230" t="str">
        <f t="shared" si="4"/>
        <v/>
      </c>
      <c r="HD6" s="230" t="str">
        <f t="shared" si="4"/>
        <v/>
      </c>
      <c r="HE6" s="230" t="str">
        <f t="shared" si="4"/>
        <v/>
      </c>
      <c r="HF6" s="230" t="str">
        <f t="shared" si="4"/>
        <v/>
      </c>
      <c r="HG6" s="230" t="str">
        <f t="shared" si="4"/>
        <v/>
      </c>
      <c r="HH6" s="230" t="str">
        <f t="shared" si="4"/>
        <v/>
      </c>
      <c r="HI6" s="230" t="str">
        <f t="shared" si="4"/>
        <v/>
      </c>
      <c r="HJ6" s="230" t="str">
        <f t="shared" si="4"/>
        <v/>
      </c>
      <c r="HK6" s="230" t="str">
        <f t="shared" si="4"/>
        <v/>
      </c>
      <c r="HL6" s="230" t="str">
        <f t="shared" si="4"/>
        <v/>
      </c>
      <c r="HM6" s="230" t="str">
        <f t="shared" si="4"/>
        <v/>
      </c>
      <c r="HN6" s="230" t="str">
        <f t="shared" si="4"/>
        <v/>
      </c>
      <c r="HO6" s="230" t="str">
        <f t="shared" si="4"/>
        <v/>
      </c>
      <c r="HP6" s="230" t="str">
        <f t="shared" si="4"/>
        <v/>
      </c>
      <c r="HQ6" s="230" t="str">
        <f t="shared" si="4"/>
        <v/>
      </c>
      <c r="HR6" s="230" t="str">
        <f t="shared" si="4"/>
        <v/>
      </c>
      <c r="HS6" s="230" t="str">
        <f t="shared" si="4"/>
        <v/>
      </c>
      <c r="HT6" s="230" t="str">
        <f t="shared" si="4"/>
        <v/>
      </c>
      <c r="HU6" s="230" t="str">
        <f t="shared" si="4"/>
        <v/>
      </c>
      <c r="HV6" s="230" t="str">
        <f t="shared" si="4"/>
        <v/>
      </c>
      <c r="HW6" s="230" t="str">
        <f t="shared" si="4"/>
        <v/>
      </c>
      <c r="HX6" s="230" t="str">
        <f t="shared" si="4"/>
        <v/>
      </c>
      <c r="HY6" s="230" t="str">
        <f t="shared" si="4"/>
        <v>Jul 2026</v>
      </c>
      <c r="HZ6" s="230" t="str">
        <f t="shared" si="4"/>
        <v/>
      </c>
      <c r="IA6" s="230" t="str">
        <f t="shared" si="4"/>
        <v/>
      </c>
      <c r="IB6" s="230" t="str">
        <f t="shared" si="4"/>
        <v/>
      </c>
      <c r="IC6" s="230" t="str">
        <f t="shared" si="4"/>
        <v/>
      </c>
      <c r="ID6" s="230" t="str">
        <f t="shared" si="4"/>
        <v/>
      </c>
      <c r="IE6" s="230" t="str">
        <f t="shared" si="4"/>
        <v/>
      </c>
      <c r="IF6" s="230" t="str">
        <f t="shared" si="4"/>
        <v/>
      </c>
      <c r="IG6" s="230" t="str">
        <f t="shared" si="4"/>
        <v/>
      </c>
      <c r="IH6" s="230" t="str">
        <f t="shared" si="4"/>
        <v/>
      </c>
      <c r="II6" s="230" t="str">
        <f t="shared" si="4"/>
        <v/>
      </c>
      <c r="IJ6" s="230" t="str">
        <f t="shared" si="4"/>
        <v/>
      </c>
      <c r="IK6" s="230" t="str">
        <f t="shared" si="4"/>
        <v/>
      </c>
      <c r="IL6" s="230" t="str">
        <f t="shared" si="4"/>
        <v/>
      </c>
      <c r="IM6" s="230" t="str">
        <f t="shared" si="4"/>
        <v/>
      </c>
      <c r="IN6" s="230" t="str">
        <f t="shared" si="4"/>
        <v/>
      </c>
      <c r="IO6" s="230" t="str">
        <f t="shared" si="4"/>
        <v/>
      </c>
      <c r="IP6" s="230" t="str">
        <f t="shared" si="4"/>
        <v/>
      </c>
      <c r="IQ6" s="230" t="str">
        <f t="shared" si="4"/>
        <v/>
      </c>
      <c r="IR6" s="230" t="str">
        <f t="shared" si="4"/>
        <v/>
      </c>
      <c r="IS6" s="230" t="str">
        <f t="shared" si="4"/>
        <v/>
      </c>
      <c r="IT6" s="230" t="str">
        <f t="shared" si="4"/>
        <v/>
      </c>
      <c r="IU6" s="230" t="str">
        <f t="shared" si="4"/>
        <v/>
      </c>
      <c r="IV6" s="230" t="str">
        <f t="shared" si="4"/>
        <v/>
      </c>
      <c r="IW6" s="230" t="str">
        <f t="shared" si="4"/>
        <v/>
      </c>
      <c r="IX6" s="230" t="str">
        <f t="shared" si="4"/>
        <v/>
      </c>
      <c r="IY6" s="230" t="str">
        <f t="shared" si="4"/>
        <v/>
      </c>
      <c r="IZ6" s="230" t="str">
        <f t="shared" si="4"/>
        <v/>
      </c>
      <c r="JA6" s="230" t="str">
        <f t="shared" si="4"/>
        <v/>
      </c>
      <c r="JB6" s="230" t="str">
        <f t="shared" si="4"/>
        <v/>
      </c>
      <c r="JC6" s="230" t="str">
        <f t="shared" si="4"/>
        <v/>
      </c>
      <c r="JD6" s="230" t="str">
        <f t="shared" si="4"/>
        <v>Aug 2026</v>
      </c>
      <c r="JE6" s="230" t="str">
        <f t="shared" si="4"/>
        <v/>
      </c>
      <c r="JF6" s="230" t="str">
        <f t="shared" si="4"/>
        <v/>
      </c>
      <c r="JG6" s="230" t="str">
        <f t="shared" si="4"/>
        <v/>
      </c>
      <c r="JH6" s="230" t="str">
        <f t="shared" si="4"/>
        <v/>
      </c>
      <c r="JI6" s="230" t="str">
        <f t="shared" ref="JI6:KG6" si="5">IF(DAY(JI7)=1,TEXT(JI7,"mmm yyyy"),"")</f>
        <v/>
      </c>
      <c r="JJ6" s="230" t="str">
        <f t="shared" si="5"/>
        <v/>
      </c>
      <c r="JK6" s="230" t="str">
        <f t="shared" si="5"/>
        <v/>
      </c>
      <c r="JL6" s="230" t="str">
        <f t="shared" si="5"/>
        <v/>
      </c>
      <c r="JM6" s="230" t="str">
        <f t="shared" si="5"/>
        <v/>
      </c>
      <c r="JN6" s="230" t="str">
        <f t="shared" si="5"/>
        <v/>
      </c>
      <c r="JO6" s="230" t="str">
        <f t="shared" si="5"/>
        <v/>
      </c>
      <c r="JP6" s="230" t="str">
        <f t="shared" si="5"/>
        <v/>
      </c>
      <c r="JQ6" s="230" t="str">
        <f t="shared" si="5"/>
        <v/>
      </c>
      <c r="JR6" s="230" t="str">
        <f t="shared" si="5"/>
        <v/>
      </c>
      <c r="JS6" s="230" t="str">
        <f t="shared" si="5"/>
        <v/>
      </c>
      <c r="JT6" s="230" t="str">
        <f t="shared" si="5"/>
        <v/>
      </c>
      <c r="JU6" s="230" t="str">
        <f t="shared" si="5"/>
        <v/>
      </c>
      <c r="JV6" s="230" t="str">
        <f t="shared" si="5"/>
        <v/>
      </c>
      <c r="JW6" s="230" t="str">
        <f t="shared" si="5"/>
        <v/>
      </c>
      <c r="JX6" s="230" t="str">
        <f t="shared" si="5"/>
        <v/>
      </c>
      <c r="JY6" s="230" t="str">
        <f t="shared" si="5"/>
        <v/>
      </c>
      <c r="JZ6" s="230" t="str">
        <f t="shared" si="5"/>
        <v/>
      </c>
      <c r="KA6" s="230" t="str">
        <f t="shared" si="5"/>
        <v/>
      </c>
      <c r="KB6" s="230" t="str">
        <f t="shared" si="5"/>
        <v/>
      </c>
      <c r="KC6" s="230" t="str">
        <f t="shared" si="5"/>
        <v/>
      </c>
      <c r="KD6" s="230" t="str">
        <f t="shared" si="5"/>
        <v/>
      </c>
      <c r="KE6" s="230" t="str">
        <f t="shared" si="5"/>
        <v/>
      </c>
      <c r="KF6" s="230" t="str">
        <f t="shared" si="5"/>
        <v/>
      </c>
      <c r="KG6" s="231" t="str">
        <f t="shared" si="5"/>
        <v/>
      </c>
      <c r="KH6" s="11"/>
    </row>
    <row r="7" spans="1:294" ht="15" thickBot="1" x14ac:dyDescent="0.4">
      <c r="A7" s="4"/>
      <c r="B7" s="59" t="s">
        <v>28</v>
      </c>
      <c r="C7" s="60" t="s">
        <v>31</v>
      </c>
      <c r="D7" s="60" t="s">
        <v>0</v>
      </c>
      <c r="E7" s="60" t="s">
        <v>29</v>
      </c>
      <c r="F7" s="60" t="s">
        <v>42</v>
      </c>
      <c r="G7" s="61" t="s">
        <v>1</v>
      </c>
      <c r="H7" s="18" t="s">
        <v>23</v>
      </c>
      <c r="I7" s="18" t="s">
        <v>26</v>
      </c>
      <c r="J7" s="19" t="s">
        <v>36</v>
      </c>
      <c r="K7" s="19" t="s">
        <v>24</v>
      </c>
      <c r="L7" s="18" t="s">
        <v>25</v>
      </c>
      <c r="M7" s="19" t="s">
        <v>37</v>
      </c>
      <c r="N7" s="65" t="s">
        <v>27</v>
      </c>
      <c r="O7" s="62" t="s">
        <v>93</v>
      </c>
      <c r="P7" s="65" t="s">
        <v>41</v>
      </c>
      <c r="Q7" s="188" t="s">
        <v>142</v>
      </c>
      <c r="S7" s="153">
        <f>S3</f>
        <v>46174</v>
      </c>
      <c r="T7" s="154">
        <f>S7+1</f>
        <v>46175</v>
      </c>
      <c r="U7" s="154">
        <f t="shared" ref="U7:CF7" si="6">T7+1</f>
        <v>46176</v>
      </c>
      <c r="V7" s="154">
        <f t="shared" si="6"/>
        <v>46177</v>
      </c>
      <c r="W7" s="154">
        <f t="shared" si="6"/>
        <v>46178</v>
      </c>
      <c r="X7" s="154">
        <f t="shared" si="6"/>
        <v>46179</v>
      </c>
      <c r="Y7" s="154">
        <f t="shared" si="6"/>
        <v>46180</v>
      </c>
      <c r="Z7" s="154">
        <f t="shared" si="6"/>
        <v>46181</v>
      </c>
      <c r="AA7" s="154">
        <f t="shared" si="6"/>
        <v>46182</v>
      </c>
      <c r="AB7" s="154">
        <f t="shared" si="6"/>
        <v>46183</v>
      </c>
      <c r="AC7" s="154">
        <f t="shared" si="6"/>
        <v>46184</v>
      </c>
      <c r="AD7" s="154">
        <f t="shared" si="6"/>
        <v>46185</v>
      </c>
      <c r="AE7" s="154">
        <f t="shared" si="6"/>
        <v>46186</v>
      </c>
      <c r="AF7" s="154">
        <f t="shared" si="6"/>
        <v>46187</v>
      </c>
      <c r="AG7" s="154">
        <f t="shared" si="6"/>
        <v>46188</v>
      </c>
      <c r="AH7" s="154">
        <f t="shared" si="6"/>
        <v>46189</v>
      </c>
      <c r="AI7" s="154">
        <f t="shared" si="6"/>
        <v>46190</v>
      </c>
      <c r="AJ7" s="154">
        <f t="shared" si="6"/>
        <v>46191</v>
      </c>
      <c r="AK7" s="154">
        <f t="shared" si="6"/>
        <v>46192</v>
      </c>
      <c r="AL7" s="154">
        <f t="shared" si="6"/>
        <v>46193</v>
      </c>
      <c r="AM7" s="154">
        <f t="shared" si="6"/>
        <v>46194</v>
      </c>
      <c r="AN7" s="154">
        <f t="shared" si="6"/>
        <v>46195</v>
      </c>
      <c r="AO7" s="154">
        <f t="shared" si="6"/>
        <v>46196</v>
      </c>
      <c r="AP7" s="154">
        <f t="shared" si="6"/>
        <v>46197</v>
      </c>
      <c r="AQ7" s="154">
        <f t="shared" si="6"/>
        <v>46198</v>
      </c>
      <c r="AR7" s="154">
        <f t="shared" si="6"/>
        <v>46199</v>
      </c>
      <c r="AS7" s="154">
        <f t="shared" si="6"/>
        <v>46200</v>
      </c>
      <c r="AT7" s="154">
        <f t="shared" si="6"/>
        <v>46201</v>
      </c>
      <c r="AU7" s="154">
        <f t="shared" si="6"/>
        <v>46202</v>
      </c>
      <c r="AV7" s="154">
        <f t="shared" si="6"/>
        <v>46203</v>
      </c>
      <c r="AW7" s="154">
        <f t="shared" si="6"/>
        <v>46204</v>
      </c>
      <c r="AX7" s="154">
        <f t="shared" si="6"/>
        <v>46205</v>
      </c>
      <c r="AY7" s="154">
        <f t="shared" si="6"/>
        <v>46206</v>
      </c>
      <c r="AZ7" s="154">
        <f t="shared" si="6"/>
        <v>46207</v>
      </c>
      <c r="BA7" s="154">
        <f t="shared" si="6"/>
        <v>46208</v>
      </c>
      <c r="BB7" s="154">
        <f t="shared" si="6"/>
        <v>46209</v>
      </c>
      <c r="BC7" s="154">
        <f t="shared" si="6"/>
        <v>46210</v>
      </c>
      <c r="BD7" s="154">
        <f t="shared" si="6"/>
        <v>46211</v>
      </c>
      <c r="BE7" s="154">
        <f t="shared" si="6"/>
        <v>46212</v>
      </c>
      <c r="BF7" s="154">
        <f t="shared" si="6"/>
        <v>46213</v>
      </c>
      <c r="BG7" s="154">
        <f t="shared" si="6"/>
        <v>46214</v>
      </c>
      <c r="BH7" s="154">
        <f t="shared" si="6"/>
        <v>46215</v>
      </c>
      <c r="BI7" s="154">
        <f t="shared" si="6"/>
        <v>46216</v>
      </c>
      <c r="BJ7" s="154">
        <f t="shared" si="6"/>
        <v>46217</v>
      </c>
      <c r="BK7" s="154">
        <f t="shared" si="6"/>
        <v>46218</v>
      </c>
      <c r="BL7" s="154">
        <f t="shared" si="6"/>
        <v>46219</v>
      </c>
      <c r="BM7" s="154">
        <f t="shared" si="6"/>
        <v>46220</v>
      </c>
      <c r="BN7" s="154">
        <f t="shared" si="6"/>
        <v>46221</v>
      </c>
      <c r="BO7" s="154">
        <f t="shared" si="6"/>
        <v>46222</v>
      </c>
      <c r="BP7" s="154">
        <f t="shared" si="6"/>
        <v>46223</v>
      </c>
      <c r="BQ7" s="154">
        <f t="shared" si="6"/>
        <v>46224</v>
      </c>
      <c r="BR7" s="154">
        <f t="shared" si="6"/>
        <v>46225</v>
      </c>
      <c r="BS7" s="154">
        <f t="shared" si="6"/>
        <v>46226</v>
      </c>
      <c r="BT7" s="154">
        <f t="shared" si="6"/>
        <v>46227</v>
      </c>
      <c r="BU7" s="154">
        <f t="shared" si="6"/>
        <v>46228</v>
      </c>
      <c r="BV7" s="154">
        <f t="shared" si="6"/>
        <v>46229</v>
      </c>
      <c r="BW7" s="154">
        <f t="shared" si="6"/>
        <v>46230</v>
      </c>
      <c r="BX7" s="154">
        <f t="shared" si="6"/>
        <v>46231</v>
      </c>
      <c r="BY7" s="154">
        <f t="shared" si="6"/>
        <v>46232</v>
      </c>
      <c r="BZ7" s="154">
        <f t="shared" si="6"/>
        <v>46233</v>
      </c>
      <c r="CA7" s="154">
        <f t="shared" si="6"/>
        <v>46234</v>
      </c>
      <c r="CB7" s="154">
        <f t="shared" si="6"/>
        <v>46235</v>
      </c>
      <c r="CC7" s="154">
        <f t="shared" si="6"/>
        <v>46236</v>
      </c>
      <c r="CD7" s="154">
        <f t="shared" si="6"/>
        <v>46237</v>
      </c>
      <c r="CE7" s="154">
        <f t="shared" si="6"/>
        <v>46238</v>
      </c>
      <c r="CF7" s="154">
        <f t="shared" si="6"/>
        <v>46239</v>
      </c>
      <c r="CG7" s="154">
        <f t="shared" ref="CG7:DE7" si="7">CF7+1</f>
        <v>46240</v>
      </c>
      <c r="CH7" s="154">
        <f t="shared" si="7"/>
        <v>46241</v>
      </c>
      <c r="CI7" s="154">
        <f t="shared" si="7"/>
        <v>46242</v>
      </c>
      <c r="CJ7" s="154">
        <f t="shared" si="7"/>
        <v>46243</v>
      </c>
      <c r="CK7" s="154">
        <f t="shared" si="7"/>
        <v>46244</v>
      </c>
      <c r="CL7" s="154">
        <f t="shared" si="7"/>
        <v>46245</v>
      </c>
      <c r="CM7" s="154">
        <f t="shared" si="7"/>
        <v>46246</v>
      </c>
      <c r="CN7" s="154">
        <f t="shared" si="7"/>
        <v>46247</v>
      </c>
      <c r="CO7" s="154">
        <f t="shared" si="7"/>
        <v>46248</v>
      </c>
      <c r="CP7" s="154">
        <f t="shared" si="7"/>
        <v>46249</v>
      </c>
      <c r="CQ7" s="154">
        <f t="shared" si="7"/>
        <v>46250</v>
      </c>
      <c r="CR7" s="154">
        <f t="shared" si="7"/>
        <v>46251</v>
      </c>
      <c r="CS7" s="154">
        <f t="shared" si="7"/>
        <v>46252</v>
      </c>
      <c r="CT7" s="154">
        <f t="shared" si="7"/>
        <v>46253</v>
      </c>
      <c r="CU7" s="154">
        <f t="shared" si="7"/>
        <v>46254</v>
      </c>
      <c r="CV7" s="154">
        <f t="shared" si="7"/>
        <v>46255</v>
      </c>
      <c r="CW7" s="154">
        <f t="shared" si="7"/>
        <v>46256</v>
      </c>
      <c r="CX7" s="154">
        <f t="shared" si="7"/>
        <v>46257</v>
      </c>
      <c r="CY7" s="154">
        <f t="shared" si="7"/>
        <v>46258</v>
      </c>
      <c r="CZ7" s="154">
        <f t="shared" si="7"/>
        <v>46259</v>
      </c>
      <c r="DA7" s="154">
        <f t="shared" si="7"/>
        <v>46260</v>
      </c>
      <c r="DB7" s="154">
        <f t="shared" si="7"/>
        <v>46261</v>
      </c>
      <c r="DC7" s="154">
        <f t="shared" si="7"/>
        <v>46262</v>
      </c>
      <c r="DD7" s="154">
        <f t="shared" si="7"/>
        <v>46263</v>
      </c>
      <c r="DE7" s="155">
        <f t="shared" si="7"/>
        <v>46264</v>
      </c>
      <c r="DF7" s="151"/>
      <c r="DG7" s="224">
        <f>S3</f>
        <v>46174</v>
      </c>
      <c r="DH7" s="154">
        <f>DG7+1</f>
        <v>46175</v>
      </c>
      <c r="DI7" s="154">
        <f t="shared" ref="DI7:FT7" si="8">DH7+1</f>
        <v>46176</v>
      </c>
      <c r="DJ7" s="154">
        <f t="shared" si="8"/>
        <v>46177</v>
      </c>
      <c r="DK7" s="154">
        <f t="shared" si="8"/>
        <v>46178</v>
      </c>
      <c r="DL7" s="154">
        <f t="shared" si="8"/>
        <v>46179</v>
      </c>
      <c r="DM7" s="154">
        <f t="shared" si="8"/>
        <v>46180</v>
      </c>
      <c r="DN7" s="154">
        <f t="shared" si="8"/>
        <v>46181</v>
      </c>
      <c r="DO7" s="154">
        <f t="shared" si="8"/>
        <v>46182</v>
      </c>
      <c r="DP7" s="154">
        <f t="shared" si="8"/>
        <v>46183</v>
      </c>
      <c r="DQ7" s="154">
        <f t="shared" si="8"/>
        <v>46184</v>
      </c>
      <c r="DR7" s="154">
        <f t="shared" si="8"/>
        <v>46185</v>
      </c>
      <c r="DS7" s="154">
        <f t="shared" si="8"/>
        <v>46186</v>
      </c>
      <c r="DT7" s="154">
        <f t="shared" si="8"/>
        <v>46187</v>
      </c>
      <c r="DU7" s="154">
        <f t="shared" si="8"/>
        <v>46188</v>
      </c>
      <c r="DV7" s="154">
        <f t="shared" si="8"/>
        <v>46189</v>
      </c>
      <c r="DW7" s="154">
        <f t="shared" si="8"/>
        <v>46190</v>
      </c>
      <c r="DX7" s="154">
        <f t="shared" si="8"/>
        <v>46191</v>
      </c>
      <c r="DY7" s="154">
        <f t="shared" si="8"/>
        <v>46192</v>
      </c>
      <c r="DZ7" s="154">
        <f t="shared" si="8"/>
        <v>46193</v>
      </c>
      <c r="EA7" s="154">
        <f t="shared" si="8"/>
        <v>46194</v>
      </c>
      <c r="EB7" s="154">
        <f t="shared" si="8"/>
        <v>46195</v>
      </c>
      <c r="EC7" s="154">
        <f t="shared" si="8"/>
        <v>46196</v>
      </c>
      <c r="ED7" s="154">
        <f t="shared" si="8"/>
        <v>46197</v>
      </c>
      <c r="EE7" s="154">
        <f t="shared" si="8"/>
        <v>46198</v>
      </c>
      <c r="EF7" s="154">
        <f t="shared" si="8"/>
        <v>46199</v>
      </c>
      <c r="EG7" s="154">
        <f t="shared" si="8"/>
        <v>46200</v>
      </c>
      <c r="EH7" s="154">
        <f t="shared" si="8"/>
        <v>46201</v>
      </c>
      <c r="EI7" s="154">
        <f t="shared" si="8"/>
        <v>46202</v>
      </c>
      <c r="EJ7" s="154">
        <f t="shared" si="8"/>
        <v>46203</v>
      </c>
      <c r="EK7" s="154">
        <f t="shared" si="8"/>
        <v>46204</v>
      </c>
      <c r="EL7" s="154">
        <f t="shared" si="8"/>
        <v>46205</v>
      </c>
      <c r="EM7" s="154">
        <f t="shared" si="8"/>
        <v>46206</v>
      </c>
      <c r="EN7" s="154">
        <f t="shared" si="8"/>
        <v>46207</v>
      </c>
      <c r="EO7" s="154">
        <f t="shared" si="8"/>
        <v>46208</v>
      </c>
      <c r="EP7" s="154">
        <f t="shared" si="8"/>
        <v>46209</v>
      </c>
      <c r="EQ7" s="154">
        <f t="shared" si="8"/>
        <v>46210</v>
      </c>
      <c r="ER7" s="154">
        <f t="shared" si="8"/>
        <v>46211</v>
      </c>
      <c r="ES7" s="154">
        <f t="shared" si="8"/>
        <v>46212</v>
      </c>
      <c r="ET7" s="154">
        <f t="shared" si="8"/>
        <v>46213</v>
      </c>
      <c r="EU7" s="154">
        <f t="shared" si="8"/>
        <v>46214</v>
      </c>
      <c r="EV7" s="154">
        <f t="shared" si="8"/>
        <v>46215</v>
      </c>
      <c r="EW7" s="154">
        <f t="shared" si="8"/>
        <v>46216</v>
      </c>
      <c r="EX7" s="154">
        <f t="shared" si="8"/>
        <v>46217</v>
      </c>
      <c r="EY7" s="154">
        <f t="shared" si="8"/>
        <v>46218</v>
      </c>
      <c r="EZ7" s="154">
        <f t="shared" si="8"/>
        <v>46219</v>
      </c>
      <c r="FA7" s="154">
        <f t="shared" si="8"/>
        <v>46220</v>
      </c>
      <c r="FB7" s="154">
        <f t="shared" si="8"/>
        <v>46221</v>
      </c>
      <c r="FC7" s="154">
        <f t="shared" si="8"/>
        <v>46222</v>
      </c>
      <c r="FD7" s="154">
        <f t="shared" si="8"/>
        <v>46223</v>
      </c>
      <c r="FE7" s="154">
        <f t="shared" si="8"/>
        <v>46224</v>
      </c>
      <c r="FF7" s="154">
        <f t="shared" si="8"/>
        <v>46225</v>
      </c>
      <c r="FG7" s="154">
        <f t="shared" si="8"/>
        <v>46226</v>
      </c>
      <c r="FH7" s="154">
        <f t="shared" si="8"/>
        <v>46227</v>
      </c>
      <c r="FI7" s="154">
        <f t="shared" si="8"/>
        <v>46228</v>
      </c>
      <c r="FJ7" s="154">
        <f t="shared" si="8"/>
        <v>46229</v>
      </c>
      <c r="FK7" s="154">
        <f t="shared" si="8"/>
        <v>46230</v>
      </c>
      <c r="FL7" s="154">
        <f t="shared" si="8"/>
        <v>46231</v>
      </c>
      <c r="FM7" s="154">
        <f t="shared" si="8"/>
        <v>46232</v>
      </c>
      <c r="FN7" s="154">
        <f t="shared" si="8"/>
        <v>46233</v>
      </c>
      <c r="FO7" s="154">
        <f t="shared" si="8"/>
        <v>46234</v>
      </c>
      <c r="FP7" s="154">
        <f t="shared" si="8"/>
        <v>46235</v>
      </c>
      <c r="FQ7" s="154">
        <f t="shared" si="8"/>
        <v>46236</v>
      </c>
      <c r="FR7" s="154">
        <f t="shared" si="8"/>
        <v>46237</v>
      </c>
      <c r="FS7" s="154">
        <f t="shared" si="8"/>
        <v>46238</v>
      </c>
      <c r="FT7" s="154">
        <f t="shared" si="8"/>
        <v>46239</v>
      </c>
      <c r="FU7" s="154">
        <f t="shared" ref="FU7:GS7" si="9">FT7+1</f>
        <v>46240</v>
      </c>
      <c r="FV7" s="154">
        <f t="shared" si="9"/>
        <v>46241</v>
      </c>
      <c r="FW7" s="154">
        <f t="shared" si="9"/>
        <v>46242</v>
      </c>
      <c r="FX7" s="154">
        <f t="shared" si="9"/>
        <v>46243</v>
      </c>
      <c r="FY7" s="154">
        <f t="shared" si="9"/>
        <v>46244</v>
      </c>
      <c r="FZ7" s="154">
        <f t="shared" si="9"/>
        <v>46245</v>
      </c>
      <c r="GA7" s="154">
        <f t="shared" si="9"/>
        <v>46246</v>
      </c>
      <c r="GB7" s="154">
        <f t="shared" si="9"/>
        <v>46247</v>
      </c>
      <c r="GC7" s="154">
        <f t="shared" si="9"/>
        <v>46248</v>
      </c>
      <c r="GD7" s="154">
        <f t="shared" si="9"/>
        <v>46249</v>
      </c>
      <c r="GE7" s="154">
        <f t="shared" si="9"/>
        <v>46250</v>
      </c>
      <c r="GF7" s="154">
        <f t="shared" si="9"/>
        <v>46251</v>
      </c>
      <c r="GG7" s="154">
        <f t="shared" si="9"/>
        <v>46252</v>
      </c>
      <c r="GH7" s="154">
        <f t="shared" si="9"/>
        <v>46253</v>
      </c>
      <c r="GI7" s="154">
        <f t="shared" si="9"/>
        <v>46254</v>
      </c>
      <c r="GJ7" s="154">
        <f t="shared" si="9"/>
        <v>46255</v>
      </c>
      <c r="GK7" s="154">
        <f t="shared" si="9"/>
        <v>46256</v>
      </c>
      <c r="GL7" s="154">
        <f t="shared" si="9"/>
        <v>46257</v>
      </c>
      <c r="GM7" s="154">
        <f t="shared" si="9"/>
        <v>46258</v>
      </c>
      <c r="GN7" s="154">
        <f t="shared" si="9"/>
        <v>46259</v>
      </c>
      <c r="GO7" s="154">
        <f t="shared" si="9"/>
        <v>46260</v>
      </c>
      <c r="GP7" s="154">
        <f t="shared" si="9"/>
        <v>46261</v>
      </c>
      <c r="GQ7" s="154">
        <f t="shared" si="9"/>
        <v>46262</v>
      </c>
      <c r="GR7" s="154">
        <f t="shared" si="9"/>
        <v>46263</v>
      </c>
      <c r="GS7" s="154">
        <f t="shared" si="9"/>
        <v>46264</v>
      </c>
      <c r="GT7" s="31"/>
      <c r="GU7" s="224">
        <f>S3</f>
        <v>46174</v>
      </c>
      <c r="GV7" s="154">
        <f>GU7+1</f>
        <v>46175</v>
      </c>
      <c r="GW7" s="154">
        <f t="shared" ref="GW7:JH7" si="10">GV7+1</f>
        <v>46176</v>
      </c>
      <c r="GX7" s="154">
        <f t="shared" si="10"/>
        <v>46177</v>
      </c>
      <c r="GY7" s="154">
        <f t="shared" si="10"/>
        <v>46178</v>
      </c>
      <c r="GZ7" s="154">
        <f t="shared" si="10"/>
        <v>46179</v>
      </c>
      <c r="HA7" s="154">
        <f t="shared" si="10"/>
        <v>46180</v>
      </c>
      <c r="HB7" s="154">
        <f t="shared" si="10"/>
        <v>46181</v>
      </c>
      <c r="HC7" s="154">
        <f t="shared" si="10"/>
        <v>46182</v>
      </c>
      <c r="HD7" s="154">
        <f t="shared" si="10"/>
        <v>46183</v>
      </c>
      <c r="HE7" s="154">
        <f t="shared" si="10"/>
        <v>46184</v>
      </c>
      <c r="HF7" s="154">
        <f t="shared" si="10"/>
        <v>46185</v>
      </c>
      <c r="HG7" s="154">
        <f t="shared" si="10"/>
        <v>46186</v>
      </c>
      <c r="HH7" s="154">
        <f t="shared" si="10"/>
        <v>46187</v>
      </c>
      <c r="HI7" s="154">
        <f t="shared" si="10"/>
        <v>46188</v>
      </c>
      <c r="HJ7" s="154">
        <f t="shared" si="10"/>
        <v>46189</v>
      </c>
      <c r="HK7" s="154">
        <f t="shared" si="10"/>
        <v>46190</v>
      </c>
      <c r="HL7" s="154">
        <f t="shared" si="10"/>
        <v>46191</v>
      </c>
      <c r="HM7" s="154">
        <f t="shared" si="10"/>
        <v>46192</v>
      </c>
      <c r="HN7" s="154">
        <f t="shared" si="10"/>
        <v>46193</v>
      </c>
      <c r="HO7" s="154">
        <f t="shared" si="10"/>
        <v>46194</v>
      </c>
      <c r="HP7" s="154">
        <f t="shared" si="10"/>
        <v>46195</v>
      </c>
      <c r="HQ7" s="154">
        <f t="shared" si="10"/>
        <v>46196</v>
      </c>
      <c r="HR7" s="154">
        <f t="shared" si="10"/>
        <v>46197</v>
      </c>
      <c r="HS7" s="154">
        <f t="shared" si="10"/>
        <v>46198</v>
      </c>
      <c r="HT7" s="154">
        <f t="shared" si="10"/>
        <v>46199</v>
      </c>
      <c r="HU7" s="154">
        <f t="shared" si="10"/>
        <v>46200</v>
      </c>
      <c r="HV7" s="154">
        <f t="shared" si="10"/>
        <v>46201</v>
      </c>
      <c r="HW7" s="154">
        <f t="shared" si="10"/>
        <v>46202</v>
      </c>
      <c r="HX7" s="154">
        <f t="shared" si="10"/>
        <v>46203</v>
      </c>
      <c r="HY7" s="154">
        <f t="shared" si="10"/>
        <v>46204</v>
      </c>
      <c r="HZ7" s="154">
        <f t="shared" si="10"/>
        <v>46205</v>
      </c>
      <c r="IA7" s="154">
        <f t="shared" si="10"/>
        <v>46206</v>
      </c>
      <c r="IB7" s="154">
        <f t="shared" si="10"/>
        <v>46207</v>
      </c>
      <c r="IC7" s="154">
        <f t="shared" si="10"/>
        <v>46208</v>
      </c>
      <c r="ID7" s="154">
        <f t="shared" si="10"/>
        <v>46209</v>
      </c>
      <c r="IE7" s="154">
        <f t="shared" si="10"/>
        <v>46210</v>
      </c>
      <c r="IF7" s="154">
        <f t="shared" si="10"/>
        <v>46211</v>
      </c>
      <c r="IG7" s="154">
        <f t="shared" si="10"/>
        <v>46212</v>
      </c>
      <c r="IH7" s="154">
        <f t="shared" si="10"/>
        <v>46213</v>
      </c>
      <c r="II7" s="154">
        <f t="shared" si="10"/>
        <v>46214</v>
      </c>
      <c r="IJ7" s="154">
        <f t="shared" si="10"/>
        <v>46215</v>
      </c>
      <c r="IK7" s="154">
        <f t="shared" si="10"/>
        <v>46216</v>
      </c>
      <c r="IL7" s="154">
        <f t="shared" si="10"/>
        <v>46217</v>
      </c>
      <c r="IM7" s="154">
        <f t="shared" si="10"/>
        <v>46218</v>
      </c>
      <c r="IN7" s="154">
        <f t="shared" si="10"/>
        <v>46219</v>
      </c>
      <c r="IO7" s="154">
        <f t="shared" si="10"/>
        <v>46220</v>
      </c>
      <c r="IP7" s="154">
        <f t="shared" si="10"/>
        <v>46221</v>
      </c>
      <c r="IQ7" s="154">
        <f t="shared" si="10"/>
        <v>46222</v>
      </c>
      <c r="IR7" s="154">
        <f t="shared" si="10"/>
        <v>46223</v>
      </c>
      <c r="IS7" s="154">
        <f t="shared" si="10"/>
        <v>46224</v>
      </c>
      <c r="IT7" s="154">
        <f t="shared" si="10"/>
        <v>46225</v>
      </c>
      <c r="IU7" s="154">
        <f t="shared" si="10"/>
        <v>46226</v>
      </c>
      <c r="IV7" s="154">
        <f t="shared" si="10"/>
        <v>46227</v>
      </c>
      <c r="IW7" s="154">
        <f t="shared" si="10"/>
        <v>46228</v>
      </c>
      <c r="IX7" s="154">
        <f t="shared" si="10"/>
        <v>46229</v>
      </c>
      <c r="IY7" s="154">
        <f t="shared" si="10"/>
        <v>46230</v>
      </c>
      <c r="IZ7" s="154">
        <f t="shared" si="10"/>
        <v>46231</v>
      </c>
      <c r="JA7" s="154">
        <f t="shared" si="10"/>
        <v>46232</v>
      </c>
      <c r="JB7" s="154">
        <f t="shared" si="10"/>
        <v>46233</v>
      </c>
      <c r="JC7" s="154">
        <f t="shared" si="10"/>
        <v>46234</v>
      </c>
      <c r="JD7" s="154">
        <f t="shared" si="10"/>
        <v>46235</v>
      </c>
      <c r="JE7" s="154">
        <f t="shared" si="10"/>
        <v>46236</v>
      </c>
      <c r="JF7" s="154">
        <f t="shared" si="10"/>
        <v>46237</v>
      </c>
      <c r="JG7" s="154">
        <f t="shared" si="10"/>
        <v>46238</v>
      </c>
      <c r="JH7" s="154">
        <f t="shared" si="10"/>
        <v>46239</v>
      </c>
      <c r="JI7" s="154">
        <f t="shared" ref="JI7:KG7" si="11">JH7+1</f>
        <v>46240</v>
      </c>
      <c r="JJ7" s="154">
        <f t="shared" si="11"/>
        <v>46241</v>
      </c>
      <c r="JK7" s="154">
        <f t="shared" si="11"/>
        <v>46242</v>
      </c>
      <c r="JL7" s="154">
        <f t="shared" si="11"/>
        <v>46243</v>
      </c>
      <c r="JM7" s="154">
        <f t="shared" si="11"/>
        <v>46244</v>
      </c>
      <c r="JN7" s="154">
        <f t="shared" si="11"/>
        <v>46245</v>
      </c>
      <c r="JO7" s="154">
        <f t="shared" si="11"/>
        <v>46246</v>
      </c>
      <c r="JP7" s="154">
        <f t="shared" si="11"/>
        <v>46247</v>
      </c>
      <c r="JQ7" s="154">
        <f t="shared" si="11"/>
        <v>46248</v>
      </c>
      <c r="JR7" s="154">
        <f t="shared" si="11"/>
        <v>46249</v>
      </c>
      <c r="JS7" s="154">
        <f t="shared" si="11"/>
        <v>46250</v>
      </c>
      <c r="JT7" s="154">
        <f t="shared" si="11"/>
        <v>46251</v>
      </c>
      <c r="JU7" s="154">
        <f t="shared" si="11"/>
        <v>46252</v>
      </c>
      <c r="JV7" s="154">
        <f t="shared" si="11"/>
        <v>46253</v>
      </c>
      <c r="JW7" s="154">
        <f t="shared" si="11"/>
        <v>46254</v>
      </c>
      <c r="JX7" s="154">
        <f t="shared" si="11"/>
        <v>46255</v>
      </c>
      <c r="JY7" s="154">
        <f t="shared" si="11"/>
        <v>46256</v>
      </c>
      <c r="JZ7" s="154">
        <f t="shared" si="11"/>
        <v>46257</v>
      </c>
      <c r="KA7" s="154">
        <f t="shared" si="11"/>
        <v>46258</v>
      </c>
      <c r="KB7" s="154">
        <f t="shared" si="11"/>
        <v>46259</v>
      </c>
      <c r="KC7" s="154">
        <f t="shared" si="11"/>
        <v>46260</v>
      </c>
      <c r="KD7" s="154">
        <f t="shared" si="11"/>
        <v>46261</v>
      </c>
      <c r="KE7" s="154">
        <f t="shared" si="11"/>
        <v>46262</v>
      </c>
      <c r="KF7" s="154">
        <f t="shared" si="11"/>
        <v>46263</v>
      </c>
      <c r="KG7" s="154">
        <f t="shared" si="11"/>
        <v>46264</v>
      </c>
      <c r="KH7" s="13"/>
    </row>
    <row r="8" spans="1:294" ht="62.5" customHeight="1" thickBot="1" x14ac:dyDescent="0.4">
      <c r="A8" s="4"/>
      <c r="B8" s="58">
        <v>1</v>
      </c>
      <c r="C8" s="14" t="s">
        <v>30</v>
      </c>
      <c r="D8" s="5" t="s">
        <v>176</v>
      </c>
      <c r="E8" s="23" t="s">
        <v>2</v>
      </c>
      <c r="F8" s="5" t="s">
        <v>177</v>
      </c>
      <c r="G8" s="6" t="s">
        <v>178</v>
      </c>
      <c r="H8" s="22">
        <v>46181</v>
      </c>
      <c r="I8" s="22">
        <v>46192</v>
      </c>
      <c r="J8" s="67">
        <f>(I8-H8)+1</f>
        <v>12</v>
      </c>
      <c r="K8" s="22"/>
      <c r="L8" s="22"/>
      <c r="M8" s="67" t="str">
        <f>IF(AND(K8=0,L8=0),"No Progress",IF(Tbl_SM[[#This Row],[ACTUAL START]]="",0,IF(L8-K8&lt;0,"On Progress",L8-K8)))</f>
        <v>No Progress</v>
      </c>
      <c r="N8" s="21" t="str">
        <f>IF(Tbl_SM[[#This Row],[PLAN START]]="","",
IF(Tbl_SM[[#This Row],[ACTUAL FINISH]]&lt;&gt;"","CLOSE",
IF(Tbl_SM[[#This Row],[ACTUAL START]]&lt;&gt;"","ON PROGRESS",
"OPEN")))</f>
        <v>OPEN</v>
      </c>
      <c r="O8" s="16" t="str">
        <f ca="1">IF(Tbl_SM[[#This Row],[PLAN START]]="","",
IF(Tbl_SM[[#This Row],[ACTUAL FINISH]]&lt;&gt;"","CLOSE",
IF(TODAY()&gt;Tbl_SM[[#This Row],[DUE DATA]],"OVERDUE",
IF((Tbl_SM[[#This Row],[DUE DATA]]-TODAY())&lt;=3,"&lt; 3 HARI",
IF((Tbl_SM[[#This Row],[DUE DATA]]-TODAY())&lt;=7,"&lt; 7 HARI",
IF((Tbl_SM[[#This Row],[DUE DATA]]-TODAY())&lt;=14,"&lt; 14 HARI",
"&gt; 14 HARI"))))))</f>
        <v>&lt; 14 HARI</v>
      </c>
      <c r="P8" s="189">
        <f t="shared" ref="P8:P29" si="12">IF(SUM(S8:AW8)=0,"",IFERROR(MAX(DG8:EK8),""))</f>
        <v>0.52666666666666595</v>
      </c>
      <c r="Q8" s="187">
        <f>IF(Tbl_SM[[#This Row],[STATUS]]="CLOSE",1,0)</f>
        <v>0</v>
      </c>
      <c r="S8" s="156">
        <v>0.05</v>
      </c>
      <c r="T8" s="157">
        <v>0.08</v>
      </c>
      <c r="U8" s="157">
        <v>0.1</v>
      </c>
      <c r="V8" s="157">
        <v>0.12666666666666701</v>
      </c>
      <c r="W8" s="157">
        <v>0.151666666666667</v>
      </c>
      <c r="X8" s="157">
        <v>0.176666666666667</v>
      </c>
      <c r="Y8" s="157">
        <v>0.20166666666666699</v>
      </c>
      <c r="Z8" s="157">
        <v>0.22666666666666699</v>
      </c>
      <c r="AA8" s="157">
        <v>0.25166666666666698</v>
      </c>
      <c r="AB8" s="157">
        <v>0.276666666666667</v>
      </c>
      <c r="AC8" s="157">
        <v>0.30166666666666703</v>
      </c>
      <c r="AD8" s="157">
        <v>0.32666666666666699</v>
      </c>
      <c r="AE8" s="157">
        <v>0.35166666666666702</v>
      </c>
      <c r="AF8" s="157">
        <v>0.37666666666666698</v>
      </c>
      <c r="AG8" s="157">
        <v>0.401666666666667</v>
      </c>
      <c r="AH8" s="157">
        <v>0.42666666666666703</v>
      </c>
      <c r="AI8" s="157">
        <v>0.45166666666666699</v>
      </c>
      <c r="AJ8" s="157">
        <v>0.47666666666666702</v>
      </c>
      <c r="AK8" s="157">
        <v>0.50166666666666704</v>
      </c>
      <c r="AL8" s="157">
        <v>0.50166666666666704</v>
      </c>
      <c r="AM8" s="157">
        <v>0.50166666666666704</v>
      </c>
      <c r="AN8" s="157">
        <v>0.50166666666666704</v>
      </c>
      <c r="AO8" s="157">
        <v>0.50166666666666704</v>
      </c>
      <c r="AP8" s="157">
        <v>0.50166666666666704</v>
      </c>
      <c r="AQ8" s="157">
        <v>0.50166666666666704</v>
      </c>
      <c r="AR8" s="157">
        <v>0.50166666666666704</v>
      </c>
      <c r="AS8" s="157">
        <v>0.50166666666666704</v>
      </c>
      <c r="AT8" s="157">
        <v>0.50166666666666704</v>
      </c>
      <c r="AU8" s="157">
        <v>0.51</v>
      </c>
      <c r="AV8" s="157">
        <v>0.51833333333333298</v>
      </c>
      <c r="AW8" s="157">
        <v>0.52666666666666595</v>
      </c>
      <c r="AX8" s="157">
        <v>0.53499999999999903</v>
      </c>
      <c r="AY8" s="157">
        <v>0.543333333333332</v>
      </c>
      <c r="AZ8" s="157">
        <v>0.55166666666666497</v>
      </c>
      <c r="BA8" s="157">
        <v>0.55999999999999805</v>
      </c>
      <c r="BB8" s="157">
        <v>0.56833333333333103</v>
      </c>
      <c r="BC8" s="157">
        <v>0.6</v>
      </c>
      <c r="BD8" s="157">
        <v>0.63</v>
      </c>
      <c r="BE8" s="157">
        <v>0.66</v>
      </c>
      <c r="BF8" s="157">
        <v>0.69</v>
      </c>
      <c r="BG8" s="157">
        <v>0.72</v>
      </c>
      <c r="BH8" s="157">
        <v>0.75</v>
      </c>
      <c r="BI8" s="157">
        <v>0.78</v>
      </c>
      <c r="BJ8" s="157">
        <v>0.81</v>
      </c>
      <c r="BK8" s="157">
        <v>0.84</v>
      </c>
      <c r="BL8" s="157">
        <v>0.87</v>
      </c>
      <c r="BM8" s="157">
        <v>0.9</v>
      </c>
      <c r="BN8" s="157">
        <v>0.93</v>
      </c>
      <c r="BO8" s="157">
        <v>0.96</v>
      </c>
      <c r="BP8" s="157">
        <v>0.99</v>
      </c>
      <c r="BQ8" s="157">
        <v>1</v>
      </c>
      <c r="BR8" s="157">
        <v>1</v>
      </c>
      <c r="BS8" s="157">
        <v>1</v>
      </c>
      <c r="BT8" s="157">
        <v>1</v>
      </c>
      <c r="BU8" s="157">
        <v>1</v>
      </c>
      <c r="BV8" s="157">
        <v>1</v>
      </c>
      <c r="BW8" s="157">
        <v>1</v>
      </c>
      <c r="BX8" s="157">
        <v>1</v>
      </c>
      <c r="BY8" s="157">
        <v>1</v>
      </c>
      <c r="BZ8" s="157">
        <v>1</v>
      </c>
      <c r="CA8" s="157">
        <v>1</v>
      </c>
      <c r="CB8" s="157">
        <v>1</v>
      </c>
      <c r="CC8" s="157">
        <v>1</v>
      </c>
      <c r="CD8" s="157">
        <v>1</v>
      </c>
      <c r="CE8" s="157">
        <v>1</v>
      </c>
      <c r="CF8" s="157">
        <v>1</v>
      </c>
      <c r="CG8" s="157">
        <v>1</v>
      </c>
      <c r="CH8" s="157">
        <v>1</v>
      </c>
      <c r="CI8" s="157">
        <v>1</v>
      </c>
      <c r="CJ8" s="157">
        <v>1</v>
      </c>
      <c r="CK8" s="157">
        <v>1</v>
      </c>
      <c r="CL8" s="157">
        <v>1</v>
      </c>
      <c r="CM8" s="157">
        <v>1</v>
      </c>
      <c r="CN8" s="157">
        <v>1</v>
      </c>
      <c r="CO8" s="157">
        <v>1</v>
      </c>
      <c r="CP8" s="157">
        <v>1</v>
      </c>
      <c r="CQ8" s="157">
        <v>1</v>
      </c>
      <c r="CR8" s="157">
        <v>1</v>
      </c>
      <c r="CS8" s="157">
        <v>1</v>
      </c>
      <c r="CT8" s="157">
        <v>1</v>
      </c>
      <c r="CU8" s="157">
        <v>1</v>
      </c>
      <c r="CV8" s="157">
        <v>1</v>
      </c>
      <c r="CW8" s="157">
        <v>1</v>
      </c>
      <c r="CX8" s="157">
        <v>1</v>
      </c>
      <c r="CY8" s="157">
        <v>1</v>
      </c>
      <c r="CZ8" s="157">
        <v>1</v>
      </c>
      <c r="DA8" s="157">
        <v>1</v>
      </c>
      <c r="DB8" s="157">
        <v>1</v>
      </c>
      <c r="DC8" s="157">
        <v>1</v>
      </c>
      <c r="DD8" s="157">
        <v>1</v>
      </c>
      <c r="DE8" s="158">
        <v>1</v>
      </c>
      <c r="DF8" s="152"/>
      <c r="DG8" s="225">
        <v>0.05</v>
      </c>
      <c r="DH8" s="162">
        <v>0.08</v>
      </c>
      <c r="DI8" s="162">
        <v>0.1</v>
      </c>
      <c r="DJ8" s="162">
        <v>0.12666666666666701</v>
      </c>
      <c r="DK8" s="162">
        <v>0.151666666666667</v>
      </c>
      <c r="DL8" s="162">
        <v>0.176666666666667</v>
      </c>
      <c r="DM8" s="162">
        <v>0.20166666666666699</v>
      </c>
      <c r="DN8" s="162">
        <v>0.22666666666666699</v>
      </c>
      <c r="DO8" s="162">
        <v>0.25166666666666698</v>
      </c>
      <c r="DP8" s="162">
        <v>0.276666666666667</v>
      </c>
      <c r="DQ8" s="162">
        <v>0.30166666666666703</v>
      </c>
      <c r="DR8" s="162">
        <v>0.32666666666666699</v>
      </c>
      <c r="DS8" s="162">
        <v>0.35166666666666702</v>
      </c>
      <c r="DT8" s="162">
        <v>0.37666666666666698</v>
      </c>
      <c r="DU8" s="162">
        <v>0.401666666666667</v>
      </c>
      <c r="DV8" s="162">
        <v>0.42666666666666703</v>
      </c>
      <c r="DW8" s="162">
        <v>0.45166666666666699</v>
      </c>
      <c r="DX8" s="162">
        <v>0.47666666666666702</v>
      </c>
      <c r="DY8" s="162">
        <v>0.50166666666666704</v>
      </c>
      <c r="DZ8" s="162">
        <v>0.50166666666666704</v>
      </c>
      <c r="EA8" s="162">
        <v>0.50166666666666704</v>
      </c>
      <c r="EB8" s="162">
        <v>0.50166666666666704</v>
      </c>
      <c r="EC8" s="162">
        <v>0.50166666666666704</v>
      </c>
      <c r="ED8" s="162">
        <v>0.50166666666666704</v>
      </c>
      <c r="EE8" s="162">
        <v>0.50166666666666704</v>
      </c>
      <c r="EF8" s="162">
        <v>0.50166666666666704</v>
      </c>
      <c r="EG8" s="162">
        <v>0.50166666666666704</v>
      </c>
      <c r="EH8" s="162">
        <v>0.50166666666666704</v>
      </c>
      <c r="EI8" s="162">
        <v>0.51</v>
      </c>
      <c r="EJ8" s="162">
        <v>0.51833333333333298</v>
      </c>
      <c r="EK8" s="162">
        <v>0.52666666666666595</v>
      </c>
      <c r="EL8" s="162">
        <v>0.53499999999999903</v>
      </c>
      <c r="EM8" s="162">
        <v>0.543333333333332</v>
      </c>
      <c r="EN8" s="162">
        <v>0.55166666666666497</v>
      </c>
      <c r="EO8" s="162">
        <v>0.55999999999999805</v>
      </c>
      <c r="EP8" s="162">
        <v>0.56833333333333103</v>
      </c>
      <c r="EQ8" s="162">
        <v>0.6</v>
      </c>
      <c r="ER8" s="162">
        <v>0.63</v>
      </c>
      <c r="ES8" s="162">
        <v>0.66</v>
      </c>
      <c r="ET8" s="162">
        <v>0.69</v>
      </c>
      <c r="EU8" s="162">
        <v>0.72</v>
      </c>
      <c r="EV8" s="162">
        <v>0.75</v>
      </c>
      <c r="EW8" s="162">
        <v>0.78</v>
      </c>
      <c r="EX8" s="162">
        <v>0.81</v>
      </c>
      <c r="EY8" s="162">
        <v>0.84</v>
      </c>
      <c r="EZ8" s="162">
        <v>0.87</v>
      </c>
      <c r="FA8" s="162">
        <v>0.9</v>
      </c>
      <c r="FB8" s="162">
        <v>0.93</v>
      </c>
      <c r="FC8" s="162">
        <v>0.96</v>
      </c>
      <c r="FD8" s="162">
        <v>0.99</v>
      </c>
      <c r="FE8" s="162">
        <v>1</v>
      </c>
      <c r="FF8" s="162">
        <v>1</v>
      </c>
      <c r="FG8" s="162">
        <v>1</v>
      </c>
      <c r="FH8" s="162">
        <v>1</v>
      </c>
      <c r="FI8" s="162">
        <v>1</v>
      </c>
      <c r="FJ8" s="162">
        <v>1</v>
      </c>
      <c r="FK8" s="162">
        <v>1</v>
      </c>
      <c r="FL8" s="162">
        <v>1</v>
      </c>
      <c r="FM8" s="162">
        <v>1</v>
      </c>
      <c r="FN8" s="162">
        <v>1</v>
      </c>
      <c r="FO8" s="162">
        <v>1</v>
      </c>
      <c r="FP8" s="162">
        <v>1</v>
      </c>
      <c r="FQ8" s="162">
        <v>1</v>
      </c>
      <c r="FR8" s="162">
        <v>1</v>
      </c>
      <c r="FS8" s="162">
        <v>1</v>
      </c>
      <c r="FT8" s="162">
        <v>1</v>
      </c>
      <c r="FU8" s="162">
        <v>1</v>
      </c>
      <c r="FV8" s="162">
        <v>1</v>
      </c>
      <c r="FW8" s="162">
        <v>1</v>
      </c>
      <c r="FX8" s="162">
        <v>1</v>
      </c>
      <c r="FY8" s="162">
        <v>1</v>
      </c>
      <c r="FZ8" s="162">
        <v>1</v>
      </c>
      <c r="GA8" s="162">
        <v>1</v>
      </c>
      <c r="GB8" s="162">
        <v>1</v>
      </c>
      <c r="GC8" s="162">
        <v>1</v>
      </c>
      <c r="GD8" s="162">
        <v>1</v>
      </c>
      <c r="GE8" s="162">
        <v>1</v>
      </c>
      <c r="GF8" s="162">
        <v>1</v>
      </c>
      <c r="GG8" s="162">
        <v>1</v>
      </c>
      <c r="GH8" s="162">
        <v>1</v>
      </c>
      <c r="GI8" s="162">
        <v>1</v>
      </c>
      <c r="GJ8" s="162">
        <v>1</v>
      </c>
      <c r="GK8" s="162">
        <v>1</v>
      </c>
      <c r="GL8" s="162">
        <v>1</v>
      </c>
      <c r="GM8" s="162">
        <v>1</v>
      </c>
      <c r="GN8" s="162">
        <v>1</v>
      </c>
      <c r="GO8" s="162">
        <v>1</v>
      </c>
      <c r="GP8" s="162">
        <v>1</v>
      </c>
      <c r="GQ8" s="162">
        <v>1</v>
      </c>
      <c r="GR8" s="162">
        <v>1</v>
      </c>
      <c r="GS8" s="218">
        <v>1</v>
      </c>
      <c r="GT8" s="31"/>
      <c r="GU8" s="219">
        <f t="shared" ref="GU8:GU29" si="13">IF(AND(OR(S8="",S8=0),OR(DG8="",DG8=0)),"",
MIN(1.2,
IFERROR(DG8/IF(OR(S8="",S8=0),1,S8),0)))</f>
        <v>1</v>
      </c>
      <c r="GV8" s="220">
        <f t="shared" ref="GV8:GV29" si="14">IF(AND(OR(T8="",T8=0),OR(DH8="",DH8=0)),"",
MIN(1.2,
IFERROR(DH8/IF(OR(T8="",T8=0),1,T8),0)))</f>
        <v>1</v>
      </c>
      <c r="GW8" s="220">
        <f t="shared" ref="GW8:GW29" si="15">IF(AND(OR(U8="",U8=0),OR(DI8="",DI8=0)),"",
MIN(1.2,
IFERROR(DI8/IF(OR(U8="",U8=0),1,U8),0)))</f>
        <v>1</v>
      </c>
      <c r="GX8" s="220">
        <f t="shared" ref="GX8:GX29" si="16">IF(AND(OR(V8="",V8=0),OR(DJ8="",DJ8=0)),"",
MIN(1.2,
IFERROR(DJ8/IF(OR(V8="",V8=0),1,V8),0)))</f>
        <v>1</v>
      </c>
      <c r="GY8" s="220">
        <f t="shared" ref="GY8:GY29" si="17">IF(AND(OR(W8="",W8=0),OR(DK8="",DK8=0)),"",
MIN(1.2,
IFERROR(DK8/IF(OR(W8="",W8=0),1,W8),0)))</f>
        <v>1</v>
      </c>
      <c r="GZ8" s="220">
        <f t="shared" ref="GZ8:GZ29" si="18">IF(AND(OR(X8="",X8=0),OR(DL8="",DL8=0)),"",
MIN(1.2,
IFERROR(DL8/IF(OR(X8="",X8=0),1,X8),0)))</f>
        <v>1</v>
      </c>
      <c r="HA8" s="220">
        <f t="shared" ref="HA8:HA29" si="19">IF(AND(OR(Y8="",Y8=0),OR(DM8="",DM8=0)),"",
MIN(1.2,
IFERROR(DM8/IF(OR(Y8="",Y8=0),1,Y8),0)))</f>
        <v>1</v>
      </c>
      <c r="HB8" s="220">
        <f t="shared" ref="HB8:HB29" si="20">IF(AND(OR(Z8="",Z8=0),OR(DN8="",DN8=0)),"",
MIN(1.2,
IFERROR(DN8/IF(OR(Z8="",Z8=0),1,Z8),0)))</f>
        <v>1</v>
      </c>
      <c r="HC8" s="220">
        <f t="shared" ref="HC8:HC29" si="21">IF(AND(OR(AA8="",AA8=0),OR(DO8="",DO8=0)),"",
MIN(1.2,
IFERROR(DO8/IF(OR(AA8="",AA8=0),1,AA8),0)))</f>
        <v>1</v>
      </c>
      <c r="HD8" s="220">
        <f t="shared" ref="HD8:HD29" si="22">IF(AND(OR(AB8="",AB8=0),OR(DP8="",DP8=0)),"",
MIN(1.2,
IFERROR(DP8/IF(OR(AB8="",AB8=0),1,AB8),0)))</f>
        <v>1</v>
      </c>
      <c r="HE8" s="220">
        <f t="shared" ref="HE8:HE29" si="23">IF(AND(OR(AC8="",AC8=0),OR(DQ8="",DQ8=0)),"",
MIN(1.2,
IFERROR(DQ8/IF(OR(AC8="",AC8=0),1,AC8),0)))</f>
        <v>1</v>
      </c>
      <c r="HF8" s="220">
        <f t="shared" ref="HF8:HF29" si="24">IF(AND(OR(AD8="",AD8=0),OR(DR8="",DR8=0)),"",
MIN(1.2,
IFERROR(DR8/IF(OR(AD8="",AD8=0),1,AD8),0)))</f>
        <v>1</v>
      </c>
      <c r="HG8" s="220">
        <f t="shared" ref="HG8:HG29" si="25">IF(AND(OR(AE8="",AE8=0),OR(DS8="",DS8=0)),"",
MIN(1.2,
IFERROR(DS8/IF(OR(AE8="",AE8=0),1,AE8),0)))</f>
        <v>1</v>
      </c>
      <c r="HH8" s="220">
        <f t="shared" ref="HH8:HH29" si="26">IF(AND(OR(AF8="",AF8=0),OR(DT8="",DT8=0)),"",
MIN(1.2,
IFERROR(DT8/IF(OR(AF8="",AF8=0),1,AF8),0)))</f>
        <v>1</v>
      </c>
      <c r="HI8" s="220">
        <f t="shared" ref="HI8:HI29" si="27">IF(AND(OR(AG8="",AG8=0),OR(DU8="",DU8=0)),"",
MIN(1.2,
IFERROR(DU8/IF(OR(AG8="",AG8=0),1,AG8),0)))</f>
        <v>1</v>
      </c>
      <c r="HJ8" s="220">
        <f t="shared" ref="HJ8:HJ29" si="28">IF(AND(OR(AH8="",AH8=0),OR(DV8="",DV8=0)),"",
MIN(1.2,
IFERROR(DV8/IF(OR(AH8="",AH8=0),1,AH8),0)))</f>
        <v>1</v>
      </c>
      <c r="HK8" s="220">
        <f t="shared" ref="HK8:HK29" si="29">IF(AND(OR(AI8="",AI8=0),OR(DW8="",DW8=0)),"",
MIN(1.2,
IFERROR(DW8/IF(OR(AI8="",AI8=0),1,AI8),0)))</f>
        <v>1</v>
      </c>
      <c r="HL8" s="220">
        <f t="shared" ref="HL8:HL29" si="30">IF(AND(OR(AJ8="",AJ8=0),OR(DX8="",DX8=0)),"",
MIN(1.2,
IFERROR(DX8/IF(OR(AJ8="",AJ8=0),1,AJ8),0)))</f>
        <v>1</v>
      </c>
      <c r="HM8" s="220">
        <f t="shared" ref="HM8:HM29" si="31">IF(AND(OR(AK8="",AK8=0),OR(DY8="",DY8=0)),"",
MIN(1.2,
IFERROR(DY8/IF(OR(AK8="",AK8=0),1,AK8),0)))</f>
        <v>1</v>
      </c>
      <c r="HN8" s="220">
        <f t="shared" ref="HN8:HN29" si="32">IF(AND(OR(AL8="",AL8=0),OR(DZ8="",DZ8=0)),"",
MIN(1.2,
IFERROR(DZ8/IF(OR(AL8="",AL8=0),1,AL8),0)))</f>
        <v>1</v>
      </c>
      <c r="HO8" s="220">
        <f t="shared" ref="HO8:HO29" si="33">IF(AND(OR(AM8="",AM8=0),OR(EA8="",EA8=0)),"",
MIN(1.2,
IFERROR(EA8/IF(OR(AM8="",AM8=0),1,AM8),0)))</f>
        <v>1</v>
      </c>
      <c r="HP8" s="220">
        <f t="shared" ref="HP8:HP29" si="34">IF(AND(OR(AN8="",AN8=0),OR(EB8="",EB8=0)),"",
MIN(1.2,
IFERROR(EB8/IF(OR(AN8="",AN8=0),1,AN8),0)))</f>
        <v>1</v>
      </c>
      <c r="HQ8" s="220">
        <f t="shared" ref="HQ8:HQ29" si="35">IF(AND(OR(AO8="",AO8=0),OR(EC8="",EC8=0)),"",
MIN(1.2,
IFERROR(EC8/IF(OR(AO8="",AO8=0),1,AO8),0)))</f>
        <v>1</v>
      </c>
      <c r="HR8" s="220">
        <f t="shared" ref="HR8:HR29" si="36">IF(AND(OR(AP8="",AP8=0),OR(ED8="",ED8=0)),"",
MIN(1.2,
IFERROR(ED8/IF(OR(AP8="",AP8=0),1,AP8),0)))</f>
        <v>1</v>
      </c>
      <c r="HS8" s="220">
        <f t="shared" ref="HS8:HS29" si="37">IF(AND(OR(AQ8="",AQ8=0),OR(EE8="",EE8=0)),"",
MIN(1.2,
IFERROR(EE8/IF(OR(AQ8="",AQ8=0),1,AQ8),0)))</f>
        <v>1</v>
      </c>
      <c r="HT8" s="220">
        <f t="shared" ref="HT8:HT29" si="38">IF(AND(OR(AR8="",AR8=0),OR(EF8="",EF8=0)),"",
MIN(1.2,
IFERROR(EF8/IF(OR(AR8="",AR8=0),1,AR8),0)))</f>
        <v>1</v>
      </c>
      <c r="HU8" s="220">
        <f t="shared" ref="HU8:HU29" si="39">IF(AND(OR(AS8="",AS8=0),OR(EG8="",EG8=0)),"",
MIN(1.2,
IFERROR(EG8/IF(OR(AS8="",AS8=0),1,AS8),0)))</f>
        <v>1</v>
      </c>
      <c r="HV8" s="220">
        <f t="shared" ref="HV8:HV29" si="40">IF(AND(OR(AT8="",AT8=0),OR(EH8="",EH8=0)),"",
MIN(1.2,
IFERROR(EH8/IF(OR(AT8="",AT8=0),1,AT8),0)))</f>
        <v>1</v>
      </c>
      <c r="HW8" s="220">
        <f t="shared" ref="HW8:HW29" si="41">IF(AND(OR(AU8="",AU8=0),OR(EI8="",EI8=0)),"",
MIN(1.2,
IFERROR(EI8/IF(OR(AU8="",AU8=0),1,AU8),0)))</f>
        <v>1</v>
      </c>
      <c r="HX8" s="220">
        <f t="shared" ref="HX8:HX29" si="42">IF(AND(OR(AV8="",AV8=0),OR(EJ8="",EJ8=0)),"",
MIN(1.2,
IFERROR(EJ8/IF(OR(AV8="",AV8=0),1,AV8),0)))</f>
        <v>1</v>
      </c>
      <c r="HY8" s="220">
        <f t="shared" ref="HY8:HY29" si="43">IF(AND(OR(AW8="",AW8=0),OR(EK8="",EK8=0)),"",
MIN(1.2,
IFERROR(EK8/IF(OR(AW8="",AW8=0),1,AW8),0)))</f>
        <v>1</v>
      </c>
      <c r="HZ8" s="220">
        <f t="shared" ref="HZ8:HZ29" si="44">IF(AND(OR(AX8="",AX8=0),OR(EL8="",EL8=0)),"",
MIN(1.2,
IFERROR(EL8/IF(OR(AX8="",AX8=0),1,AX8),0)))</f>
        <v>1</v>
      </c>
      <c r="IA8" s="220">
        <f t="shared" ref="IA8:IA29" si="45">IF(AND(OR(AY8="",AY8=0),OR(EM8="",EM8=0)),"",
MIN(1.2,
IFERROR(EM8/IF(OR(AY8="",AY8=0),1,AY8),0)))</f>
        <v>1</v>
      </c>
      <c r="IB8" s="220">
        <f t="shared" ref="IB8:IB29" si="46">IF(AND(OR(AZ8="",AZ8=0),OR(EN8="",EN8=0)),"",
MIN(1.2,
IFERROR(EN8/IF(OR(AZ8="",AZ8=0),1,AZ8),0)))</f>
        <v>1</v>
      </c>
      <c r="IC8" s="220">
        <f t="shared" ref="IC8:IC29" si="47">IF(AND(OR(BA8="",BA8=0),OR(EO8="",EO8=0)),"",
MIN(1.2,
IFERROR(EO8/IF(OR(BA8="",BA8=0),1,BA8),0)))</f>
        <v>1</v>
      </c>
      <c r="ID8" s="220">
        <f t="shared" ref="ID8:ID29" si="48">IF(AND(OR(BB8="",BB8=0),OR(EP8="",EP8=0)),"",
MIN(1.2,
IFERROR(EP8/IF(OR(BB8="",BB8=0),1,BB8),0)))</f>
        <v>1</v>
      </c>
      <c r="IE8" s="220">
        <f t="shared" ref="IE8:IE29" si="49">IF(AND(OR(BC8="",BC8=0),OR(EQ8="",EQ8=0)),"",
MIN(1.2,
IFERROR(EQ8/IF(OR(BC8="",BC8=0),1,BC8),0)))</f>
        <v>1</v>
      </c>
      <c r="IF8" s="220">
        <f t="shared" ref="IF8:IF29" si="50">IF(AND(OR(BD8="",BD8=0),OR(ER8="",ER8=0)),"",
MIN(1.2,
IFERROR(ER8/IF(OR(BD8="",BD8=0),1,BD8),0)))</f>
        <v>1</v>
      </c>
      <c r="IG8" s="220">
        <f t="shared" ref="IG8:IG29" si="51">IF(AND(OR(BE8="",BE8=0),OR(ES8="",ES8=0)),"",
MIN(1.2,
IFERROR(ES8/IF(OR(BE8="",BE8=0),1,BE8),0)))</f>
        <v>1</v>
      </c>
      <c r="IH8" s="220">
        <f t="shared" ref="IH8:IH29" si="52">IF(AND(OR(BF8="",BF8=0),OR(ET8="",ET8=0)),"",
MIN(1.2,
IFERROR(ET8/IF(OR(BF8="",BF8=0),1,BF8),0)))</f>
        <v>1</v>
      </c>
      <c r="II8" s="220">
        <f t="shared" ref="II8:II29" si="53">IF(AND(OR(BG8="",BG8=0),OR(EU8="",EU8=0)),"",
MIN(1.2,
IFERROR(EU8/IF(OR(BG8="",BG8=0),1,BG8),0)))</f>
        <v>1</v>
      </c>
      <c r="IJ8" s="220">
        <f t="shared" ref="IJ8:IJ29" si="54">IF(AND(OR(BH8="",BH8=0),OR(EV8="",EV8=0)),"",
MIN(1.2,
IFERROR(EV8/IF(OR(BH8="",BH8=0),1,BH8),0)))</f>
        <v>1</v>
      </c>
      <c r="IK8" s="220">
        <f t="shared" ref="IK8:IK29" si="55">IF(AND(OR(BI8="",BI8=0),OR(EW8="",EW8=0)),"",
MIN(1.2,
IFERROR(EW8/IF(OR(BI8="",BI8=0),1,BI8),0)))</f>
        <v>1</v>
      </c>
      <c r="IL8" s="220">
        <f t="shared" ref="IL8:IL29" si="56">IF(AND(OR(BJ8="",BJ8=0),OR(EX8="",EX8=0)),"",
MIN(1.2,
IFERROR(EX8/IF(OR(BJ8="",BJ8=0),1,BJ8),0)))</f>
        <v>1</v>
      </c>
      <c r="IM8" s="220">
        <f t="shared" ref="IM8:IM29" si="57">IF(AND(OR(BK8="",BK8=0),OR(EY8="",EY8=0)),"",
MIN(1.2,
IFERROR(EY8/IF(OR(BK8="",BK8=0),1,BK8),0)))</f>
        <v>1</v>
      </c>
      <c r="IN8" s="220">
        <f t="shared" ref="IN8:IN29" si="58">IF(AND(OR(BL8="",BL8=0),OR(EZ8="",EZ8=0)),"",
MIN(1.2,
IFERROR(EZ8/IF(OR(BL8="",BL8=0),1,BL8),0)))</f>
        <v>1</v>
      </c>
      <c r="IO8" s="220">
        <f t="shared" ref="IO8:IO29" si="59">IF(AND(OR(BM8="",BM8=0),OR(FA8="",FA8=0)),"",
MIN(1.2,
IFERROR(FA8/IF(OR(BM8="",BM8=0),1,BM8),0)))</f>
        <v>1</v>
      </c>
      <c r="IP8" s="220">
        <f t="shared" ref="IP8:IP29" si="60">IF(AND(OR(BN8="",BN8=0),OR(FB8="",FB8=0)),"",
MIN(1.2,
IFERROR(FB8/IF(OR(BN8="",BN8=0),1,BN8),0)))</f>
        <v>1</v>
      </c>
      <c r="IQ8" s="220">
        <f t="shared" ref="IQ8:IQ29" si="61">IF(AND(OR(BO8="",BO8=0),OR(FC8="",FC8=0)),"",
MIN(1.2,
IFERROR(FC8/IF(OR(BO8="",BO8=0),1,BO8),0)))</f>
        <v>1</v>
      </c>
      <c r="IR8" s="220">
        <f t="shared" ref="IR8:IR29" si="62">IF(AND(OR(BP8="",BP8=0),OR(FD8="",FD8=0)),"",
MIN(1.2,
IFERROR(FD8/IF(OR(BP8="",BP8=0),1,BP8),0)))</f>
        <v>1</v>
      </c>
      <c r="IS8" s="220">
        <f t="shared" ref="IS8:IS29" si="63">IF(AND(OR(BQ8="",BQ8=0),OR(FE8="",FE8=0)),"",
MIN(1.2,
IFERROR(FE8/IF(OR(BQ8="",BQ8=0),1,BQ8),0)))</f>
        <v>1</v>
      </c>
      <c r="IT8" s="220">
        <f t="shared" ref="IT8:IT29" si="64">IF(AND(OR(BR8="",BR8=0),OR(FF8="",FF8=0)),"",
MIN(1.2,
IFERROR(FF8/IF(OR(BR8="",BR8=0),1,BR8),0)))</f>
        <v>1</v>
      </c>
      <c r="IU8" s="220">
        <f t="shared" ref="IU8:IU29" si="65">IF(AND(OR(BS8="",BS8=0),OR(FG8="",FG8=0)),"",
MIN(1.2,
IFERROR(FG8/IF(OR(BS8="",BS8=0),1,BS8),0)))</f>
        <v>1</v>
      </c>
      <c r="IV8" s="220">
        <f t="shared" ref="IV8:IV29" si="66">IF(AND(OR(BT8="",BT8=0),OR(FH8="",FH8=0)),"",
MIN(1.2,
IFERROR(FH8/IF(OR(BT8="",BT8=0),1,BT8),0)))</f>
        <v>1</v>
      </c>
      <c r="IW8" s="220">
        <f t="shared" ref="IW8:IW29" si="67">IF(AND(OR(BU8="",BU8=0),OR(FI8="",FI8=0)),"",
MIN(1.2,
IFERROR(FI8/IF(OR(BU8="",BU8=0),1,BU8),0)))</f>
        <v>1</v>
      </c>
      <c r="IX8" s="220">
        <f t="shared" ref="IX8:IX29" si="68">IF(AND(OR(BV8="",BV8=0),OR(FJ8="",FJ8=0)),"",
MIN(1.2,
IFERROR(FJ8/IF(OR(BV8="",BV8=0),1,BV8),0)))</f>
        <v>1</v>
      </c>
      <c r="IY8" s="220">
        <f t="shared" ref="IY8:IY29" si="69">IF(AND(OR(BW8="",BW8=0),OR(FK8="",FK8=0)),"",
MIN(1.2,
IFERROR(FK8/IF(OR(BW8="",BW8=0),1,BW8),0)))</f>
        <v>1</v>
      </c>
      <c r="IZ8" s="220">
        <f t="shared" ref="IZ8:IZ29" si="70">IF(AND(OR(BX8="",BX8=0),OR(FL8="",FL8=0)),"",
MIN(1.2,
IFERROR(FL8/IF(OR(BX8="",BX8=0),1,BX8),0)))</f>
        <v>1</v>
      </c>
      <c r="JA8" s="220">
        <f t="shared" ref="JA8:JA29" si="71">IF(AND(OR(BY8="",BY8=0),OR(FM8="",FM8=0)),"",
MIN(1.2,
IFERROR(FM8/IF(OR(BY8="",BY8=0),1,BY8),0)))</f>
        <v>1</v>
      </c>
      <c r="JB8" s="220">
        <f t="shared" ref="JB8:JB29" si="72">IF(AND(OR(BZ8="",BZ8=0),OR(FN8="",FN8=0)),"",
MIN(1.2,
IFERROR(FN8/IF(OR(BZ8="",BZ8=0),1,BZ8),0)))</f>
        <v>1</v>
      </c>
      <c r="JC8" s="220">
        <f t="shared" ref="JC8:JC29" si="73">IF(AND(OR(CA8="",CA8=0),OR(FO8="",FO8=0)),"",
MIN(1.2,
IFERROR(FO8/IF(OR(CA8="",CA8=0),1,CA8),0)))</f>
        <v>1</v>
      </c>
      <c r="JD8" s="220">
        <f t="shared" ref="JD8:JD29" si="74">IF(AND(OR(CB8="",CB8=0),OR(FP8="",FP8=0)),"",
MIN(1.2,
IFERROR(FP8/IF(OR(CB8="",CB8=0),1,CB8),0)))</f>
        <v>1</v>
      </c>
      <c r="JE8" s="220">
        <f t="shared" ref="JE8:JE29" si="75">IF(AND(OR(CC8="",CC8=0),OR(FQ8="",FQ8=0)),"",
MIN(1.2,
IFERROR(FQ8/IF(OR(CC8="",CC8=0),1,CC8),0)))</f>
        <v>1</v>
      </c>
      <c r="JF8" s="220">
        <f t="shared" ref="JF8:JF29" si="76">IF(AND(OR(CD8="",CD8=0),OR(FR8="",FR8=0)),"",
MIN(1.2,
IFERROR(FR8/IF(OR(CD8="",CD8=0),1,CD8),0)))</f>
        <v>1</v>
      </c>
      <c r="JG8" s="220">
        <f t="shared" ref="JG8:JG29" si="77">IF(AND(OR(CE8="",CE8=0),OR(FS8="",FS8=0)),"",
MIN(1.2,
IFERROR(FS8/IF(OR(CE8="",CE8=0),1,CE8),0)))</f>
        <v>1</v>
      </c>
      <c r="JH8" s="220">
        <f t="shared" ref="JH8:JH29" si="78">IF(AND(OR(CF8="",CF8=0),OR(FT8="",FT8=0)),"",
MIN(1.2,
IFERROR(FT8/IF(OR(CF8="",CF8=0),1,CF8),0)))</f>
        <v>1</v>
      </c>
      <c r="JI8" s="220">
        <f t="shared" ref="JI8:JI29" si="79">IF(AND(OR(CG8="",CG8=0),OR(FU8="",FU8=0)),"",
MIN(1.2,
IFERROR(FU8/IF(OR(CG8="",CG8=0),1,CG8),0)))</f>
        <v>1</v>
      </c>
      <c r="JJ8" s="220">
        <f t="shared" ref="JJ8:JJ29" si="80">IF(AND(OR(CH8="",CH8=0),OR(FV8="",FV8=0)),"",
MIN(1.2,
IFERROR(FV8/IF(OR(CH8="",CH8=0),1,CH8),0)))</f>
        <v>1</v>
      </c>
      <c r="JK8" s="220">
        <f t="shared" ref="JK8:JK29" si="81">IF(AND(OR(CI8="",CI8=0),OR(FW8="",FW8=0)),"",
MIN(1.2,
IFERROR(FW8/IF(OR(CI8="",CI8=0),1,CI8),0)))</f>
        <v>1</v>
      </c>
      <c r="JL8" s="220">
        <f t="shared" ref="JL8:JL29" si="82">IF(AND(OR(CJ8="",CJ8=0),OR(FX8="",FX8=0)),"",
MIN(1.2,
IFERROR(FX8/IF(OR(CJ8="",CJ8=0),1,CJ8),0)))</f>
        <v>1</v>
      </c>
      <c r="JM8" s="220">
        <f t="shared" ref="JM8:JM29" si="83">IF(AND(OR(CK8="",CK8=0),OR(FY8="",FY8=0)),"",
MIN(1.2,
IFERROR(FY8/IF(OR(CK8="",CK8=0),1,CK8),0)))</f>
        <v>1</v>
      </c>
      <c r="JN8" s="220">
        <f t="shared" ref="JN8:JN29" si="84">IF(AND(OR(CL8="",CL8=0),OR(FZ8="",FZ8=0)),"",
MIN(1.2,
IFERROR(FZ8/IF(OR(CL8="",CL8=0),1,CL8),0)))</f>
        <v>1</v>
      </c>
      <c r="JO8" s="220">
        <f t="shared" ref="JO8:JO29" si="85">IF(AND(OR(CM8="",CM8=0),OR(GA8="",GA8=0)),"",
MIN(1.2,
IFERROR(GA8/IF(OR(CM8="",CM8=0),1,CM8),0)))</f>
        <v>1</v>
      </c>
      <c r="JP8" s="220">
        <f t="shared" ref="JP8:JP29" si="86">IF(AND(OR(CN8="",CN8=0),OR(GB8="",GB8=0)),"",
MIN(1.2,
IFERROR(GB8/IF(OR(CN8="",CN8=0),1,CN8),0)))</f>
        <v>1</v>
      </c>
      <c r="JQ8" s="220">
        <f t="shared" ref="JQ8:JQ29" si="87">IF(AND(OR(CO8="",CO8=0),OR(GC8="",GC8=0)),"",
MIN(1.2,
IFERROR(GC8/IF(OR(CO8="",CO8=0),1,CO8),0)))</f>
        <v>1</v>
      </c>
      <c r="JR8" s="220">
        <f t="shared" ref="JR8:JR29" si="88">IF(AND(OR(CP8="",CP8=0),OR(GD8="",GD8=0)),"",
MIN(1.2,
IFERROR(GD8/IF(OR(CP8="",CP8=0),1,CP8),0)))</f>
        <v>1</v>
      </c>
      <c r="JS8" s="220">
        <f t="shared" ref="JS8:JS29" si="89">IF(AND(OR(CQ8="",CQ8=0),OR(GE8="",GE8=0)),"",
MIN(1.2,
IFERROR(GE8/IF(OR(CQ8="",CQ8=0),1,CQ8),0)))</f>
        <v>1</v>
      </c>
      <c r="JT8" s="220">
        <f t="shared" ref="JT8:JT29" si="90">IF(AND(OR(CR8="",CR8=0),OR(GF8="",GF8=0)),"",
MIN(1.2,
IFERROR(GF8/IF(OR(CR8="",CR8=0),1,CR8),0)))</f>
        <v>1</v>
      </c>
      <c r="JU8" s="220">
        <f t="shared" ref="JU8:JU29" si="91">IF(AND(OR(CS8="",CS8=0),OR(GG8="",GG8=0)),"",
MIN(1.2,
IFERROR(GG8/IF(OR(CS8="",CS8=0),1,CS8),0)))</f>
        <v>1</v>
      </c>
      <c r="JV8" s="220">
        <f t="shared" ref="JV8:JV29" si="92">IF(AND(OR(CT8="",CT8=0),OR(GH8="",GH8=0)),"",
MIN(1.2,
IFERROR(GH8/IF(OR(CT8="",CT8=0),1,CT8),0)))</f>
        <v>1</v>
      </c>
      <c r="JW8" s="220">
        <f t="shared" ref="JW8:JW29" si="93">IF(AND(OR(CU8="",CU8=0),OR(GI8="",GI8=0)),"",
MIN(1.2,
IFERROR(GI8/IF(OR(CU8="",CU8=0),1,CU8),0)))</f>
        <v>1</v>
      </c>
      <c r="JX8" s="220">
        <f t="shared" ref="JX8:JX29" si="94">IF(AND(OR(CV8="",CV8=0),OR(GJ8="",GJ8=0)),"",
MIN(1.2,
IFERROR(GJ8/IF(OR(CV8="",CV8=0),1,CV8),0)))</f>
        <v>1</v>
      </c>
      <c r="JY8" s="220">
        <f t="shared" ref="JY8:JY29" si="95">IF(AND(OR(CW8="",CW8=0),OR(GK8="",GK8=0)),"",
MIN(1.2,
IFERROR(GK8/IF(OR(CW8="",CW8=0),1,CW8),0)))</f>
        <v>1</v>
      </c>
      <c r="JZ8" s="220">
        <f t="shared" ref="JZ8:JZ29" si="96">IF(AND(OR(CX8="",CX8=0),OR(GL8="",GL8=0)),"",
MIN(1.2,
IFERROR(GL8/IF(OR(CX8="",CX8=0),1,CX8),0)))</f>
        <v>1</v>
      </c>
      <c r="KA8" s="220">
        <f t="shared" ref="KA8:KA29" si="97">IF(AND(OR(CY8="",CY8=0),OR(GM8="",GM8=0)),"",
MIN(1.2,
IFERROR(GM8/IF(OR(CY8="",CY8=0),1,CY8),0)))</f>
        <v>1</v>
      </c>
      <c r="KB8" s="220">
        <f t="shared" ref="KB8:KB29" si="98">IF(AND(OR(CZ8="",CZ8=0),OR(GN8="",GN8=0)),"",
MIN(1.2,
IFERROR(GN8/IF(OR(CZ8="",CZ8=0),1,CZ8),0)))</f>
        <v>1</v>
      </c>
      <c r="KC8" s="220">
        <f t="shared" ref="KC8:KC29" si="99">IF(AND(OR(DA8="",DA8=0),OR(GO8="",GO8=0)),"",
MIN(1.2,
IFERROR(GO8/IF(OR(DA8="",DA8=0),1,DA8),0)))</f>
        <v>1</v>
      </c>
      <c r="KD8" s="220">
        <f t="shared" ref="KD8:KD29" si="100">IF(AND(OR(DB8="",DB8=0),OR(GP8="",GP8=0)),"",
MIN(1.2,
IFERROR(GP8/IF(OR(DB8="",DB8=0),1,DB8),0)))</f>
        <v>1</v>
      </c>
      <c r="KE8" s="220">
        <f t="shared" ref="KE8:KE29" si="101">IF(AND(OR(DC8="",DC8=0),OR(GQ8="",GQ8=0)),"",
MIN(1.2,
IFERROR(GQ8/IF(OR(DC8="",DC8=0),1,DC8),0)))</f>
        <v>1</v>
      </c>
      <c r="KF8" s="220">
        <f t="shared" ref="KF8:KF29" si="102">IF(AND(OR(DD8="",DD8=0),OR(GR8="",GR8=0)),"",
MIN(1.2,
IFERROR(GR8/IF(OR(DD8="",DD8=0),1,DD8),0)))</f>
        <v>1</v>
      </c>
      <c r="KG8" s="221">
        <f t="shared" ref="KG8:KG29" si="103">IF(AND(OR(DE8="",DE8=0),OR(GS8="",GS8=0)),"",
MIN(1.2,
IFERROR(GS8/IF(OR(DE8="",DE8=0),1,DE8),0)))</f>
        <v>1</v>
      </c>
      <c r="KH8" s="13"/>
    </row>
    <row r="9" spans="1:294" ht="62.5" customHeight="1" thickBot="1" x14ac:dyDescent="0.4">
      <c r="A9" s="4"/>
      <c r="B9" s="58">
        <v>2</v>
      </c>
      <c r="C9" s="14" t="s">
        <v>30</v>
      </c>
      <c r="D9" s="5" t="s">
        <v>179</v>
      </c>
      <c r="E9" s="23" t="s">
        <v>3</v>
      </c>
      <c r="F9" s="5" t="s">
        <v>180</v>
      </c>
      <c r="G9" s="6" t="s">
        <v>181</v>
      </c>
      <c r="H9" s="22">
        <v>46188</v>
      </c>
      <c r="I9" s="22">
        <v>46220</v>
      </c>
      <c r="J9" s="67">
        <f t="shared" ref="J9:J29" si="104">(I9-H9)+1</f>
        <v>33</v>
      </c>
      <c r="K9" s="22"/>
      <c r="L9" s="22"/>
      <c r="M9" s="67" t="str">
        <f>IF(AND(K9=0,L9=0),"No Progress",IF(Tbl_SM[[#This Row],[ACTUAL START]]="",0,IF(L9-K9&lt;0,"On Progress",L9-K9)))</f>
        <v>No Progress</v>
      </c>
      <c r="N9" s="21" t="str">
        <f>IF(Tbl_SM[[#This Row],[PLAN START]]="","",
IF(Tbl_SM[[#This Row],[ACTUAL FINISH]]&lt;&gt;"","CLOSE",
IF(Tbl_SM[[#This Row],[ACTUAL START]]&lt;&gt;"","ON PROGRESS",
"OPEN")))</f>
        <v>OPEN</v>
      </c>
      <c r="O9" s="16" t="str">
        <f ca="1">IF(Tbl_SM[[#This Row],[PLAN START]]="","",
IF(Tbl_SM[[#This Row],[ACTUAL FINISH]]&lt;&gt;"","CLOSE",
IF(TODAY()&gt;Tbl_SM[[#This Row],[DUE DATA]],"OVERDUE",
IF((Tbl_SM[[#This Row],[DUE DATA]]-TODAY())&lt;=3,"&lt; 3 HARI",
IF((Tbl_SM[[#This Row],[DUE DATA]]-TODAY())&lt;=7,"&lt; 7 HARI",
IF((Tbl_SM[[#This Row],[DUE DATA]]-TODAY())&lt;=14,"&lt; 14 HARI",
"&gt; 14 HARI"))))))</f>
        <v>&gt; 14 HARI</v>
      </c>
      <c r="P9" s="189">
        <f t="shared" si="12"/>
        <v>0.52666666666666595</v>
      </c>
      <c r="Q9" s="187">
        <f>IF(Tbl_SM[[#This Row],[STATUS]]="CLOSE",1,0)</f>
        <v>0</v>
      </c>
      <c r="S9" s="156">
        <v>0.05</v>
      </c>
      <c r="T9" s="157">
        <v>0.08</v>
      </c>
      <c r="U9" s="157">
        <v>0.1</v>
      </c>
      <c r="V9" s="157">
        <v>0.12666666666666701</v>
      </c>
      <c r="W9" s="157">
        <v>0.151666666666667</v>
      </c>
      <c r="X9" s="157">
        <v>0.176666666666667</v>
      </c>
      <c r="Y9" s="157">
        <v>0.20166666666666699</v>
      </c>
      <c r="Z9" s="157">
        <v>0.22666666666666699</v>
      </c>
      <c r="AA9" s="157">
        <v>0.25166666666666698</v>
      </c>
      <c r="AB9" s="157">
        <v>0.276666666666667</v>
      </c>
      <c r="AC9" s="157">
        <v>0.30166666666666703</v>
      </c>
      <c r="AD9" s="157">
        <v>0.32666666666666699</v>
      </c>
      <c r="AE9" s="157">
        <v>0.35166666666666702</v>
      </c>
      <c r="AF9" s="157">
        <v>0.37666666666666698</v>
      </c>
      <c r="AG9" s="157">
        <v>0.401666666666667</v>
      </c>
      <c r="AH9" s="157">
        <v>0.42666666666666703</v>
      </c>
      <c r="AI9" s="157">
        <v>0.45166666666666699</v>
      </c>
      <c r="AJ9" s="157">
        <v>0.47666666666666702</v>
      </c>
      <c r="AK9" s="157">
        <v>0.50166666666666704</v>
      </c>
      <c r="AL9" s="157">
        <v>0.50166666666666704</v>
      </c>
      <c r="AM9" s="157">
        <v>0.50166666666666704</v>
      </c>
      <c r="AN9" s="157">
        <v>0.50166666666666704</v>
      </c>
      <c r="AO9" s="157">
        <v>0.50166666666666704</v>
      </c>
      <c r="AP9" s="157">
        <v>0.50166666666666704</v>
      </c>
      <c r="AQ9" s="157">
        <v>0.50166666666666704</v>
      </c>
      <c r="AR9" s="157">
        <v>0.50166666666666704</v>
      </c>
      <c r="AS9" s="157">
        <v>0.50166666666666704</v>
      </c>
      <c r="AT9" s="157">
        <v>0.50166666666666704</v>
      </c>
      <c r="AU9" s="157">
        <v>0.51</v>
      </c>
      <c r="AV9" s="157">
        <v>0.51833333333333298</v>
      </c>
      <c r="AW9" s="157">
        <v>0.52666666666666595</v>
      </c>
      <c r="AX9" s="157">
        <v>0.53499999999999903</v>
      </c>
      <c r="AY9" s="157">
        <v>0.543333333333332</v>
      </c>
      <c r="AZ9" s="157">
        <v>0.55166666666666497</v>
      </c>
      <c r="BA9" s="157">
        <v>0.55999999999999805</v>
      </c>
      <c r="BB9" s="157">
        <v>0.56833333333333103</v>
      </c>
      <c r="BC9" s="157">
        <v>0.6</v>
      </c>
      <c r="BD9" s="157">
        <v>0.63</v>
      </c>
      <c r="BE9" s="157">
        <v>0.66</v>
      </c>
      <c r="BF9" s="157">
        <v>0.69</v>
      </c>
      <c r="BG9" s="157">
        <v>0.72</v>
      </c>
      <c r="BH9" s="157">
        <v>0.75</v>
      </c>
      <c r="BI9" s="157">
        <v>0.78</v>
      </c>
      <c r="BJ9" s="157">
        <v>0.81</v>
      </c>
      <c r="BK9" s="157">
        <v>0.84</v>
      </c>
      <c r="BL9" s="157">
        <v>0.87</v>
      </c>
      <c r="BM9" s="157">
        <v>0.9</v>
      </c>
      <c r="BN9" s="157">
        <v>0.93</v>
      </c>
      <c r="BO9" s="157">
        <v>0.96</v>
      </c>
      <c r="BP9" s="157">
        <v>0.99</v>
      </c>
      <c r="BQ9" s="157">
        <v>1</v>
      </c>
      <c r="BR9" s="157">
        <v>1</v>
      </c>
      <c r="BS9" s="157">
        <v>1</v>
      </c>
      <c r="BT9" s="157">
        <v>1</v>
      </c>
      <c r="BU9" s="157">
        <v>1</v>
      </c>
      <c r="BV9" s="157">
        <v>1</v>
      </c>
      <c r="BW9" s="157">
        <v>1</v>
      </c>
      <c r="BX9" s="157">
        <v>1</v>
      </c>
      <c r="BY9" s="157">
        <v>1</v>
      </c>
      <c r="BZ9" s="157">
        <v>1</v>
      </c>
      <c r="CA9" s="157">
        <v>1</v>
      </c>
      <c r="CB9" s="157">
        <v>1</v>
      </c>
      <c r="CC9" s="157">
        <v>1</v>
      </c>
      <c r="CD9" s="157">
        <v>1</v>
      </c>
      <c r="CE9" s="157">
        <v>1</v>
      </c>
      <c r="CF9" s="157">
        <v>1</v>
      </c>
      <c r="CG9" s="157">
        <v>1</v>
      </c>
      <c r="CH9" s="157">
        <v>1</v>
      </c>
      <c r="CI9" s="157">
        <v>1</v>
      </c>
      <c r="CJ9" s="157">
        <v>1</v>
      </c>
      <c r="CK9" s="157">
        <v>1</v>
      </c>
      <c r="CL9" s="157">
        <v>1</v>
      </c>
      <c r="CM9" s="157">
        <v>1</v>
      </c>
      <c r="CN9" s="157">
        <v>1</v>
      </c>
      <c r="CO9" s="157">
        <v>1</v>
      </c>
      <c r="CP9" s="157">
        <v>1</v>
      </c>
      <c r="CQ9" s="157">
        <v>1</v>
      </c>
      <c r="CR9" s="157">
        <v>1</v>
      </c>
      <c r="CS9" s="157">
        <v>1</v>
      </c>
      <c r="CT9" s="157">
        <v>1</v>
      </c>
      <c r="CU9" s="157">
        <v>1</v>
      </c>
      <c r="CV9" s="157">
        <v>1</v>
      </c>
      <c r="CW9" s="157">
        <v>1</v>
      </c>
      <c r="CX9" s="157">
        <v>1</v>
      </c>
      <c r="CY9" s="157">
        <v>1</v>
      </c>
      <c r="CZ9" s="157">
        <v>1</v>
      </c>
      <c r="DA9" s="157">
        <v>1</v>
      </c>
      <c r="DB9" s="157">
        <v>1</v>
      </c>
      <c r="DC9" s="157">
        <v>1</v>
      </c>
      <c r="DD9" s="157">
        <v>1</v>
      </c>
      <c r="DE9" s="158">
        <v>1</v>
      </c>
      <c r="DF9" s="152"/>
      <c r="DG9" s="225">
        <v>0.05</v>
      </c>
      <c r="DH9" s="162">
        <v>0.08</v>
      </c>
      <c r="DI9" s="162">
        <v>0.1</v>
      </c>
      <c r="DJ9" s="162">
        <v>0.12666666666666701</v>
      </c>
      <c r="DK9" s="162">
        <v>0.151666666666667</v>
      </c>
      <c r="DL9" s="162">
        <v>0.176666666666667</v>
      </c>
      <c r="DM9" s="162">
        <v>0.20166666666666699</v>
      </c>
      <c r="DN9" s="162">
        <v>0.22666666666666699</v>
      </c>
      <c r="DO9" s="162">
        <v>0.25166666666666698</v>
      </c>
      <c r="DP9" s="162">
        <v>0.276666666666667</v>
      </c>
      <c r="DQ9" s="162">
        <v>0.30166666666666703</v>
      </c>
      <c r="DR9" s="162">
        <v>0.32666666666666699</v>
      </c>
      <c r="DS9" s="162">
        <v>0.35166666666666702</v>
      </c>
      <c r="DT9" s="162">
        <v>0.37666666666666698</v>
      </c>
      <c r="DU9" s="162">
        <v>0.401666666666667</v>
      </c>
      <c r="DV9" s="162">
        <v>0.42666666666666703</v>
      </c>
      <c r="DW9" s="162">
        <v>0.45166666666666699</v>
      </c>
      <c r="DX9" s="162">
        <v>0.47666666666666702</v>
      </c>
      <c r="DY9" s="162">
        <v>0.50166666666666704</v>
      </c>
      <c r="DZ9" s="162">
        <v>0.50166666666666704</v>
      </c>
      <c r="EA9" s="162">
        <v>0.50166666666666704</v>
      </c>
      <c r="EB9" s="162">
        <v>0.50166666666666704</v>
      </c>
      <c r="EC9" s="162">
        <v>0.50166666666666704</v>
      </c>
      <c r="ED9" s="162">
        <v>0.50166666666666704</v>
      </c>
      <c r="EE9" s="162">
        <v>0.50166666666666704</v>
      </c>
      <c r="EF9" s="162">
        <v>0.50166666666666704</v>
      </c>
      <c r="EG9" s="162">
        <v>0.50166666666666704</v>
      </c>
      <c r="EH9" s="162">
        <v>0.50166666666666704</v>
      </c>
      <c r="EI9" s="162">
        <v>0.51</v>
      </c>
      <c r="EJ9" s="162">
        <v>0.51833333333333298</v>
      </c>
      <c r="EK9" s="162">
        <v>0.52666666666666595</v>
      </c>
      <c r="EL9" s="162">
        <v>0.53499999999999903</v>
      </c>
      <c r="EM9" s="162">
        <v>0.543333333333332</v>
      </c>
      <c r="EN9" s="162">
        <v>0.55166666666666497</v>
      </c>
      <c r="EO9" s="162">
        <v>0.55999999999999805</v>
      </c>
      <c r="EP9" s="162">
        <v>0.56833333333333103</v>
      </c>
      <c r="EQ9" s="162">
        <v>0.6</v>
      </c>
      <c r="ER9" s="162">
        <v>0.63</v>
      </c>
      <c r="ES9" s="162">
        <v>0.66</v>
      </c>
      <c r="ET9" s="162">
        <v>0.69</v>
      </c>
      <c r="EU9" s="162">
        <v>0.72</v>
      </c>
      <c r="EV9" s="162">
        <v>0.75</v>
      </c>
      <c r="EW9" s="162">
        <v>0.78</v>
      </c>
      <c r="EX9" s="162">
        <v>0.81</v>
      </c>
      <c r="EY9" s="162">
        <v>0.84</v>
      </c>
      <c r="EZ9" s="162">
        <v>0.87</v>
      </c>
      <c r="FA9" s="162">
        <v>0.9</v>
      </c>
      <c r="FB9" s="162">
        <v>0.93</v>
      </c>
      <c r="FC9" s="162">
        <v>0.96</v>
      </c>
      <c r="FD9" s="162">
        <v>0.99</v>
      </c>
      <c r="FE9" s="162">
        <v>1</v>
      </c>
      <c r="FF9" s="162">
        <v>1</v>
      </c>
      <c r="FG9" s="162">
        <v>1</v>
      </c>
      <c r="FH9" s="162">
        <v>1</v>
      </c>
      <c r="FI9" s="162">
        <v>1</v>
      </c>
      <c r="FJ9" s="162">
        <v>1</v>
      </c>
      <c r="FK9" s="162">
        <v>1</v>
      </c>
      <c r="FL9" s="162">
        <v>1</v>
      </c>
      <c r="FM9" s="162">
        <v>1</v>
      </c>
      <c r="FN9" s="162">
        <v>1</v>
      </c>
      <c r="FO9" s="162">
        <v>1</v>
      </c>
      <c r="FP9" s="162">
        <v>1</v>
      </c>
      <c r="FQ9" s="162">
        <v>1</v>
      </c>
      <c r="FR9" s="162">
        <v>1</v>
      </c>
      <c r="FS9" s="162">
        <v>1</v>
      </c>
      <c r="FT9" s="162">
        <v>1</v>
      </c>
      <c r="FU9" s="162">
        <v>1</v>
      </c>
      <c r="FV9" s="162">
        <v>1</v>
      </c>
      <c r="FW9" s="162">
        <v>1</v>
      </c>
      <c r="FX9" s="162">
        <v>1</v>
      </c>
      <c r="FY9" s="162">
        <v>1</v>
      </c>
      <c r="FZ9" s="162">
        <v>1</v>
      </c>
      <c r="GA9" s="162">
        <v>1</v>
      </c>
      <c r="GB9" s="162">
        <v>1</v>
      </c>
      <c r="GC9" s="162">
        <v>1</v>
      </c>
      <c r="GD9" s="162">
        <v>1</v>
      </c>
      <c r="GE9" s="162">
        <v>1</v>
      </c>
      <c r="GF9" s="162">
        <v>1</v>
      </c>
      <c r="GG9" s="162">
        <v>1</v>
      </c>
      <c r="GH9" s="162">
        <v>1</v>
      </c>
      <c r="GI9" s="162">
        <v>1</v>
      </c>
      <c r="GJ9" s="162">
        <v>1</v>
      </c>
      <c r="GK9" s="162">
        <v>1</v>
      </c>
      <c r="GL9" s="162">
        <v>1</v>
      </c>
      <c r="GM9" s="162">
        <v>1</v>
      </c>
      <c r="GN9" s="162">
        <v>1</v>
      </c>
      <c r="GO9" s="162">
        <v>1</v>
      </c>
      <c r="GP9" s="162">
        <v>1</v>
      </c>
      <c r="GQ9" s="162">
        <v>1</v>
      </c>
      <c r="GR9" s="162">
        <v>1</v>
      </c>
      <c r="GS9" s="218">
        <v>1</v>
      </c>
      <c r="GT9" s="31"/>
      <c r="GU9" s="219">
        <f t="shared" si="13"/>
        <v>1</v>
      </c>
      <c r="GV9" s="220">
        <f t="shared" si="14"/>
        <v>1</v>
      </c>
      <c r="GW9" s="220">
        <f t="shared" si="15"/>
        <v>1</v>
      </c>
      <c r="GX9" s="220">
        <f t="shared" si="16"/>
        <v>1</v>
      </c>
      <c r="GY9" s="220">
        <f t="shared" si="17"/>
        <v>1</v>
      </c>
      <c r="GZ9" s="220">
        <f t="shared" si="18"/>
        <v>1</v>
      </c>
      <c r="HA9" s="220">
        <f t="shared" si="19"/>
        <v>1</v>
      </c>
      <c r="HB9" s="220">
        <f t="shared" si="20"/>
        <v>1</v>
      </c>
      <c r="HC9" s="220">
        <f t="shared" si="21"/>
        <v>1</v>
      </c>
      <c r="HD9" s="220">
        <f t="shared" si="22"/>
        <v>1</v>
      </c>
      <c r="HE9" s="220">
        <f t="shared" si="23"/>
        <v>1</v>
      </c>
      <c r="HF9" s="220">
        <f t="shared" si="24"/>
        <v>1</v>
      </c>
      <c r="HG9" s="220">
        <f t="shared" si="25"/>
        <v>1</v>
      </c>
      <c r="HH9" s="220">
        <f t="shared" si="26"/>
        <v>1</v>
      </c>
      <c r="HI9" s="220">
        <f t="shared" si="27"/>
        <v>1</v>
      </c>
      <c r="HJ9" s="220">
        <f t="shared" si="28"/>
        <v>1</v>
      </c>
      <c r="HK9" s="220">
        <f t="shared" si="29"/>
        <v>1</v>
      </c>
      <c r="HL9" s="220">
        <f t="shared" si="30"/>
        <v>1</v>
      </c>
      <c r="HM9" s="220">
        <f t="shared" si="31"/>
        <v>1</v>
      </c>
      <c r="HN9" s="220">
        <f t="shared" si="32"/>
        <v>1</v>
      </c>
      <c r="HO9" s="220">
        <f t="shared" si="33"/>
        <v>1</v>
      </c>
      <c r="HP9" s="220">
        <f t="shared" si="34"/>
        <v>1</v>
      </c>
      <c r="HQ9" s="220">
        <f t="shared" si="35"/>
        <v>1</v>
      </c>
      <c r="HR9" s="220">
        <f t="shared" si="36"/>
        <v>1</v>
      </c>
      <c r="HS9" s="220">
        <f t="shared" si="37"/>
        <v>1</v>
      </c>
      <c r="HT9" s="220">
        <f t="shared" si="38"/>
        <v>1</v>
      </c>
      <c r="HU9" s="220">
        <f t="shared" si="39"/>
        <v>1</v>
      </c>
      <c r="HV9" s="220">
        <f t="shared" si="40"/>
        <v>1</v>
      </c>
      <c r="HW9" s="220">
        <f t="shared" si="41"/>
        <v>1</v>
      </c>
      <c r="HX9" s="220">
        <f t="shared" si="42"/>
        <v>1</v>
      </c>
      <c r="HY9" s="220">
        <f t="shared" si="43"/>
        <v>1</v>
      </c>
      <c r="HZ9" s="220">
        <f t="shared" si="44"/>
        <v>1</v>
      </c>
      <c r="IA9" s="220">
        <f t="shared" si="45"/>
        <v>1</v>
      </c>
      <c r="IB9" s="220">
        <f t="shared" si="46"/>
        <v>1</v>
      </c>
      <c r="IC9" s="220">
        <f t="shared" si="47"/>
        <v>1</v>
      </c>
      <c r="ID9" s="220">
        <f t="shared" si="48"/>
        <v>1</v>
      </c>
      <c r="IE9" s="220">
        <f t="shared" si="49"/>
        <v>1</v>
      </c>
      <c r="IF9" s="220">
        <f t="shared" si="50"/>
        <v>1</v>
      </c>
      <c r="IG9" s="220">
        <f t="shared" si="51"/>
        <v>1</v>
      </c>
      <c r="IH9" s="220">
        <f t="shared" si="52"/>
        <v>1</v>
      </c>
      <c r="II9" s="220">
        <f t="shared" si="53"/>
        <v>1</v>
      </c>
      <c r="IJ9" s="220">
        <f t="shared" si="54"/>
        <v>1</v>
      </c>
      <c r="IK9" s="220">
        <f t="shared" si="55"/>
        <v>1</v>
      </c>
      <c r="IL9" s="220">
        <f t="shared" si="56"/>
        <v>1</v>
      </c>
      <c r="IM9" s="220">
        <f t="shared" si="57"/>
        <v>1</v>
      </c>
      <c r="IN9" s="220">
        <f t="shared" si="58"/>
        <v>1</v>
      </c>
      <c r="IO9" s="220">
        <f t="shared" si="59"/>
        <v>1</v>
      </c>
      <c r="IP9" s="220">
        <f t="shared" si="60"/>
        <v>1</v>
      </c>
      <c r="IQ9" s="220">
        <f t="shared" si="61"/>
        <v>1</v>
      </c>
      <c r="IR9" s="220">
        <f t="shared" si="62"/>
        <v>1</v>
      </c>
      <c r="IS9" s="220">
        <f t="shared" si="63"/>
        <v>1</v>
      </c>
      <c r="IT9" s="220">
        <f t="shared" si="64"/>
        <v>1</v>
      </c>
      <c r="IU9" s="220">
        <f t="shared" si="65"/>
        <v>1</v>
      </c>
      <c r="IV9" s="220">
        <f t="shared" si="66"/>
        <v>1</v>
      </c>
      <c r="IW9" s="220">
        <f t="shared" si="67"/>
        <v>1</v>
      </c>
      <c r="IX9" s="220">
        <f t="shared" si="68"/>
        <v>1</v>
      </c>
      <c r="IY9" s="220">
        <f t="shared" si="69"/>
        <v>1</v>
      </c>
      <c r="IZ9" s="220">
        <f t="shared" si="70"/>
        <v>1</v>
      </c>
      <c r="JA9" s="220">
        <f t="shared" si="71"/>
        <v>1</v>
      </c>
      <c r="JB9" s="220">
        <f t="shared" si="72"/>
        <v>1</v>
      </c>
      <c r="JC9" s="220">
        <f t="shared" si="73"/>
        <v>1</v>
      </c>
      <c r="JD9" s="220">
        <f t="shared" si="74"/>
        <v>1</v>
      </c>
      <c r="JE9" s="220">
        <f t="shared" si="75"/>
        <v>1</v>
      </c>
      <c r="JF9" s="220">
        <f t="shared" si="76"/>
        <v>1</v>
      </c>
      <c r="JG9" s="220">
        <f t="shared" si="77"/>
        <v>1</v>
      </c>
      <c r="JH9" s="220">
        <f t="shared" si="78"/>
        <v>1</v>
      </c>
      <c r="JI9" s="220">
        <f t="shared" si="79"/>
        <v>1</v>
      </c>
      <c r="JJ9" s="220">
        <f t="shared" si="80"/>
        <v>1</v>
      </c>
      <c r="JK9" s="220">
        <f t="shared" si="81"/>
        <v>1</v>
      </c>
      <c r="JL9" s="220">
        <f t="shared" si="82"/>
        <v>1</v>
      </c>
      <c r="JM9" s="220">
        <f t="shared" si="83"/>
        <v>1</v>
      </c>
      <c r="JN9" s="220">
        <f t="shared" si="84"/>
        <v>1</v>
      </c>
      <c r="JO9" s="220">
        <f t="shared" si="85"/>
        <v>1</v>
      </c>
      <c r="JP9" s="220">
        <f t="shared" si="86"/>
        <v>1</v>
      </c>
      <c r="JQ9" s="220">
        <f t="shared" si="87"/>
        <v>1</v>
      </c>
      <c r="JR9" s="220">
        <f t="shared" si="88"/>
        <v>1</v>
      </c>
      <c r="JS9" s="220">
        <f t="shared" si="89"/>
        <v>1</v>
      </c>
      <c r="JT9" s="220">
        <f t="shared" si="90"/>
        <v>1</v>
      </c>
      <c r="JU9" s="220">
        <f t="shared" si="91"/>
        <v>1</v>
      </c>
      <c r="JV9" s="220">
        <f t="shared" si="92"/>
        <v>1</v>
      </c>
      <c r="JW9" s="220">
        <f t="shared" si="93"/>
        <v>1</v>
      </c>
      <c r="JX9" s="220">
        <f t="shared" si="94"/>
        <v>1</v>
      </c>
      <c r="JY9" s="220">
        <f t="shared" si="95"/>
        <v>1</v>
      </c>
      <c r="JZ9" s="220">
        <f t="shared" si="96"/>
        <v>1</v>
      </c>
      <c r="KA9" s="220">
        <f t="shared" si="97"/>
        <v>1</v>
      </c>
      <c r="KB9" s="220">
        <f t="shared" si="98"/>
        <v>1</v>
      </c>
      <c r="KC9" s="220">
        <f t="shared" si="99"/>
        <v>1</v>
      </c>
      <c r="KD9" s="220">
        <f t="shared" si="100"/>
        <v>1</v>
      </c>
      <c r="KE9" s="220">
        <f t="shared" si="101"/>
        <v>1</v>
      </c>
      <c r="KF9" s="220">
        <f t="shared" si="102"/>
        <v>1</v>
      </c>
      <c r="KG9" s="221">
        <f t="shared" si="103"/>
        <v>1</v>
      </c>
      <c r="KH9" s="13"/>
    </row>
    <row r="10" spans="1:294" ht="62.5" customHeight="1" thickBot="1" x14ac:dyDescent="0.4">
      <c r="A10" s="4"/>
      <c r="B10" s="58">
        <v>3</v>
      </c>
      <c r="C10" s="14" t="s">
        <v>30</v>
      </c>
      <c r="D10" s="5" t="s">
        <v>182</v>
      </c>
      <c r="E10" s="23" t="s">
        <v>2</v>
      </c>
      <c r="F10" s="5" t="s">
        <v>183</v>
      </c>
      <c r="G10" s="6" t="s">
        <v>184</v>
      </c>
      <c r="H10" s="22">
        <v>46181</v>
      </c>
      <c r="I10" s="22">
        <v>46188</v>
      </c>
      <c r="J10" s="67">
        <f t="shared" si="104"/>
        <v>8</v>
      </c>
      <c r="K10" s="22"/>
      <c r="L10" s="22"/>
      <c r="M10" s="67" t="str">
        <f>IF(AND(K10=0,L10=0),"No Progress",IF(Tbl_SM[[#This Row],[ACTUAL START]]="",0,IF(L10-K10&lt;0,"On Progress",L10-K10)))</f>
        <v>No Progress</v>
      </c>
      <c r="N10" s="21" t="str">
        <f>IF(Tbl_SM[[#This Row],[PLAN START]]="","",
IF(Tbl_SM[[#This Row],[ACTUAL FINISH]]&lt;&gt;"","CLOSE",
IF(Tbl_SM[[#This Row],[ACTUAL START]]&lt;&gt;"","ON PROGRESS",
"OPEN")))</f>
        <v>OPEN</v>
      </c>
      <c r="O10" s="97" t="str">
        <f ca="1">IF(Tbl_SM[[#This Row],[PLAN START]]="","",
IF(Tbl_SM[[#This Row],[ACTUAL FINISH]]&lt;&gt;"","CLOSE",
IF(TODAY()&gt;Tbl_SM[[#This Row],[DUE DATA]],"OVERDUE",
IF((Tbl_SM[[#This Row],[DUE DATA]]-TODAY())&lt;=3,"&lt; 3 HARI",
IF((Tbl_SM[[#This Row],[DUE DATA]]-TODAY())&lt;=7,"&lt; 7 HARI",
IF((Tbl_SM[[#This Row],[DUE DATA]]-TODAY())&lt;=14,"&lt; 14 HARI",
"&gt; 14 HARI"))))))</f>
        <v>&lt; 7 HARI</v>
      </c>
      <c r="P10" s="189">
        <f t="shared" si="12"/>
        <v>0.52666666666666595</v>
      </c>
      <c r="Q10" s="187">
        <f>IF(Tbl_SM[[#This Row],[STATUS]]="CLOSE",1,0)</f>
        <v>0</v>
      </c>
      <c r="S10" s="156">
        <v>0.05</v>
      </c>
      <c r="T10" s="157">
        <v>0.08</v>
      </c>
      <c r="U10" s="157">
        <v>0.1</v>
      </c>
      <c r="V10" s="157">
        <v>0.12666666666666701</v>
      </c>
      <c r="W10" s="157">
        <v>0.151666666666667</v>
      </c>
      <c r="X10" s="157">
        <v>0.176666666666667</v>
      </c>
      <c r="Y10" s="157">
        <v>0.20166666666666699</v>
      </c>
      <c r="Z10" s="157">
        <v>0.22666666666666699</v>
      </c>
      <c r="AA10" s="157">
        <v>0.25166666666666698</v>
      </c>
      <c r="AB10" s="157">
        <v>0.276666666666667</v>
      </c>
      <c r="AC10" s="157">
        <v>0.30166666666666703</v>
      </c>
      <c r="AD10" s="157">
        <v>0.32666666666666699</v>
      </c>
      <c r="AE10" s="157">
        <v>0.35166666666666702</v>
      </c>
      <c r="AF10" s="157">
        <v>0.37666666666666698</v>
      </c>
      <c r="AG10" s="157">
        <v>0.401666666666667</v>
      </c>
      <c r="AH10" s="157">
        <v>0.42666666666666703</v>
      </c>
      <c r="AI10" s="157">
        <v>0.45166666666666699</v>
      </c>
      <c r="AJ10" s="157">
        <v>0.47666666666666702</v>
      </c>
      <c r="AK10" s="157">
        <v>0.50166666666666704</v>
      </c>
      <c r="AL10" s="157">
        <v>0.50166666666666704</v>
      </c>
      <c r="AM10" s="157">
        <v>0.50166666666666704</v>
      </c>
      <c r="AN10" s="157">
        <v>0.50166666666666704</v>
      </c>
      <c r="AO10" s="157">
        <v>0.50166666666666704</v>
      </c>
      <c r="AP10" s="157">
        <v>0.50166666666666704</v>
      </c>
      <c r="AQ10" s="157">
        <v>0.50166666666666704</v>
      </c>
      <c r="AR10" s="157">
        <v>0.50166666666666704</v>
      </c>
      <c r="AS10" s="157">
        <v>0.50166666666666704</v>
      </c>
      <c r="AT10" s="157">
        <v>0.50166666666666704</v>
      </c>
      <c r="AU10" s="157">
        <v>0.51</v>
      </c>
      <c r="AV10" s="157">
        <v>0.51833333333333298</v>
      </c>
      <c r="AW10" s="157">
        <v>0.52666666666666595</v>
      </c>
      <c r="AX10" s="157">
        <v>0.53499999999999903</v>
      </c>
      <c r="AY10" s="157">
        <v>0.543333333333332</v>
      </c>
      <c r="AZ10" s="157">
        <v>0.55166666666666497</v>
      </c>
      <c r="BA10" s="157">
        <v>0.55999999999999805</v>
      </c>
      <c r="BB10" s="157">
        <v>0.56833333333333103</v>
      </c>
      <c r="BC10" s="157">
        <v>0.6</v>
      </c>
      <c r="BD10" s="157">
        <v>0.63</v>
      </c>
      <c r="BE10" s="157">
        <v>0.66</v>
      </c>
      <c r="BF10" s="157">
        <v>0.69</v>
      </c>
      <c r="BG10" s="157">
        <v>0.72</v>
      </c>
      <c r="BH10" s="157">
        <v>0.75</v>
      </c>
      <c r="BI10" s="157">
        <v>0.78</v>
      </c>
      <c r="BJ10" s="157">
        <v>0.81</v>
      </c>
      <c r="BK10" s="157">
        <v>0.84</v>
      </c>
      <c r="BL10" s="157">
        <v>0.87</v>
      </c>
      <c r="BM10" s="157">
        <v>0.9</v>
      </c>
      <c r="BN10" s="157">
        <v>0.93</v>
      </c>
      <c r="BO10" s="157">
        <v>0.96</v>
      </c>
      <c r="BP10" s="157">
        <v>0.99</v>
      </c>
      <c r="BQ10" s="157">
        <v>1</v>
      </c>
      <c r="BR10" s="157">
        <v>1</v>
      </c>
      <c r="BS10" s="157">
        <v>1</v>
      </c>
      <c r="BT10" s="157">
        <v>1</v>
      </c>
      <c r="BU10" s="157">
        <v>1</v>
      </c>
      <c r="BV10" s="157">
        <v>1</v>
      </c>
      <c r="BW10" s="157">
        <v>1</v>
      </c>
      <c r="BX10" s="157">
        <v>1</v>
      </c>
      <c r="BY10" s="157">
        <v>1</v>
      </c>
      <c r="BZ10" s="157">
        <v>1</v>
      </c>
      <c r="CA10" s="157">
        <v>1</v>
      </c>
      <c r="CB10" s="157">
        <v>1</v>
      </c>
      <c r="CC10" s="157">
        <v>1</v>
      </c>
      <c r="CD10" s="157">
        <v>1</v>
      </c>
      <c r="CE10" s="157">
        <v>1</v>
      </c>
      <c r="CF10" s="157">
        <v>1</v>
      </c>
      <c r="CG10" s="157">
        <v>1</v>
      </c>
      <c r="CH10" s="157">
        <v>1</v>
      </c>
      <c r="CI10" s="157">
        <v>1</v>
      </c>
      <c r="CJ10" s="157">
        <v>1</v>
      </c>
      <c r="CK10" s="157">
        <v>1</v>
      </c>
      <c r="CL10" s="157">
        <v>1</v>
      </c>
      <c r="CM10" s="157">
        <v>1</v>
      </c>
      <c r="CN10" s="157">
        <v>1</v>
      </c>
      <c r="CO10" s="157">
        <v>1</v>
      </c>
      <c r="CP10" s="157">
        <v>1</v>
      </c>
      <c r="CQ10" s="157">
        <v>1</v>
      </c>
      <c r="CR10" s="157">
        <v>1</v>
      </c>
      <c r="CS10" s="157">
        <v>1</v>
      </c>
      <c r="CT10" s="157">
        <v>1</v>
      </c>
      <c r="CU10" s="157">
        <v>1</v>
      </c>
      <c r="CV10" s="157">
        <v>1</v>
      </c>
      <c r="CW10" s="157">
        <v>1</v>
      </c>
      <c r="CX10" s="157">
        <v>1</v>
      </c>
      <c r="CY10" s="157">
        <v>1</v>
      </c>
      <c r="CZ10" s="157">
        <v>1</v>
      </c>
      <c r="DA10" s="157">
        <v>1</v>
      </c>
      <c r="DB10" s="157">
        <v>1</v>
      </c>
      <c r="DC10" s="157">
        <v>1</v>
      </c>
      <c r="DD10" s="157">
        <v>1</v>
      </c>
      <c r="DE10" s="158">
        <v>1</v>
      </c>
      <c r="DF10" s="152"/>
      <c r="DG10" s="225">
        <v>0.05</v>
      </c>
      <c r="DH10" s="162">
        <v>0.08</v>
      </c>
      <c r="DI10" s="162">
        <v>0.1</v>
      </c>
      <c r="DJ10" s="162">
        <v>0.12666666666666701</v>
      </c>
      <c r="DK10" s="162">
        <v>0.151666666666667</v>
      </c>
      <c r="DL10" s="162">
        <v>0.176666666666667</v>
      </c>
      <c r="DM10" s="162">
        <v>0.20166666666666699</v>
      </c>
      <c r="DN10" s="162">
        <v>0.22666666666666699</v>
      </c>
      <c r="DO10" s="162">
        <v>0.25166666666666698</v>
      </c>
      <c r="DP10" s="162">
        <v>0.276666666666667</v>
      </c>
      <c r="DQ10" s="162">
        <v>0.30166666666666703</v>
      </c>
      <c r="DR10" s="162">
        <v>0.32666666666666699</v>
      </c>
      <c r="DS10" s="162">
        <v>0.35166666666666702</v>
      </c>
      <c r="DT10" s="162">
        <v>0.37666666666666698</v>
      </c>
      <c r="DU10" s="162">
        <v>0.401666666666667</v>
      </c>
      <c r="DV10" s="162">
        <v>0.42666666666666703</v>
      </c>
      <c r="DW10" s="162">
        <v>0.45166666666666699</v>
      </c>
      <c r="DX10" s="162">
        <v>0.47666666666666702</v>
      </c>
      <c r="DY10" s="162">
        <v>0.50166666666666704</v>
      </c>
      <c r="DZ10" s="162">
        <v>0.50166666666666704</v>
      </c>
      <c r="EA10" s="162">
        <v>0.50166666666666704</v>
      </c>
      <c r="EB10" s="162">
        <v>0.50166666666666704</v>
      </c>
      <c r="EC10" s="162">
        <v>0.50166666666666704</v>
      </c>
      <c r="ED10" s="162">
        <v>0.50166666666666704</v>
      </c>
      <c r="EE10" s="162">
        <v>0.50166666666666704</v>
      </c>
      <c r="EF10" s="162">
        <v>0.50166666666666704</v>
      </c>
      <c r="EG10" s="162">
        <v>0.50166666666666704</v>
      </c>
      <c r="EH10" s="162">
        <v>0.50166666666666704</v>
      </c>
      <c r="EI10" s="162">
        <v>0.51</v>
      </c>
      <c r="EJ10" s="162">
        <v>0.51833333333333298</v>
      </c>
      <c r="EK10" s="162">
        <v>0.52666666666666595</v>
      </c>
      <c r="EL10" s="162">
        <v>0.53499999999999903</v>
      </c>
      <c r="EM10" s="162">
        <v>0.543333333333332</v>
      </c>
      <c r="EN10" s="162">
        <v>0.55166666666666497</v>
      </c>
      <c r="EO10" s="162">
        <v>0.55999999999999805</v>
      </c>
      <c r="EP10" s="162">
        <v>0.56833333333333103</v>
      </c>
      <c r="EQ10" s="162">
        <v>0.6</v>
      </c>
      <c r="ER10" s="162">
        <v>0.63</v>
      </c>
      <c r="ES10" s="162">
        <v>0.66</v>
      </c>
      <c r="ET10" s="162">
        <v>0.69</v>
      </c>
      <c r="EU10" s="162">
        <v>0.72</v>
      </c>
      <c r="EV10" s="162">
        <v>0.75</v>
      </c>
      <c r="EW10" s="162">
        <v>0.78</v>
      </c>
      <c r="EX10" s="162">
        <v>0.81</v>
      </c>
      <c r="EY10" s="162">
        <v>0.84</v>
      </c>
      <c r="EZ10" s="162">
        <v>0.87</v>
      </c>
      <c r="FA10" s="162">
        <v>0.9</v>
      </c>
      <c r="FB10" s="162">
        <v>0.93</v>
      </c>
      <c r="FC10" s="162">
        <v>0.96</v>
      </c>
      <c r="FD10" s="162">
        <v>0.99</v>
      </c>
      <c r="FE10" s="162">
        <v>1</v>
      </c>
      <c r="FF10" s="162">
        <v>1</v>
      </c>
      <c r="FG10" s="162">
        <v>1</v>
      </c>
      <c r="FH10" s="162">
        <v>1</v>
      </c>
      <c r="FI10" s="162">
        <v>1</v>
      </c>
      <c r="FJ10" s="162">
        <v>1</v>
      </c>
      <c r="FK10" s="162">
        <v>1</v>
      </c>
      <c r="FL10" s="162">
        <v>1</v>
      </c>
      <c r="FM10" s="162">
        <v>1</v>
      </c>
      <c r="FN10" s="162">
        <v>1</v>
      </c>
      <c r="FO10" s="162">
        <v>1</v>
      </c>
      <c r="FP10" s="162">
        <v>1</v>
      </c>
      <c r="FQ10" s="162">
        <v>1</v>
      </c>
      <c r="FR10" s="162">
        <v>1</v>
      </c>
      <c r="FS10" s="162">
        <v>1</v>
      </c>
      <c r="FT10" s="162">
        <v>1</v>
      </c>
      <c r="FU10" s="162">
        <v>1</v>
      </c>
      <c r="FV10" s="162">
        <v>1</v>
      </c>
      <c r="FW10" s="162">
        <v>1</v>
      </c>
      <c r="FX10" s="162">
        <v>1</v>
      </c>
      <c r="FY10" s="162">
        <v>1</v>
      </c>
      <c r="FZ10" s="162">
        <v>1</v>
      </c>
      <c r="GA10" s="162">
        <v>1</v>
      </c>
      <c r="GB10" s="162">
        <v>1</v>
      </c>
      <c r="GC10" s="162">
        <v>1</v>
      </c>
      <c r="GD10" s="162">
        <v>1</v>
      </c>
      <c r="GE10" s="162">
        <v>1</v>
      </c>
      <c r="GF10" s="162">
        <v>1</v>
      </c>
      <c r="GG10" s="162">
        <v>1</v>
      </c>
      <c r="GH10" s="162">
        <v>1</v>
      </c>
      <c r="GI10" s="162">
        <v>1</v>
      </c>
      <c r="GJ10" s="162">
        <v>1</v>
      </c>
      <c r="GK10" s="162">
        <v>1</v>
      </c>
      <c r="GL10" s="162">
        <v>1</v>
      </c>
      <c r="GM10" s="162">
        <v>1</v>
      </c>
      <c r="GN10" s="162">
        <v>1</v>
      </c>
      <c r="GO10" s="162">
        <v>1</v>
      </c>
      <c r="GP10" s="162">
        <v>1</v>
      </c>
      <c r="GQ10" s="162">
        <v>1</v>
      </c>
      <c r="GR10" s="162">
        <v>1</v>
      </c>
      <c r="GS10" s="218">
        <v>1</v>
      </c>
      <c r="GT10" s="31"/>
      <c r="GU10" s="219">
        <f t="shared" si="13"/>
        <v>1</v>
      </c>
      <c r="GV10" s="220">
        <f t="shared" si="14"/>
        <v>1</v>
      </c>
      <c r="GW10" s="220">
        <f t="shared" si="15"/>
        <v>1</v>
      </c>
      <c r="GX10" s="220">
        <f t="shared" si="16"/>
        <v>1</v>
      </c>
      <c r="GY10" s="220">
        <f t="shared" si="17"/>
        <v>1</v>
      </c>
      <c r="GZ10" s="220">
        <f t="shared" si="18"/>
        <v>1</v>
      </c>
      <c r="HA10" s="220">
        <f t="shared" si="19"/>
        <v>1</v>
      </c>
      <c r="HB10" s="220">
        <f t="shared" si="20"/>
        <v>1</v>
      </c>
      <c r="HC10" s="220">
        <f t="shared" si="21"/>
        <v>1</v>
      </c>
      <c r="HD10" s="220">
        <f t="shared" si="22"/>
        <v>1</v>
      </c>
      <c r="HE10" s="220">
        <f t="shared" si="23"/>
        <v>1</v>
      </c>
      <c r="HF10" s="220">
        <f t="shared" si="24"/>
        <v>1</v>
      </c>
      <c r="HG10" s="220">
        <f t="shared" si="25"/>
        <v>1</v>
      </c>
      <c r="HH10" s="220">
        <f t="shared" si="26"/>
        <v>1</v>
      </c>
      <c r="HI10" s="220">
        <f t="shared" si="27"/>
        <v>1</v>
      </c>
      <c r="HJ10" s="220">
        <f t="shared" si="28"/>
        <v>1</v>
      </c>
      <c r="HK10" s="220">
        <f t="shared" si="29"/>
        <v>1</v>
      </c>
      <c r="HL10" s="220">
        <f t="shared" si="30"/>
        <v>1</v>
      </c>
      <c r="HM10" s="220">
        <f t="shared" si="31"/>
        <v>1</v>
      </c>
      <c r="HN10" s="220">
        <f t="shared" si="32"/>
        <v>1</v>
      </c>
      <c r="HO10" s="220">
        <f t="shared" si="33"/>
        <v>1</v>
      </c>
      <c r="HP10" s="220">
        <f t="shared" si="34"/>
        <v>1</v>
      </c>
      <c r="HQ10" s="220">
        <f t="shared" si="35"/>
        <v>1</v>
      </c>
      <c r="HR10" s="220">
        <f t="shared" si="36"/>
        <v>1</v>
      </c>
      <c r="HS10" s="220">
        <f t="shared" si="37"/>
        <v>1</v>
      </c>
      <c r="HT10" s="220">
        <f t="shared" si="38"/>
        <v>1</v>
      </c>
      <c r="HU10" s="220">
        <f t="shared" si="39"/>
        <v>1</v>
      </c>
      <c r="HV10" s="220">
        <f t="shared" si="40"/>
        <v>1</v>
      </c>
      <c r="HW10" s="220">
        <f t="shared" si="41"/>
        <v>1</v>
      </c>
      <c r="HX10" s="220">
        <f t="shared" si="42"/>
        <v>1</v>
      </c>
      <c r="HY10" s="220">
        <f t="shared" si="43"/>
        <v>1</v>
      </c>
      <c r="HZ10" s="220">
        <f t="shared" si="44"/>
        <v>1</v>
      </c>
      <c r="IA10" s="220">
        <f t="shared" si="45"/>
        <v>1</v>
      </c>
      <c r="IB10" s="220">
        <f t="shared" si="46"/>
        <v>1</v>
      </c>
      <c r="IC10" s="220">
        <f t="shared" si="47"/>
        <v>1</v>
      </c>
      <c r="ID10" s="220">
        <f t="shared" si="48"/>
        <v>1</v>
      </c>
      <c r="IE10" s="220">
        <f t="shared" si="49"/>
        <v>1</v>
      </c>
      <c r="IF10" s="220">
        <f t="shared" si="50"/>
        <v>1</v>
      </c>
      <c r="IG10" s="220">
        <f t="shared" si="51"/>
        <v>1</v>
      </c>
      <c r="IH10" s="220">
        <f t="shared" si="52"/>
        <v>1</v>
      </c>
      <c r="II10" s="220">
        <f t="shared" si="53"/>
        <v>1</v>
      </c>
      <c r="IJ10" s="220">
        <f t="shared" si="54"/>
        <v>1</v>
      </c>
      <c r="IK10" s="220">
        <f t="shared" si="55"/>
        <v>1</v>
      </c>
      <c r="IL10" s="220">
        <f t="shared" si="56"/>
        <v>1</v>
      </c>
      <c r="IM10" s="220">
        <f t="shared" si="57"/>
        <v>1</v>
      </c>
      <c r="IN10" s="220">
        <f t="shared" si="58"/>
        <v>1</v>
      </c>
      <c r="IO10" s="220">
        <f t="shared" si="59"/>
        <v>1</v>
      </c>
      <c r="IP10" s="220">
        <f t="shared" si="60"/>
        <v>1</v>
      </c>
      <c r="IQ10" s="220">
        <f t="shared" si="61"/>
        <v>1</v>
      </c>
      <c r="IR10" s="220">
        <f t="shared" si="62"/>
        <v>1</v>
      </c>
      <c r="IS10" s="220">
        <f t="shared" si="63"/>
        <v>1</v>
      </c>
      <c r="IT10" s="220">
        <f t="shared" si="64"/>
        <v>1</v>
      </c>
      <c r="IU10" s="220">
        <f t="shared" si="65"/>
        <v>1</v>
      </c>
      <c r="IV10" s="220">
        <f t="shared" si="66"/>
        <v>1</v>
      </c>
      <c r="IW10" s="220">
        <f t="shared" si="67"/>
        <v>1</v>
      </c>
      <c r="IX10" s="220">
        <f t="shared" si="68"/>
        <v>1</v>
      </c>
      <c r="IY10" s="220">
        <f t="shared" si="69"/>
        <v>1</v>
      </c>
      <c r="IZ10" s="220">
        <f t="shared" si="70"/>
        <v>1</v>
      </c>
      <c r="JA10" s="220">
        <f t="shared" si="71"/>
        <v>1</v>
      </c>
      <c r="JB10" s="220">
        <f t="shared" si="72"/>
        <v>1</v>
      </c>
      <c r="JC10" s="220">
        <f t="shared" si="73"/>
        <v>1</v>
      </c>
      <c r="JD10" s="220">
        <f t="shared" si="74"/>
        <v>1</v>
      </c>
      <c r="JE10" s="220">
        <f t="shared" si="75"/>
        <v>1</v>
      </c>
      <c r="JF10" s="220">
        <f t="shared" si="76"/>
        <v>1</v>
      </c>
      <c r="JG10" s="220">
        <f t="shared" si="77"/>
        <v>1</v>
      </c>
      <c r="JH10" s="220">
        <f t="shared" si="78"/>
        <v>1</v>
      </c>
      <c r="JI10" s="220">
        <f t="shared" si="79"/>
        <v>1</v>
      </c>
      <c r="JJ10" s="220">
        <f t="shared" si="80"/>
        <v>1</v>
      </c>
      <c r="JK10" s="220">
        <f t="shared" si="81"/>
        <v>1</v>
      </c>
      <c r="JL10" s="220">
        <f t="shared" si="82"/>
        <v>1</v>
      </c>
      <c r="JM10" s="220">
        <f t="shared" si="83"/>
        <v>1</v>
      </c>
      <c r="JN10" s="220">
        <f t="shared" si="84"/>
        <v>1</v>
      </c>
      <c r="JO10" s="220">
        <f t="shared" si="85"/>
        <v>1</v>
      </c>
      <c r="JP10" s="220">
        <f t="shared" si="86"/>
        <v>1</v>
      </c>
      <c r="JQ10" s="220">
        <f t="shared" si="87"/>
        <v>1</v>
      </c>
      <c r="JR10" s="220">
        <f t="shared" si="88"/>
        <v>1</v>
      </c>
      <c r="JS10" s="220">
        <f t="shared" si="89"/>
        <v>1</v>
      </c>
      <c r="JT10" s="220">
        <f t="shared" si="90"/>
        <v>1</v>
      </c>
      <c r="JU10" s="220">
        <f t="shared" si="91"/>
        <v>1</v>
      </c>
      <c r="JV10" s="220">
        <f t="shared" si="92"/>
        <v>1</v>
      </c>
      <c r="JW10" s="220">
        <f t="shared" si="93"/>
        <v>1</v>
      </c>
      <c r="JX10" s="220">
        <f t="shared" si="94"/>
        <v>1</v>
      </c>
      <c r="JY10" s="220">
        <f t="shared" si="95"/>
        <v>1</v>
      </c>
      <c r="JZ10" s="220">
        <f t="shared" si="96"/>
        <v>1</v>
      </c>
      <c r="KA10" s="220">
        <f t="shared" si="97"/>
        <v>1</v>
      </c>
      <c r="KB10" s="220">
        <f t="shared" si="98"/>
        <v>1</v>
      </c>
      <c r="KC10" s="220">
        <f t="shared" si="99"/>
        <v>1</v>
      </c>
      <c r="KD10" s="220">
        <f t="shared" si="100"/>
        <v>1</v>
      </c>
      <c r="KE10" s="220">
        <f t="shared" si="101"/>
        <v>1</v>
      </c>
      <c r="KF10" s="220">
        <f t="shared" si="102"/>
        <v>1</v>
      </c>
      <c r="KG10" s="221">
        <f t="shared" si="103"/>
        <v>1</v>
      </c>
      <c r="KH10" s="13"/>
    </row>
    <row r="11" spans="1:294" ht="62.5" customHeight="1" thickBot="1" x14ac:dyDescent="0.4">
      <c r="A11" s="4"/>
      <c r="B11" s="58">
        <v>4</v>
      </c>
      <c r="C11" s="14" t="s">
        <v>30</v>
      </c>
      <c r="D11" s="5" t="s">
        <v>185</v>
      </c>
      <c r="E11" s="6" t="s">
        <v>2</v>
      </c>
      <c r="F11" s="5" t="s">
        <v>186</v>
      </c>
      <c r="G11" s="6" t="s">
        <v>187</v>
      </c>
      <c r="H11" s="22">
        <v>46183</v>
      </c>
      <c r="I11" s="22">
        <v>46206</v>
      </c>
      <c r="J11" s="67">
        <f t="shared" si="104"/>
        <v>24</v>
      </c>
      <c r="K11" s="22"/>
      <c r="L11" s="22"/>
      <c r="M11" s="67" t="str">
        <f>IF(AND(K11=0,L11=0),"No Progress",IF(Tbl_SM[[#This Row],[ACTUAL START]]="",0,IF(L11-K11&lt;0,"On Progress",L11-K11)))</f>
        <v>No Progress</v>
      </c>
      <c r="N11" s="21" t="str">
        <f>IF(Tbl_SM[[#This Row],[PLAN START]]="","",
IF(Tbl_SM[[#This Row],[ACTUAL FINISH]]&lt;&gt;"","CLOSE",
IF(Tbl_SM[[#This Row],[ACTUAL START]]&lt;&gt;"","ON PROGRESS",
"OPEN")))</f>
        <v>OPEN</v>
      </c>
      <c r="O11"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1" s="189">
        <f t="shared" si="12"/>
        <v>0.52666666666666595</v>
      </c>
      <c r="Q11" s="187">
        <f>IF(Tbl_SM[[#This Row],[STATUS]]="CLOSE",1,0)</f>
        <v>0</v>
      </c>
      <c r="S11" s="156">
        <v>0.05</v>
      </c>
      <c r="T11" s="157">
        <v>0.08</v>
      </c>
      <c r="U11" s="157">
        <v>0.1</v>
      </c>
      <c r="V11" s="157">
        <v>0.12666666666666701</v>
      </c>
      <c r="W11" s="157">
        <v>0.151666666666667</v>
      </c>
      <c r="X11" s="157">
        <v>0.176666666666667</v>
      </c>
      <c r="Y11" s="157">
        <v>0.20166666666666699</v>
      </c>
      <c r="Z11" s="157">
        <v>0.22666666666666699</v>
      </c>
      <c r="AA11" s="157">
        <v>0.25166666666666698</v>
      </c>
      <c r="AB11" s="157">
        <v>0.276666666666667</v>
      </c>
      <c r="AC11" s="157">
        <v>0.30166666666666703</v>
      </c>
      <c r="AD11" s="157">
        <v>0.32666666666666699</v>
      </c>
      <c r="AE11" s="157">
        <v>0.35166666666666702</v>
      </c>
      <c r="AF11" s="157">
        <v>0.37666666666666698</v>
      </c>
      <c r="AG11" s="157">
        <v>0.401666666666667</v>
      </c>
      <c r="AH11" s="157">
        <v>0.42666666666666703</v>
      </c>
      <c r="AI11" s="157">
        <v>0.45166666666666699</v>
      </c>
      <c r="AJ11" s="157">
        <v>0.47666666666666702</v>
      </c>
      <c r="AK11" s="157">
        <v>0.50166666666666704</v>
      </c>
      <c r="AL11" s="157">
        <v>0.50166666666666704</v>
      </c>
      <c r="AM11" s="157">
        <v>0.50166666666666704</v>
      </c>
      <c r="AN11" s="157">
        <v>0.50166666666666704</v>
      </c>
      <c r="AO11" s="157">
        <v>0.50166666666666704</v>
      </c>
      <c r="AP11" s="157">
        <v>0.50166666666666704</v>
      </c>
      <c r="AQ11" s="157">
        <v>0.50166666666666704</v>
      </c>
      <c r="AR11" s="157">
        <v>0.50166666666666704</v>
      </c>
      <c r="AS11" s="157">
        <v>0.50166666666666704</v>
      </c>
      <c r="AT11" s="157">
        <v>0.50166666666666704</v>
      </c>
      <c r="AU11" s="157">
        <v>0.51</v>
      </c>
      <c r="AV11" s="157">
        <v>0.51833333333333298</v>
      </c>
      <c r="AW11" s="157">
        <v>0.52666666666666595</v>
      </c>
      <c r="AX11" s="157">
        <v>0.53499999999999903</v>
      </c>
      <c r="AY11" s="157">
        <v>0.543333333333332</v>
      </c>
      <c r="AZ11" s="157">
        <v>0.55166666666666497</v>
      </c>
      <c r="BA11" s="157">
        <v>0.55999999999999805</v>
      </c>
      <c r="BB11" s="157">
        <v>0.56833333333333103</v>
      </c>
      <c r="BC11" s="157">
        <v>0.6</v>
      </c>
      <c r="BD11" s="157">
        <v>0.63</v>
      </c>
      <c r="BE11" s="157">
        <v>0.66</v>
      </c>
      <c r="BF11" s="157">
        <v>0.69</v>
      </c>
      <c r="BG11" s="157">
        <v>0.72</v>
      </c>
      <c r="BH11" s="157">
        <v>0.75</v>
      </c>
      <c r="BI11" s="157">
        <v>0.78</v>
      </c>
      <c r="BJ11" s="157">
        <v>0.81</v>
      </c>
      <c r="BK11" s="157">
        <v>0.84</v>
      </c>
      <c r="BL11" s="157">
        <v>0.87</v>
      </c>
      <c r="BM11" s="157">
        <v>0.9</v>
      </c>
      <c r="BN11" s="157">
        <v>0.93</v>
      </c>
      <c r="BO11" s="157">
        <v>0.96</v>
      </c>
      <c r="BP11" s="157">
        <v>0.99</v>
      </c>
      <c r="BQ11" s="157">
        <v>1</v>
      </c>
      <c r="BR11" s="157">
        <v>1</v>
      </c>
      <c r="BS11" s="157">
        <v>1</v>
      </c>
      <c r="BT11" s="157">
        <v>1</v>
      </c>
      <c r="BU11" s="157">
        <v>1</v>
      </c>
      <c r="BV11" s="157">
        <v>1</v>
      </c>
      <c r="BW11" s="157">
        <v>1</v>
      </c>
      <c r="BX11" s="157">
        <v>1</v>
      </c>
      <c r="BY11" s="157">
        <v>1</v>
      </c>
      <c r="BZ11" s="157">
        <v>1</v>
      </c>
      <c r="CA11" s="157">
        <v>1</v>
      </c>
      <c r="CB11" s="157">
        <v>1</v>
      </c>
      <c r="CC11" s="157">
        <v>1</v>
      </c>
      <c r="CD11" s="157">
        <v>1</v>
      </c>
      <c r="CE11" s="157">
        <v>1</v>
      </c>
      <c r="CF11" s="157">
        <v>1</v>
      </c>
      <c r="CG11" s="157">
        <v>1</v>
      </c>
      <c r="CH11" s="157">
        <v>1</v>
      </c>
      <c r="CI11" s="157">
        <v>1</v>
      </c>
      <c r="CJ11" s="157">
        <v>1</v>
      </c>
      <c r="CK11" s="157">
        <v>1</v>
      </c>
      <c r="CL11" s="157">
        <v>1</v>
      </c>
      <c r="CM11" s="157">
        <v>1</v>
      </c>
      <c r="CN11" s="157">
        <v>1</v>
      </c>
      <c r="CO11" s="157">
        <v>1</v>
      </c>
      <c r="CP11" s="157">
        <v>1</v>
      </c>
      <c r="CQ11" s="157">
        <v>1</v>
      </c>
      <c r="CR11" s="157">
        <v>1</v>
      </c>
      <c r="CS11" s="157">
        <v>1</v>
      </c>
      <c r="CT11" s="157">
        <v>1</v>
      </c>
      <c r="CU11" s="157">
        <v>1</v>
      </c>
      <c r="CV11" s="157">
        <v>1</v>
      </c>
      <c r="CW11" s="157">
        <v>1</v>
      </c>
      <c r="CX11" s="157">
        <v>1</v>
      </c>
      <c r="CY11" s="157">
        <v>1</v>
      </c>
      <c r="CZ11" s="157">
        <v>1</v>
      </c>
      <c r="DA11" s="157">
        <v>1</v>
      </c>
      <c r="DB11" s="157">
        <v>1</v>
      </c>
      <c r="DC11" s="157">
        <v>1</v>
      </c>
      <c r="DD11" s="157">
        <v>1</v>
      </c>
      <c r="DE11" s="158">
        <v>1</v>
      </c>
      <c r="DF11" s="152"/>
      <c r="DG11" s="225">
        <v>0.05</v>
      </c>
      <c r="DH11" s="162">
        <v>0.08</v>
      </c>
      <c r="DI11" s="162">
        <v>0.1</v>
      </c>
      <c r="DJ11" s="162">
        <v>0.12666666666666701</v>
      </c>
      <c r="DK11" s="162">
        <v>0.151666666666667</v>
      </c>
      <c r="DL11" s="162">
        <v>0.176666666666667</v>
      </c>
      <c r="DM11" s="162">
        <v>0.20166666666666699</v>
      </c>
      <c r="DN11" s="162">
        <v>0.22666666666666699</v>
      </c>
      <c r="DO11" s="162">
        <v>0.25166666666666698</v>
      </c>
      <c r="DP11" s="162">
        <v>0.276666666666667</v>
      </c>
      <c r="DQ11" s="162">
        <v>0.30166666666666703</v>
      </c>
      <c r="DR11" s="162">
        <v>0.32666666666666699</v>
      </c>
      <c r="DS11" s="162">
        <v>0.35166666666666702</v>
      </c>
      <c r="DT11" s="162">
        <v>0.37666666666666698</v>
      </c>
      <c r="DU11" s="162">
        <v>0.401666666666667</v>
      </c>
      <c r="DV11" s="162">
        <v>0.42666666666666703</v>
      </c>
      <c r="DW11" s="162">
        <v>0.45166666666666699</v>
      </c>
      <c r="DX11" s="162">
        <v>0.47666666666666702</v>
      </c>
      <c r="DY11" s="162">
        <v>0.50166666666666704</v>
      </c>
      <c r="DZ11" s="162">
        <v>0.50166666666666704</v>
      </c>
      <c r="EA11" s="162">
        <v>0.50166666666666704</v>
      </c>
      <c r="EB11" s="162">
        <v>0.50166666666666704</v>
      </c>
      <c r="EC11" s="162">
        <v>0.50166666666666704</v>
      </c>
      <c r="ED11" s="162">
        <v>0.50166666666666704</v>
      </c>
      <c r="EE11" s="162">
        <v>0.50166666666666704</v>
      </c>
      <c r="EF11" s="162">
        <v>0.50166666666666704</v>
      </c>
      <c r="EG11" s="162">
        <v>0.50166666666666704</v>
      </c>
      <c r="EH11" s="162">
        <v>0.50166666666666704</v>
      </c>
      <c r="EI11" s="162">
        <v>0.51</v>
      </c>
      <c r="EJ11" s="162">
        <v>0.51833333333333298</v>
      </c>
      <c r="EK11" s="162">
        <v>0.52666666666666595</v>
      </c>
      <c r="EL11" s="162">
        <v>0.53499999999999903</v>
      </c>
      <c r="EM11" s="162">
        <v>0.543333333333332</v>
      </c>
      <c r="EN11" s="162">
        <v>0.55166666666666497</v>
      </c>
      <c r="EO11" s="162">
        <v>0.55999999999999805</v>
      </c>
      <c r="EP11" s="162">
        <v>0.56833333333333103</v>
      </c>
      <c r="EQ11" s="162">
        <v>0.6</v>
      </c>
      <c r="ER11" s="162">
        <v>0.63</v>
      </c>
      <c r="ES11" s="162">
        <v>0.66</v>
      </c>
      <c r="ET11" s="162">
        <v>0.69</v>
      </c>
      <c r="EU11" s="162">
        <v>0.72</v>
      </c>
      <c r="EV11" s="162">
        <v>0.75</v>
      </c>
      <c r="EW11" s="162">
        <v>0.78</v>
      </c>
      <c r="EX11" s="162">
        <v>0.81</v>
      </c>
      <c r="EY11" s="162">
        <v>0.84</v>
      </c>
      <c r="EZ11" s="162">
        <v>0.87</v>
      </c>
      <c r="FA11" s="162">
        <v>0.9</v>
      </c>
      <c r="FB11" s="162">
        <v>0.93</v>
      </c>
      <c r="FC11" s="162">
        <v>0.96</v>
      </c>
      <c r="FD11" s="162">
        <v>0.99</v>
      </c>
      <c r="FE11" s="162">
        <v>1</v>
      </c>
      <c r="FF11" s="162">
        <v>1</v>
      </c>
      <c r="FG11" s="162">
        <v>1</v>
      </c>
      <c r="FH11" s="162">
        <v>1</v>
      </c>
      <c r="FI11" s="162">
        <v>1</v>
      </c>
      <c r="FJ11" s="162">
        <v>1</v>
      </c>
      <c r="FK11" s="162">
        <v>1</v>
      </c>
      <c r="FL11" s="162">
        <v>1</v>
      </c>
      <c r="FM11" s="162">
        <v>1</v>
      </c>
      <c r="FN11" s="162">
        <v>1</v>
      </c>
      <c r="FO11" s="162">
        <v>1</v>
      </c>
      <c r="FP11" s="162">
        <v>1</v>
      </c>
      <c r="FQ11" s="162">
        <v>1</v>
      </c>
      <c r="FR11" s="162">
        <v>1</v>
      </c>
      <c r="FS11" s="162">
        <v>1</v>
      </c>
      <c r="FT11" s="162">
        <v>1</v>
      </c>
      <c r="FU11" s="162">
        <v>1</v>
      </c>
      <c r="FV11" s="162">
        <v>1</v>
      </c>
      <c r="FW11" s="162">
        <v>1</v>
      </c>
      <c r="FX11" s="162">
        <v>1</v>
      </c>
      <c r="FY11" s="162">
        <v>1</v>
      </c>
      <c r="FZ11" s="162">
        <v>1</v>
      </c>
      <c r="GA11" s="162">
        <v>1</v>
      </c>
      <c r="GB11" s="162">
        <v>1</v>
      </c>
      <c r="GC11" s="162">
        <v>1</v>
      </c>
      <c r="GD11" s="162">
        <v>1</v>
      </c>
      <c r="GE11" s="162">
        <v>1</v>
      </c>
      <c r="GF11" s="162">
        <v>1</v>
      </c>
      <c r="GG11" s="162">
        <v>1</v>
      </c>
      <c r="GH11" s="162">
        <v>1</v>
      </c>
      <c r="GI11" s="162">
        <v>1</v>
      </c>
      <c r="GJ11" s="162">
        <v>1</v>
      </c>
      <c r="GK11" s="162">
        <v>1</v>
      </c>
      <c r="GL11" s="162">
        <v>1</v>
      </c>
      <c r="GM11" s="162">
        <v>1</v>
      </c>
      <c r="GN11" s="162">
        <v>1</v>
      </c>
      <c r="GO11" s="162">
        <v>1</v>
      </c>
      <c r="GP11" s="162">
        <v>1</v>
      </c>
      <c r="GQ11" s="162">
        <v>1</v>
      </c>
      <c r="GR11" s="162">
        <v>1</v>
      </c>
      <c r="GS11" s="218">
        <v>1</v>
      </c>
      <c r="GT11" s="31"/>
      <c r="GU11" s="219">
        <f t="shared" si="13"/>
        <v>1</v>
      </c>
      <c r="GV11" s="220">
        <f t="shared" si="14"/>
        <v>1</v>
      </c>
      <c r="GW11" s="220">
        <f t="shared" si="15"/>
        <v>1</v>
      </c>
      <c r="GX11" s="220">
        <f t="shared" si="16"/>
        <v>1</v>
      </c>
      <c r="GY11" s="220">
        <f t="shared" si="17"/>
        <v>1</v>
      </c>
      <c r="GZ11" s="220">
        <f t="shared" si="18"/>
        <v>1</v>
      </c>
      <c r="HA11" s="220">
        <f t="shared" si="19"/>
        <v>1</v>
      </c>
      <c r="HB11" s="220">
        <f t="shared" si="20"/>
        <v>1</v>
      </c>
      <c r="HC11" s="220">
        <f t="shared" si="21"/>
        <v>1</v>
      </c>
      <c r="HD11" s="220">
        <f t="shared" si="22"/>
        <v>1</v>
      </c>
      <c r="HE11" s="220">
        <f t="shared" si="23"/>
        <v>1</v>
      </c>
      <c r="HF11" s="220">
        <f t="shared" si="24"/>
        <v>1</v>
      </c>
      <c r="HG11" s="220">
        <f t="shared" si="25"/>
        <v>1</v>
      </c>
      <c r="HH11" s="220">
        <f t="shared" si="26"/>
        <v>1</v>
      </c>
      <c r="HI11" s="220">
        <f t="shared" si="27"/>
        <v>1</v>
      </c>
      <c r="HJ11" s="220">
        <f t="shared" si="28"/>
        <v>1</v>
      </c>
      <c r="HK11" s="220">
        <f t="shared" si="29"/>
        <v>1</v>
      </c>
      <c r="HL11" s="220">
        <f t="shared" si="30"/>
        <v>1</v>
      </c>
      <c r="HM11" s="220">
        <f t="shared" si="31"/>
        <v>1</v>
      </c>
      <c r="HN11" s="220">
        <f t="shared" si="32"/>
        <v>1</v>
      </c>
      <c r="HO11" s="220">
        <f t="shared" si="33"/>
        <v>1</v>
      </c>
      <c r="HP11" s="220">
        <f t="shared" si="34"/>
        <v>1</v>
      </c>
      <c r="HQ11" s="220">
        <f t="shared" si="35"/>
        <v>1</v>
      </c>
      <c r="HR11" s="220">
        <f t="shared" si="36"/>
        <v>1</v>
      </c>
      <c r="HS11" s="220">
        <f t="shared" si="37"/>
        <v>1</v>
      </c>
      <c r="HT11" s="220">
        <f t="shared" si="38"/>
        <v>1</v>
      </c>
      <c r="HU11" s="220">
        <f t="shared" si="39"/>
        <v>1</v>
      </c>
      <c r="HV11" s="220">
        <f t="shared" si="40"/>
        <v>1</v>
      </c>
      <c r="HW11" s="220">
        <f t="shared" si="41"/>
        <v>1</v>
      </c>
      <c r="HX11" s="220">
        <f t="shared" si="42"/>
        <v>1</v>
      </c>
      <c r="HY11" s="220">
        <f t="shared" si="43"/>
        <v>1</v>
      </c>
      <c r="HZ11" s="220">
        <f t="shared" si="44"/>
        <v>1</v>
      </c>
      <c r="IA11" s="220">
        <f t="shared" si="45"/>
        <v>1</v>
      </c>
      <c r="IB11" s="220">
        <f t="shared" si="46"/>
        <v>1</v>
      </c>
      <c r="IC11" s="220">
        <f t="shared" si="47"/>
        <v>1</v>
      </c>
      <c r="ID11" s="220">
        <f t="shared" si="48"/>
        <v>1</v>
      </c>
      <c r="IE11" s="220">
        <f t="shared" si="49"/>
        <v>1</v>
      </c>
      <c r="IF11" s="220">
        <f t="shared" si="50"/>
        <v>1</v>
      </c>
      <c r="IG11" s="220">
        <f t="shared" si="51"/>
        <v>1</v>
      </c>
      <c r="IH11" s="220">
        <f t="shared" si="52"/>
        <v>1</v>
      </c>
      <c r="II11" s="220">
        <f t="shared" si="53"/>
        <v>1</v>
      </c>
      <c r="IJ11" s="220">
        <f t="shared" si="54"/>
        <v>1</v>
      </c>
      <c r="IK11" s="220">
        <f t="shared" si="55"/>
        <v>1</v>
      </c>
      <c r="IL11" s="220">
        <f t="shared" si="56"/>
        <v>1</v>
      </c>
      <c r="IM11" s="220">
        <f t="shared" si="57"/>
        <v>1</v>
      </c>
      <c r="IN11" s="220">
        <f t="shared" si="58"/>
        <v>1</v>
      </c>
      <c r="IO11" s="220">
        <f t="shared" si="59"/>
        <v>1</v>
      </c>
      <c r="IP11" s="220">
        <f t="shared" si="60"/>
        <v>1</v>
      </c>
      <c r="IQ11" s="220">
        <f t="shared" si="61"/>
        <v>1</v>
      </c>
      <c r="IR11" s="220">
        <f t="shared" si="62"/>
        <v>1</v>
      </c>
      <c r="IS11" s="220">
        <f t="shared" si="63"/>
        <v>1</v>
      </c>
      <c r="IT11" s="220">
        <f t="shared" si="64"/>
        <v>1</v>
      </c>
      <c r="IU11" s="220">
        <f t="shared" si="65"/>
        <v>1</v>
      </c>
      <c r="IV11" s="220">
        <f t="shared" si="66"/>
        <v>1</v>
      </c>
      <c r="IW11" s="220">
        <f t="shared" si="67"/>
        <v>1</v>
      </c>
      <c r="IX11" s="220">
        <f t="shared" si="68"/>
        <v>1</v>
      </c>
      <c r="IY11" s="220">
        <f t="shared" si="69"/>
        <v>1</v>
      </c>
      <c r="IZ11" s="220">
        <f t="shared" si="70"/>
        <v>1</v>
      </c>
      <c r="JA11" s="220">
        <f t="shared" si="71"/>
        <v>1</v>
      </c>
      <c r="JB11" s="220">
        <f t="shared" si="72"/>
        <v>1</v>
      </c>
      <c r="JC11" s="220">
        <f t="shared" si="73"/>
        <v>1</v>
      </c>
      <c r="JD11" s="220">
        <f t="shared" si="74"/>
        <v>1</v>
      </c>
      <c r="JE11" s="220">
        <f t="shared" si="75"/>
        <v>1</v>
      </c>
      <c r="JF11" s="220">
        <f t="shared" si="76"/>
        <v>1</v>
      </c>
      <c r="JG11" s="220">
        <f t="shared" si="77"/>
        <v>1</v>
      </c>
      <c r="JH11" s="220">
        <f t="shared" si="78"/>
        <v>1</v>
      </c>
      <c r="JI11" s="220">
        <f t="shared" si="79"/>
        <v>1</v>
      </c>
      <c r="JJ11" s="220">
        <f t="shared" si="80"/>
        <v>1</v>
      </c>
      <c r="JK11" s="220">
        <f t="shared" si="81"/>
        <v>1</v>
      </c>
      <c r="JL11" s="220">
        <f t="shared" si="82"/>
        <v>1</v>
      </c>
      <c r="JM11" s="220">
        <f t="shared" si="83"/>
        <v>1</v>
      </c>
      <c r="JN11" s="220">
        <f t="shared" si="84"/>
        <v>1</v>
      </c>
      <c r="JO11" s="220">
        <f t="shared" si="85"/>
        <v>1</v>
      </c>
      <c r="JP11" s="220">
        <f t="shared" si="86"/>
        <v>1</v>
      </c>
      <c r="JQ11" s="220">
        <f t="shared" si="87"/>
        <v>1</v>
      </c>
      <c r="JR11" s="220">
        <f t="shared" si="88"/>
        <v>1</v>
      </c>
      <c r="JS11" s="220">
        <f t="shared" si="89"/>
        <v>1</v>
      </c>
      <c r="JT11" s="220">
        <f t="shared" si="90"/>
        <v>1</v>
      </c>
      <c r="JU11" s="220">
        <f t="shared" si="91"/>
        <v>1</v>
      </c>
      <c r="JV11" s="220">
        <f t="shared" si="92"/>
        <v>1</v>
      </c>
      <c r="JW11" s="220">
        <f t="shared" si="93"/>
        <v>1</v>
      </c>
      <c r="JX11" s="220">
        <f t="shared" si="94"/>
        <v>1</v>
      </c>
      <c r="JY11" s="220">
        <f t="shared" si="95"/>
        <v>1</v>
      </c>
      <c r="JZ11" s="220">
        <f t="shared" si="96"/>
        <v>1</v>
      </c>
      <c r="KA11" s="220">
        <f t="shared" si="97"/>
        <v>1</v>
      </c>
      <c r="KB11" s="220">
        <f t="shared" si="98"/>
        <v>1</v>
      </c>
      <c r="KC11" s="220">
        <f t="shared" si="99"/>
        <v>1</v>
      </c>
      <c r="KD11" s="220">
        <f t="shared" si="100"/>
        <v>1</v>
      </c>
      <c r="KE11" s="220">
        <f t="shared" si="101"/>
        <v>1</v>
      </c>
      <c r="KF11" s="220">
        <f t="shared" si="102"/>
        <v>1</v>
      </c>
      <c r="KG11" s="221">
        <f t="shared" si="103"/>
        <v>1</v>
      </c>
      <c r="KH11" s="13"/>
    </row>
    <row r="12" spans="1:294" ht="62.5" customHeight="1" thickBot="1" x14ac:dyDescent="0.4">
      <c r="A12" s="4"/>
      <c r="B12" s="58">
        <v>5</v>
      </c>
      <c r="C12" s="14" t="s">
        <v>30</v>
      </c>
      <c r="D12" s="5" t="s">
        <v>188</v>
      </c>
      <c r="E12" s="6" t="s">
        <v>3</v>
      </c>
      <c r="F12" s="5" t="s">
        <v>189</v>
      </c>
      <c r="G12" s="6" t="s">
        <v>190</v>
      </c>
      <c r="H12" s="22">
        <v>46195</v>
      </c>
      <c r="I12" s="22">
        <v>46248</v>
      </c>
      <c r="J12" s="67">
        <f t="shared" si="104"/>
        <v>54</v>
      </c>
      <c r="K12" s="22"/>
      <c r="L12" s="22"/>
      <c r="M12" s="67" t="str">
        <f>IF(AND(K12=0,L12=0),"No Progress",IF(Tbl_SM[[#This Row],[ACTUAL START]]="",0,IF(L12-K12&lt;0,"On Progress",L12-K12)))</f>
        <v>No Progress</v>
      </c>
      <c r="N12" s="21" t="str">
        <f>IF(Tbl_SM[[#This Row],[PLAN START]]="","",
IF(Tbl_SM[[#This Row],[ACTUAL FINISH]]&lt;&gt;"","CLOSE",
IF(Tbl_SM[[#This Row],[ACTUAL START]]&lt;&gt;"","ON PROGRESS",
"OPEN")))</f>
        <v>OPEN</v>
      </c>
      <c r="O12"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2" s="189">
        <f t="shared" si="12"/>
        <v>0.52666666666666595</v>
      </c>
      <c r="Q12" s="187">
        <f>IF(Tbl_SM[[#This Row],[STATUS]]="CLOSE",1,0)</f>
        <v>0</v>
      </c>
      <c r="S12" s="156">
        <v>0.05</v>
      </c>
      <c r="T12" s="157">
        <v>0.08</v>
      </c>
      <c r="U12" s="157">
        <v>0.1</v>
      </c>
      <c r="V12" s="157">
        <v>0.12666666666666701</v>
      </c>
      <c r="W12" s="157">
        <v>0.151666666666667</v>
      </c>
      <c r="X12" s="157">
        <v>0.176666666666667</v>
      </c>
      <c r="Y12" s="157">
        <v>0.20166666666666699</v>
      </c>
      <c r="Z12" s="157">
        <v>0.22666666666666699</v>
      </c>
      <c r="AA12" s="157">
        <v>0.25166666666666698</v>
      </c>
      <c r="AB12" s="157">
        <v>0.276666666666667</v>
      </c>
      <c r="AC12" s="157">
        <v>0.30166666666666703</v>
      </c>
      <c r="AD12" s="157">
        <v>0.32666666666666699</v>
      </c>
      <c r="AE12" s="157">
        <v>0.35166666666666702</v>
      </c>
      <c r="AF12" s="157">
        <v>0.37666666666666698</v>
      </c>
      <c r="AG12" s="157">
        <v>0.401666666666667</v>
      </c>
      <c r="AH12" s="157">
        <v>0.42666666666666703</v>
      </c>
      <c r="AI12" s="157">
        <v>0.45166666666666699</v>
      </c>
      <c r="AJ12" s="157">
        <v>0.47666666666666702</v>
      </c>
      <c r="AK12" s="157">
        <v>0.50166666666666704</v>
      </c>
      <c r="AL12" s="157">
        <v>0.50166666666666704</v>
      </c>
      <c r="AM12" s="157">
        <v>0.50166666666666704</v>
      </c>
      <c r="AN12" s="157">
        <v>0.50166666666666704</v>
      </c>
      <c r="AO12" s="157">
        <v>0.50166666666666704</v>
      </c>
      <c r="AP12" s="157">
        <v>0.50166666666666704</v>
      </c>
      <c r="AQ12" s="157">
        <v>0.50166666666666704</v>
      </c>
      <c r="AR12" s="157">
        <v>0.50166666666666704</v>
      </c>
      <c r="AS12" s="157">
        <v>0.50166666666666704</v>
      </c>
      <c r="AT12" s="157">
        <v>0.50166666666666704</v>
      </c>
      <c r="AU12" s="157">
        <v>0.51</v>
      </c>
      <c r="AV12" s="157">
        <v>0.51833333333333298</v>
      </c>
      <c r="AW12" s="157">
        <v>0.52666666666666595</v>
      </c>
      <c r="AX12" s="157">
        <v>0.53499999999999903</v>
      </c>
      <c r="AY12" s="157">
        <v>0.543333333333332</v>
      </c>
      <c r="AZ12" s="157">
        <v>0.55166666666666497</v>
      </c>
      <c r="BA12" s="157">
        <v>0.55999999999999805</v>
      </c>
      <c r="BB12" s="157">
        <v>0.56833333333333103</v>
      </c>
      <c r="BC12" s="157">
        <v>0.6</v>
      </c>
      <c r="BD12" s="157">
        <v>0.63</v>
      </c>
      <c r="BE12" s="157">
        <v>0.66</v>
      </c>
      <c r="BF12" s="157">
        <v>0.69</v>
      </c>
      <c r="BG12" s="157">
        <v>0.72</v>
      </c>
      <c r="BH12" s="157">
        <v>0.75</v>
      </c>
      <c r="BI12" s="157">
        <v>0.78</v>
      </c>
      <c r="BJ12" s="157">
        <v>0.81</v>
      </c>
      <c r="BK12" s="157">
        <v>0.84</v>
      </c>
      <c r="BL12" s="157">
        <v>0.87</v>
      </c>
      <c r="BM12" s="157">
        <v>0.9</v>
      </c>
      <c r="BN12" s="157">
        <v>0.93</v>
      </c>
      <c r="BO12" s="157">
        <v>0.96</v>
      </c>
      <c r="BP12" s="157">
        <v>0.99</v>
      </c>
      <c r="BQ12" s="157">
        <v>1</v>
      </c>
      <c r="BR12" s="157">
        <v>1</v>
      </c>
      <c r="BS12" s="157">
        <v>1</v>
      </c>
      <c r="BT12" s="157">
        <v>1</v>
      </c>
      <c r="BU12" s="157">
        <v>1</v>
      </c>
      <c r="BV12" s="157">
        <v>1</v>
      </c>
      <c r="BW12" s="157">
        <v>1</v>
      </c>
      <c r="BX12" s="157">
        <v>1</v>
      </c>
      <c r="BY12" s="157">
        <v>1</v>
      </c>
      <c r="BZ12" s="157">
        <v>1</v>
      </c>
      <c r="CA12" s="157">
        <v>1</v>
      </c>
      <c r="CB12" s="157">
        <v>1</v>
      </c>
      <c r="CC12" s="157">
        <v>1</v>
      </c>
      <c r="CD12" s="157">
        <v>1</v>
      </c>
      <c r="CE12" s="157">
        <v>1</v>
      </c>
      <c r="CF12" s="157">
        <v>1</v>
      </c>
      <c r="CG12" s="157">
        <v>1</v>
      </c>
      <c r="CH12" s="157">
        <v>1</v>
      </c>
      <c r="CI12" s="157">
        <v>1</v>
      </c>
      <c r="CJ12" s="157">
        <v>1</v>
      </c>
      <c r="CK12" s="157">
        <v>1</v>
      </c>
      <c r="CL12" s="157">
        <v>1</v>
      </c>
      <c r="CM12" s="157">
        <v>1</v>
      </c>
      <c r="CN12" s="157">
        <v>1</v>
      </c>
      <c r="CO12" s="157">
        <v>1</v>
      </c>
      <c r="CP12" s="157">
        <v>1</v>
      </c>
      <c r="CQ12" s="157">
        <v>1</v>
      </c>
      <c r="CR12" s="157">
        <v>1</v>
      </c>
      <c r="CS12" s="157">
        <v>1</v>
      </c>
      <c r="CT12" s="157">
        <v>1</v>
      </c>
      <c r="CU12" s="157">
        <v>1</v>
      </c>
      <c r="CV12" s="157">
        <v>1</v>
      </c>
      <c r="CW12" s="157">
        <v>1</v>
      </c>
      <c r="CX12" s="157">
        <v>1</v>
      </c>
      <c r="CY12" s="157">
        <v>1</v>
      </c>
      <c r="CZ12" s="157">
        <v>1</v>
      </c>
      <c r="DA12" s="157">
        <v>1</v>
      </c>
      <c r="DB12" s="157">
        <v>1</v>
      </c>
      <c r="DC12" s="157">
        <v>1</v>
      </c>
      <c r="DD12" s="157">
        <v>1</v>
      </c>
      <c r="DE12" s="158">
        <v>1</v>
      </c>
      <c r="DF12" s="152"/>
      <c r="DG12" s="225">
        <v>0.05</v>
      </c>
      <c r="DH12" s="162">
        <v>0.08</v>
      </c>
      <c r="DI12" s="162">
        <v>0.1</v>
      </c>
      <c r="DJ12" s="162">
        <v>0.12666666666666701</v>
      </c>
      <c r="DK12" s="162">
        <v>0.151666666666667</v>
      </c>
      <c r="DL12" s="162">
        <v>0.176666666666667</v>
      </c>
      <c r="DM12" s="162">
        <v>0.20166666666666699</v>
      </c>
      <c r="DN12" s="162">
        <v>0.22666666666666699</v>
      </c>
      <c r="DO12" s="162">
        <v>0.25166666666666698</v>
      </c>
      <c r="DP12" s="162">
        <v>0.276666666666667</v>
      </c>
      <c r="DQ12" s="162">
        <v>0.30166666666666703</v>
      </c>
      <c r="DR12" s="162">
        <v>0.32666666666666699</v>
      </c>
      <c r="DS12" s="162">
        <v>0.35166666666666702</v>
      </c>
      <c r="DT12" s="162">
        <v>0.37666666666666698</v>
      </c>
      <c r="DU12" s="162">
        <v>0.401666666666667</v>
      </c>
      <c r="DV12" s="162">
        <v>0.42666666666666703</v>
      </c>
      <c r="DW12" s="162">
        <v>0.45166666666666699</v>
      </c>
      <c r="DX12" s="162">
        <v>0.47666666666666702</v>
      </c>
      <c r="DY12" s="162">
        <v>0.50166666666666704</v>
      </c>
      <c r="DZ12" s="162">
        <v>0.50166666666666704</v>
      </c>
      <c r="EA12" s="162">
        <v>0.50166666666666704</v>
      </c>
      <c r="EB12" s="162">
        <v>0.50166666666666704</v>
      </c>
      <c r="EC12" s="162">
        <v>0.50166666666666704</v>
      </c>
      <c r="ED12" s="162">
        <v>0.50166666666666704</v>
      </c>
      <c r="EE12" s="162">
        <v>0.50166666666666704</v>
      </c>
      <c r="EF12" s="162">
        <v>0.50166666666666704</v>
      </c>
      <c r="EG12" s="162">
        <v>0.50166666666666704</v>
      </c>
      <c r="EH12" s="162">
        <v>0.50166666666666704</v>
      </c>
      <c r="EI12" s="162">
        <v>0.51</v>
      </c>
      <c r="EJ12" s="162">
        <v>0.51833333333333298</v>
      </c>
      <c r="EK12" s="162">
        <v>0.52666666666666595</v>
      </c>
      <c r="EL12" s="162">
        <v>0.53499999999999903</v>
      </c>
      <c r="EM12" s="162">
        <v>0.543333333333332</v>
      </c>
      <c r="EN12" s="162">
        <v>0.55166666666666497</v>
      </c>
      <c r="EO12" s="162">
        <v>0.55999999999999805</v>
      </c>
      <c r="EP12" s="162">
        <v>0.56833333333333103</v>
      </c>
      <c r="EQ12" s="162">
        <v>0.6</v>
      </c>
      <c r="ER12" s="162">
        <v>0.63</v>
      </c>
      <c r="ES12" s="162">
        <v>0.66</v>
      </c>
      <c r="ET12" s="162">
        <v>0.69</v>
      </c>
      <c r="EU12" s="162">
        <v>0.72</v>
      </c>
      <c r="EV12" s="162">
        <v>0.75</v>
      </c>
      <c r="EW12" s="162">
        <v>0.78</v>
      </c>
      <c r="EX12" s="162">
        <v>0.81</v>
      </c>
      <c r="EY12" s="162">
        <v>0.84</v>
      </c>
      <c r="EZ12" s="162">
        <v>0.87</v>
      </c>
      <c r="FA12" s="162">
        <v>0.9</v>
      </c>
      <c r="FB12" s="162">
        <v>0.93</v>
      </c>
      <c r="FC12" s="162">
        <v>0.96</v>
      </c>
      <c r="FD12" s="162">
        <v>0.99</v>
      </c>
      <c r="FE12" s="162">
        <v>1</v>
      </c>
      <c r="FF12" s="162">
        <v>1</v>
      </c>
      <c r="FG12" s="162">
        <v>1</v>
      </c>
      <c r="FH12" s="162">
        <v>1</v>
      </c>
      <c r="FI12" s="162">
        <v>1</v>
      </c>
      <c r="FJ12" s="162">
        <v>1</v>
      </c>
      <c r="FK12" s="162">
        <v>1</v>
      </c>
      <c r="FL12" s="162">
        <v>1</v>
      </c>
      <c r="FM12" s="162">
        <v>1</v>
      </c>
      <c r="FN12" s="162">
        <v>1</v>
      </c>
      <c r="FO12" s="162">
        <v>1</v>
      </c>
      <c r="FP12" s="162">
        <v>1</v>
      </c>
      <c r="FQ12" s="162">
        <v>1</v>
      </c>
      <c r="FR12" s="162">
        <v>1</v>
      </c>
      <c r="FS12" s="162">
        <v>1</v>
      </c>
      <c r="FT12" s="162">
        <v>1</v>
      </c>
      <c r="FU12" s="162">
        <v>1</v>
      </c>
      <c r="FV12" s="162">
        <v>1</v>
      </c>
      <c r="FW12" s="162">
        <v>1</v>
      </c>
      <c r="FX12" s="162">
        <v>1</v>
      </c>
      <c r="FY12" s="162">
        <v>1</v>
      </c>
      <c r="FZ12" s="162">
        <v>1</v>
      </c>
      <c r="GA12" s="162">
        <v>1</v>
      </c>
      <c r="GB12" s="162">
        <v>1</v>
      </c>
      <c r="GC12" s="162">
        <v>1</v>
      </c>
      <c r="GD12" s="162">
        <v>1</v>
      </c>
      <c r="GE12" s="162">
        <v>1</v>
      </c>
      <c r="GF12" s="162">
        <v>1</v>
      </c>
      <c r="GG12" s="162">
        <v>1</v>
      </c>
      <c r="GH12" s="162">
        <v>1</v>
      </c>
      <c r="GI12" s="162">
        <v>1</v>
      </c>
      <c r="GJ12" s="162">
        <v>1</v>
      </c>
      <c r="GK12" s="162">
        <v>1</v>
      </c>
      <c r="GL12" s="162">
        <v>1</v>
      </c>
      <c r="GM12" s="162">
        <v>1</v>
      </c>
      <c r="GN12" s="162">
        <v>1</v>
      </c>
      <c r="GO12" s="162">
        <v>1</v>
      </c>
      <c r="GP12" s="162">
        <v>1</v>
      </c>
      <c r="GQ12" s="162">
        <v>1</v>
      </c>
      <c r="GR12" s="162">
        <v>1</v>
      </c>
      <c r="GS12" s="218">
        <v>1</v>
      </c>
      <c r="GT12" s="31"/>
      <c r="GU12" s="219">
        <f t="shared" si="13"/>
        <v>1</v>
      </c>
      <c r="GV12" s="220">
        <f t="shared" si="14"/>
        <v>1</v>
      </c>
      <c r="GW12" s="220">
        <f t="shared" si="15"/>
        <v>1</v>
      </c>
      <c r="GX12" s="220">
        <f t="shared" si="16"/>
        <v>1</v>
      </c>
      <c r="GY12" s="220">
        <f t="shared" si="17"/>
        <v>1</v>
      </c>
      <c r="GZ12" s="220">
        <f t="shared" si="18"/>
        <v>1</v>
      </c>
      <c r="HA12" s="220">
        <f t="shared" si="19"/>
        <v>1</v>
      </c>
      <c r="HB12" s="220">
        <f t="shared" si="20"/>
        <v>1</v>
      </c>
      <c r="HC12" s="220">
        <f t="shared" si="21"/>
        <v>1</v>
      </c>
      <c r="HD12" s="220">
        <f t="shared" si="22"/>
        <v>1</v>
      </c>
      <c r="HE12" s="220">
        <f t="shared" si="23"/>
        <v>1</v>
      </c>
      <c r="HF12" s="220">
        <f t="shared" si="24"/>
        <v>1</v>
      </c>
      <c r="HG12" s="220">
        <f t="shared" si="25"/>
        <v>1</v>
      </c>
      <c r="HH12" s="220">
        <f t="shared" si="26"/>
        <v>1</v>
      </c>
      <c r="HI12" s="220">
        <f t="shared" si="27"/>
        <v>1</v>
      </c>
      <c r="HJ12" s="220">
        <f t="shared" si="28"/>
        <v>1</v>
      </c>
      <c r="HK12" s="220">
        <f t="shared" si="29"/>
        <v>1</v>
      </c>
      <c r="HL12" s="220">
        <f t="shared" si="30"/>
        <v>1</v>
      </c>
      <c r="HM12" s="220">
        <f t="shared" si="31"/>
        <v>1</v>
      </c>
      <c r="HN12" s="220">
        <f t="shared" si="32"/>
        <v>1</v>
      </c>
      <c r="HO12" s="220">
        <f t="shared" si="33"/>
        <v>1</v>
      </c>
      <c r="HP12" s="220">
        <f t="shared" si="34"/>
        <v>1</v>
      </c>
      <c r="HQ12" s="220">
        <f t="shared" si="35"/>
        <v>1</v>
      </c>
      <c r="HR12" s="220">
        <f t="shared" si="36"/>
        <v>1</v>
      </c>
      <c r="HS12" s="220">
        <f t="shared" si="37"/>
        <v>1</v>
      </c>
      <c r="HT12" s="220">
        <f t="shared" si="38"/>
        <v>1</v>
      </c>
      <c r="HU12" s="220">
        <f t="shared" si="39"/>
        <v>1</v>
      </c>
      <c r="HV12" s="220">
        <f t="shared" si="40"/>
        <v>1</v>
      </c>
      <c r="HW12" s="220">
        <f t="shared" si="41"/>
        <v>1</v>
      </c>
      <c r="HX12" s="220">
        <f t="shared" si="42"/>
        <v>1</v>
      </c>
      <c r="HY12" s="220">
        <f t="shared" si="43"/>
        <v>1</v>
      </c>
      <c r="HZ12" s="220">
        <f t="shared" si="44"/>
        <v>1</v>
      </c>
      <c r="IA12" s="220">
        <f t="shared" si="45"/>
        <v>1</v>
      </c>
      <c r="IB12" s="220">
        <f t="shared" si="46"/>
        <v>1</v>
      </c>
      <c r="IC12" s="220">
        <f t="shared" si="47"/>
        <v>1</v>
      </c>
      <c r="ID12" s="220">
        <f t="shared" si="48"/>
        <v>1</v>
      </c>
      <c r="IE12" s="220">
        <f t="shared" si="49"/>
        <v>1</v>
      </c>
      <c r="IF12" s="220">
        <f t="shared" si="50"/>
        <v>1</v>
      </c>
      <c r="IG12" s="220">
        <f t="shared" si="51"/>
        <v>1</v>
      </c>
      <c r="IH12" s="220">
        <f t="shared" si="52"/>
        <v>1</v>
      </c>
      <c r="II12" s="220">
        <f t="shared" si="53"/>
        <v>1</v>
      </c>
      <c r="IJ12" s="220">
        <f t="shared" si="54"/>
        <v>1</v>
      </c>
      <c r="IK12" s="220">
        <f t="shared" si="55"/>
        <v>1</v>
      </c>
      <c r="IL12" s="220">
        <f t="shared" si="56"/>
        <v>1</v>
      </c>
      <c r="IM12" s="220">
        <f t="shared" si="57"/>
        <v>1</v>
      </c>
      <c r="IN12" s="220">
        <f t="shared" si="58"/>
        <v>1</v>
      </c>
      <c r="IO12" s="220">
        <f t="shared" si="59"/>
        <v>1</v>
      </c>
      <c r="IP12" s="220">
        <f t="shared" si="60"/>
        <v>1</v>
      </c>
      <c r="IQ12" s="220">
        <f t="shared" si="61"/>
        <v>1</v>
      </c>
      <c r="IR12" s="220">
        <f t="shared" si="62"/>
        <v>1</v>
      </c>
      <c r="IS12" s="220">
        <f t="shared" si="63"/>
        <v>1</v>
      </c>
      <c r="IT12" s="220">
        <f t="shared" si="64"/>
        <v>1</v>
      </c>
      <c r="IU12" s="220">
        <f t="shared" si="65"/>
        <v>1</v>
      </c>
      <c r="IV12" s="220">
        <f t="shared" si="66"/>
        <v>1</v>
      </c>
      <c r="IW12" s="220">
        <f t="shared" si="67"/>
        <v>1</v>
      </c>
      <c r="IX12" s="220">
        <f t="shared" si="68"/>
        <v>1</v>
      </c>
      <c r="IY12" s="220">
        <f t="shared" si="69"/>
        <v>1</v>
      </c>
      <c r="IZ12" s="220">
        <f t="shared" si="70"/>
        <v>1</v>
      </c>
      <c r="JA12" s="220">
        <f t="shared" si="71"/>
        <v>1</v>
      </c>
      <c r="JB12" s="220">
        <f t="shared" si="72"/>
        <v>1</v>
      </c>
      <c r="JC12" s="220">
        <f t="shared" si="73"/>
        <v>1</v>
      </c>
      <c r="JD12" s="220">
        <f t="shared" si="74"/>
        <v>1</v>
      </c>
      <c r="JE12" s="220">
        <f t="shared" si="75"/>
        <v>1</v>
      </c>
      <c r="JF12" s="220">
        <f t="shared" si="76"/>
        <v>1</v>
      </c>
      <c r="JG12" s="220">
        <f t="shared" si="77"/>
        <v>1</v>
      </c>
      <c r="JH12" s="220">
        <f t="shared" si="78"/>
        <v>1</v>
      </c>
      <c r="JI12" s="220">
        <f t="shared" si="79"/>
        <v>1</v>
      </c>
      <c r="JJ12" s="220">
        <f t="shared" si="80"/>
        <v>1</v>
      </c>
      <c r="JK12" s="220">
        <f t="shared" si="81"/>
        <v>1</v>
      </c>
      <c r="JL12" s="220">
        <f t="shared" si="82"/>
        <v>1</v>
      </c>
      <c r="JM12" s="220">
        <f t="shared" si="83"/>
        <v>1</v>
      </c>
      <c r="JN12" s="220">
        <f t="shared" si="84"/>
        <v>1</v>
      </c>
      <c r="JO12" s="220">
        <f t="shared" si="85"/>
        <v>1</v>
      </c>
      <c r="JP12" s="220">
        <f t="shared" si="86"/>
        <v>1</v>
      </c>
      <c r="JQ12" s="220">
        <f t="shared" si="87"/>
        <v>1</v>
      </c>
      <c r="JR12" s="220">
        <f t="shared" si="88"/>
        <v>1</v>
      </c>
      <c r="JS12" s="220">
        <f t="shared" si="89"/>
        <v>1</v>
      </c>
      <c r="JT12" s="220">
        <f t="shared" si="90"/>
        <v>1</v>
      </c>
      <c r="JU12" s="220">
        <f t="shared" si="91"/>
        <v>1</v>
      </c>
      <c r="JV12" s="220">
        <f t="shared" si="92"/>
        <v>1</v>
      </c>
      <c r="JW12" s="220">
        <f t="shared" si="93"/>
        <v>1</v>
      </c>
      <c r="JX12" s="220">
        <f t="shared" si="94"/>
        <v>1</v>
      </c>
      <c r="JY12" s="220">
        <f t="shared" si="95"/>
        <v>1</v>
      </c>
      <c r="JZ12" s="220">
        <f t="shared" si="96"/>
        <v>1</v>
      </c>
      <c r="KA12" s="220">
        <f t="shared" si="97"/>
        <v>1</v>
      </c>
      <c r="KB12" s="220">
        <f t="shared" si="98"/>
        <v>1</v>
      </c>
      <c r="KC12" s="220">
        <f t="shared" si="99"/>
        <v>1</v>
      </c>
      <c r="KD12" s="220">
        <f t="shared" si="100"/>
        <v>1</v>
      </c>
      <c r="KE12" s="220">
        <f t="shared" si="101"/>
        <v>1</v>
      </c>
      <c r="KF12" s="220">
        <f t="shared" si="102"/>
        <v>1</v>
      </c>
      <c r="KG12" s="221">
        <f t="shared" si="103"/>
        <v>1</v>
      </c>
      <c r="KH12" s="13"/>
    </row>
    <row r="13" spans="1:294" ht="62.5" customHeight="1" thickBot="1" x14ac:dyDescent="0.4">
      <c r="A13" s="4"/>
      <c r="B13" s="58">
        <v>6</v>
      </c>
      <c r="C13" s="14" t="s">
        <v>34</v>
      </c>
      <c r="D13" s="20" t="s">
        <v>191</v>
      </c>
      <c r="E13" s="6" t="s">
        <v>2</v>
      </c>
      <c r="F13" s="5" t="s">
        <v>192</v>
      </c>
      <c r="G13" s="6" t="s">
        <v>178</v>
      </c>
      <c r="H13" s="22">
        <v>46181</v>
      </c>
      <c r="I13" s="22">
        <v>46199</v>
      </c>
      <c r="J13" s="67">
        <f t="shared" si="104"/>
        <v>19</v>
      </c>
      <c r="K13" s="22"/>
      <c r="L13" s="22"/>
      <c r="M13" s="67" t="str">
        <f>IF(AND(K13=0,L13=0),"No Progress",IF(Tbl_SM[[#This Row],[ACTUAL START]]="",0,IF(L13-K13&lt;0,"On Progress",L13-K13)))</f>
        <v>No Progress</v>
      </c>
      <c r="N13" s="21" t="str">
        <f>IF(Tbl_SM[[#This Row],[PLAN START]]="","",
IF(Tbl_SM[[#This Row],[ACTUAL FINISH]]&lt;&gt;"","CLOSE",
IF(Tbl_SM[[#This Row],[ACTUAL START]]&lt;&gt;"","ON PROGRESS",
"OPEN")))</f>
        <v>OPEN</v>
      </c>
      <c r="O13"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3" s="189">
        <f t="shared" si="12"/>
        <v>0.52666666666666595</v>
      </c>
      <c r="Q13" s="187">
        <f>IF(Tbl_SM[[#This Row],[STATUS]]="CLOSE",1,0)</f>
        <v>0</v>
      </c>
      <c r="S13" s="156">
        <v>0.05</v>
      </c>
      <c r="T13" s="157">
        <v>0.08</v>
      </c>
      <c r="U13" s="157">
        <v>0.1</v>
      </c>
      <c r="V13" s="157">
        <v>0.12666666666666701</v>
      </c>
      <c r="W13" s="157">
        <v>0.151666666666667</v>
      </c>
      <c r="X13" s="157">
        <v>0.176666666666667</v>
      </c>
      <c r="Y13" s="157">
        <v>0.20166666666666699</v>
      </c>
      <c r="Z13" s="157">
        <v>0.22666666666666699</v>
      </c>
      <c r="AA13" s="157">
        <v>0.25166666666666698</v>
      </c>
      <c r="AB13" s="157">
        <v>0.276666666666667</v>
      </c>
      <c r="AC13" s="157">
        <v>0.30166666666666703</v>
      </c>
      <c r="AD13" s="157">
        <v>0.32666666666666699</v>
      </c>
      <c r="AE13" s="157">
        <v>0.35166666666666702</v>
      </c>
      <c r="AF13" s="157">
        <v>0.37666666666666698</v>
      </c>
      <c r="AG13" s="157">
        <v>0.401666666666667</v>
      </c>
      <c r="AH13" s="157">
        <v>0.42666666666666703</v>
      </c>
      <c r="AI13" s="157">
        <v>0.45166666666666699</v>
      </c>
      <c r="AJ13" s="157">
        <v>0.47666666666666702</v>
      </c>
      <c r="AK13" s="157">
        <v>0.50166666666666704</v>
      </c>
      <c r="AL13" s="157">
        <v>0.50166666666666704</v>
      </c>
      <c r="AM13" s="157">
        <v>0.50166666666666704</v>
      </c>
      <c r="AN13" s="157">
        <v>0.50166666666666704</v>
      </c>
      <c r="AO13" s="157">
        <v>0.50166666666666704</v>
      </c>
      <c r="AP13" s="157">
        <v>0.50166666666666704</v>
      </c>
      <c r="AQ13" s="157">
        <v>0.50166666666666704</v>
      </c>
      <c r="AR13" s="157">
        <v>0.50166666666666704</v>
      </c>
      <c r="AS13" s="157">
        <v>0.50166666666666704</v>
      </c>
      <c r="AT13" s="157">
        <v>0.50166666666666704</v>
      </c>
      <c r="AU13" s="157">
        <v>0.51</v>
      </c>
      <c r="AV13" s="157">
        <v>0.51833333333333298</v>
      </c>
      <c r="AW13" s="157">
        <v>0.52666666666666595</v>
      </c>
      <c r="AX13" s="157">
        <v>0.53499999999999903</v>
      </c>
      <c r="AY13" s="157">
        <v>0.543333333333332</v>
      </c>
      <c r="AZ13" s="157">
        <v>0.55166666666666497</v>
      </c>
      <c r="BA13" s="157">
        <v>0.55999999999999805</v>
      </c>
      <c r="BB13" s="157">
        <v>0.56833333333333103</v>
      </c>
      <c r="BC13" s="157">
        <v>0.6</v>
      </c>
      <c r="BD13" s="157">
        <v>0.63</v>
      </c>
      <c r="BE13" s="157">
        <v>0.66</v>
      </c>
      <c r="BF13" s="157">
        <v>0.69</v>
      </c>
      <c r="BG13" s="157">
        <v>0.72</v>
      </c>
      <c r="BH13" s="157">
        <v>0.75</v>
      </c>
      <c r="BI13" s="157">
        <v>0.78</v>
      </c>
      <c r="BJ13" s="157">
        <v>0.81</v>
      </c>
      <c r="BK13" s="157">
        <v>0.84</v>
      </c>
      <c r="BL13" s="157">
        <v>0.87</v>
      </c>
      <c r="BM13" s="157">
        <v>0.9</v>
      </c>
      <c r="BN13" s="157">
        <v>0.93</v>
      </c>
      <c r="BO13" s="157">
        <v>0.96</v>
      </c>
      <c r="BP13" s="157">
        <v>0.99</v>
      </c>
      <c r="BQ13" s="157">
        <v>1</v>
      </c>
      <c r="BR13" s="157">
        <v>1</v>
      </c>
      <c r="BS13" s="157">
        <v>1</v>
      </c>
      <c r="BT13" s="157">
        <v>1</v>
      </c>
      <c r="BU13" s="157">
        <v>1</v>
      </c>
      <c r="BV13" s="157">
        <v>1</v>
      </c>
      <c r="BW13" s="157">
        <v>1</v>
      </c>
      <c r="BX13" s="157">
        <v>1</v>
      </c>
      <c r="BY13" s="157">
        <v>1</v>
      </c>
      <c r="BZ13" s="157">
        <v>1</v>
      </c>
      <c r="CA13" s="157">
        <v>1</v>
      </c>
      <c r="CB13" s="157">
        <v>1</v>
      </c>
      <c r="CC13" s="157">
        <v>1</v>
      </c>
      <c r="CD13" s="157">
        <v>1</v>
      </c>
      <c r="CE13" s="157">
        <v>1</v>
      </c>
      <c r="CF13" s="157">
        <v>1</v>
      </c>
      <c r="CG13" s="157">
        <v>1</v>
      </c>
      <c r="CH13" s="157">
        <v>1</v>
      </c>
      <c r="CI13" s="157">
        <v>1</v>
      </c>
      <c r="CJ13" s="157">
        <v>1</v>
      </c>
      <c r="CK13" s="157">
        <v>1</v>
      </c>
      <c r="CL13" s="157">
        <v>1</v>
      </c>
      <c r="CM13" s="157">
        <v>1</v>
      </c>
      <c r="CN13" s="157">
        <v>1</v>
      </c>
      <c r="CO13" s="157">
        <v>1</v>
      </c>
      <c r="CP13" s="157">
        <v>1</v>
      </c>
      <c r="CQ13" s="157">
        <v>1</v>
      </c>
      <c r="CR13" s="157">
        <v>1</v>
      </c>
      <c r="CS13" s="157">
        <v>1</v>
      </c>
      <c r="CT13" s="157">
        <v>1</v>
      </c>
      <c r="CU13" s="157">
        <v>1</v>
      </c>
      <c r="CV13" s="157">
        <v>1</v>
      </c>
      <c r="CW13" s="157">
        <v>1</v>
      </c>
      <c r="CX13" s="157">
        <v>1</v>
      </c>
      <c r="CY13" s="157">
        <v>1</v>
      </c>
      <c r="CZ13" s="157">
        <v>1</v>
      </c>
      <c r="DA13" s="157">
        <v>1</v>
      </c>
      <c r="DB13" s="157">
        <v>1</v>
      </c>
      <c r="DC13" s="157">
        <v>1</v>
      </c>
      <c r="DD13" s="157">
        <v>1</v>
      </c>
      <c r="DE13" s="158">
        <v>1</v>
      </c>
      <c r="DF13" s="152"/>
      <c r="DG13" s="225">
        <v>0.05</v>
      </c>
      <c r="DH13" s="162">
        <v>0.08</v>
      </c>
      <c r="DI13" s="162">
        <v>0.1</v>
      </c>
      <c r="DJ13" s="162">
        <v>0.12666666666666701</v>
      </c>
      <c r="DK13" s="162">
        <v>0.151666666666667</v>
      </c>
      <c r="DL13" s="162">
        <v>0.176666666666667</v>
      </c>
      <c r="DM13" s="162">
        <v>0.20166666666666699</v>
      </c>
      <c r="DN13" s="162">
        <v>0.22666666666666699</v>
      </c>
      <c r="DO13" s="162">
        <v>0.25166666666666698</v>
      </c>
      <c r="DP13" s="162">
        <v>0.276666666666667</v>
      </c>
      <c r="DQ13" s="162">
        <v>0.30166666666666703</v>
      </c>
      <c r="DR13" s="162">
        <v>0.32666666666666699</v>
      </c>
      <c r="DS13" s="162">
        <v>0.35166666666666702</v>
      </c>
      <c r="DT13" s="162">
        <v>0.37666666666666698</v>
      </c>
      <c r="DU13" s="162">
        <v>0.401666666666667</v>
      </c>
      <c r="DV13" s="162">
        <v>0.42666666666666703</v>
      </c>
      <c r="DW13" s="162">
        <v>0.45166666666666699</v>
      </c>
      <c r="DX13" s="162">
        <v>0.47666666666666702</v>
      </c>
      <c r="DY13" s="162">
        <v>0.50166666666666704</v>
      </c>
      <c r="DZ13" s="162">
        <v>0.50166666666666704</v>
      </c>
      <c r="EA13" s="162">
        <v>0.50166666666666704</v>
      </c>
      <c r="EB13" s="162">
        <v>0.50166666666666704</v>
      </c>
      <c r="EC13" s="162">
        <v>0.50166666666666704</v>
      </c>
      <c r="ED13" s="162">
        <v>0.50166666666666704</v>
      </c>
      <c r="EE13" s="162">
        <v>0.50166666666666704</v>
      </c>
      <c r="EF13" s="162">
        <v>0.50166666666666704</v>
      </c>
      <c r="EG13" s="162">
        <v>0.50166666666666704</v>
      </c>
      <c r="EH13" s="162">
        <v>0.50166666666666704</v>
      </c>
      <c r="EI13" s="162">
        <v>0.51</v>
      </c>
      <c r="EJ13" s="162">
        <v>0.51833333333333298</v>
      </c>
      <c r="EK13" s="162">
        <v>0.52666666666666595</v>
      </c>
      <c r="EL13" s="162">
        <v>0.53499999999999903</v>
      </c>
      <c r="EM13" s="162">
        <v>0.543333333333332</v>
      </c>
      <c r="EN13" s="162">
        <v>0.55166666666666497</v>
      </c>
      <c r="EO13" s="162">
        <v>0.55999999999999805</v>
      </c>
      <c r="EP13" s="162">
        <v>0.56833333333333103</v>
      </c>
      <c r="EQ13" s="162">
        <v>0.6</v>
      </c>
      <c r="ER13" s="162">
        <v>0.63</v>
      </c>
      <c r="ES13" s="162">
        <v>0.66</v>
      </c>
      <c r="ET13" s="162">
        <v>0.69</v>
      </c>
      <c r="EU13" s="162">
        <v>0.72</v>
      </c>
      <c r="EV13" s="162">
        <v>0.75</v>
      </c>
      <c r="EW13" s="162">
        <v>0.78</v>
      </c>
      <c r="EX13" s="162">
        <v>0.81</v>
      </c>
      <c r="EY13" s="162">
        <v>0.84</v>
      </c>
      <c r="EZ13" s="162">
        <v>0.87</v>
      </c>
      <c r="FA13" s="162">
        <v>0.9</v>
      </c>
      <c r="FB13" s="162">
        <v>0.93</v>
      </c>
      <c r="FC13" s="162">
        <v>0.96</v>
      </c>
      <c r="FD13" s="162">
        <v>0.99</v>
      </c>
      <c r="FE13" s="162">
        <v>1</v>
      </c>
      <c r="FF13" s="162">
        <v>1</v>
      </c>
      <c r="FG13" s="162">
        <v>1</v>
      </c>
      <c r="FH13" s="162">
        <v>1</v>
      </c>
      <c r="FI13" s="162">
        <v>1</v>
      </c>
      <c r="FJ13" s="162">
        <v>1</v>
      </c>
      <c r="FK13" s="162">
        <v>1</v>
      </c>
      <c r="FL13" s="162">
        <v>1</v>
      </c>
      <c r="FM13" s="162">
        <v>1</v>
      </c>
      <c r="FN13" s="162">
        <v>1</v>
      </c>
      <c r="FO13" s="162">
        <v>1</v>
      </c>
      <c r="FP13" s="162">
        <v>1</v>
      </c>
      <c r="FQ13" s="162">
        <v>1</v>
      </c>
      <c r="FR13" s="162">
        <v>1</v>
      </c>
      <c r="FS13" s="162">
        <v>1</v>
      </c>
      <c r="FT13" s="162">
        <v>1</v>
      </c>
      <c r="FU13" s="162">
        <v>1</v>
      </c>
      <c r="FV13" s="162">
        <v>1</v>
      </c>
      <c r="FW13" s="162">
        <v>1</v>
      </c>
      <c r="FX13" s="162">
        <v>1</v>
      </c>
      <c r="FY13" s="162">
        <v>1</v>
      </c>
      <c r="FZ13" s="162">
        <v>1</v>
      </c>
      <c r="GA13" s="162">
        <v>1</v>
      </c>
      <c r="GB13" s="162">
        <v>1</v>
      </c>
      <c r="GC13" s="162">
        <v>1</v>
      </c>
      <c r="GD13" s="162">
        <v>1</v>
      </c>
      <c r="GE13" s="162">
        <v>1</v>
      </c>
      <c r="GF13" s="162">
        <v>1</v>
      </c>
      <c r="GG13" s="162">
        <v>1</v>
      </c>
      <c r="GH13" s="162">
        <v>1</v>
      </c>
      <c r="GI13" s="162">
        <v>1</v>
      </c>
      <c r="GJ13" s="162">
        <v>1</v>
      </c>
      <c r="GK13" s="162">
        <v>1</v>
      </c>
      <c r="GL13" s="162">
        <v>1</v>
      </c>
      <c r="GM13" s="162">
        <v>1</v>
      </c>
      <c r="GN13" s="162">
        <v>1</v>
      </c>
      <c r="GO13" s="162">
        <v>1</v>
      </c>
      <c r="GP13" s="162">
        <v>1</v>
      </c>
      <c r="GQ13" s="162">
        <v>1</v>
      </c>
      <c r="GR13" s="162">
        <v>1</v>
      </c>
      <c r="GS13" s="218">
        <v>1</v>
      </c>
      <c r="GT13" s="31"/>
      <c r="GU13" s="219">
        <f t="shared" si="13"/>
        <v>1</v>
      </c>
      <c r="GV13" s="220">
        <f t="shared" si="14"/>
        <v>1</v>
      </c>
      <c r="GW13" s="220">
        <f t="shared" si="15"/>
        <v>1</v>
      </c>
      <c r="GX13" s="220">
        <f t="shared" si="16"/>
        <v>1</v>
      </c>
      <c r="GY13" s="220">
        <f t="shared" si="17"/>
        <v>1</v>
      </c>
      <c r="GZ13" s="220">
        <f t="shared" si="18"/>
        <v>1</v>
      </c>
      <c r="HA13" s="220">
        <f t="shared" si="19"/>
        <v>1</v>
      </c>
      <c r="HB13" s="220">
        <f t="shared" si="20"/>
        <v>1</v>
      </c>
      <c r="HC13" s="220">
        <f t="shared" si="21"/>
        <v>1</v>
      </c>
      <c r="HD13" s="220">
        <f t="shared" si="22"/>
        <v>1</v>
      </c>
      <c r="HE13" s="220">
        <f t="shared" si="23"/>
        <v>1</v>
      </c>
      <c r="HF13" s="220">
        <f t="shared" si="24"/>
        <v>1</v>
      </c>
      <c r="HG13" s="220">
        <f t="shared" si="25"/>
        <v>1</v>
      </c>
      <c r="HH13" s="220">
        <f t="shared" si="26"/>
        <v>1</v>
      </c>
      <c r="HI13" s="220">
        <f t="shared" si="27"/>
        <v>1</v>
      </c>
      <c r="HJ13" s="220">
        <f t="shared" si="28"/>
        <v>1</v>
      </c>
      <c r="HK13" s="220">
        <f t="shared" si="29"/>
        <v>1</v>
      </c>
      <c r="HL13" s="220">
        <f t="shared" si="30"/>
        <v>1</v>
      </c>
      <c r="HM13" s="220">
        <f t="shared" si="31"/>
        <v>1</v>
      </c>
      <c r="HN13" s="220">
        <f t="shared" si="32"/>
        <v>1</v>
      </c>
      <c r="HO13" s="220">
        <f t="shared" si="33"/>
        <v>1</v>
      </c>
      <c r="HP13" s="220">
        <f t="shared" si="34"/>
        <v>1</v>
      </c>
      <c r="HQ13" s="220">
        <f t="shared" si="35"/>
        <v>1</v>
      </c>
      <c r="HR13" s="220">
        <f t="shared" si="36"/>
        <v>1</v>
      </c>
      <c r="HS13" s="220">
        <f t="shared" si="37"/>
        <v>1</v>
      </c>
      <c r="HT13" s="220">
        <f t="shared" si="38"/>
        <v>1</v>
      </c>
      <c r="HU13" s="220">
        <f t="shared" si="39"/>
        <v>1</v>
      </c>
      <c r="HV13" s="220">
        <f t="shared" si="40"/>
        <v>1</v>
      </c>
      <c r="HW13" s="220">
        <f t="shared" si="41"/>
        <v>1</v>
      </c>
      <c r="HX13" s="220">
        <f t="shared" si="42"/>
        <v>1</v>
      </c>
      <c r="HY13" s="220">
        <f t="shared" si="43"/>
        <v>1</v>
      </c>
      <c r="HZ13" s="220">
        <f t="shared" si="44"/>
        <v>1</v>
      </c>
      <c r="IA13" s="220">
        <f t="shared" si="45"/>
        <v>1</v>
      </c>
      <c r="IB13" s="220">
        <f t="shared" si="46"/>
        <v>1</v>
      </c>
      <c r="IC13" s="220">
        <f t="shared" si="47"/>
        <v>1</v>
      </c>
      <c r="ID13" s="220">
        <f t="shared" si="48"/>
        <v>1</v>
      </c>
      <c r="IE13" s="220">
        <f t="shared" si="49"/>
        <v>1</v>
      </c>
      <c r="IF13" s="220">
        <f t="shared" si="50"/>
        <v>1</v>
      </c>
      <c r="IG13" s="220">
        <f t="shared" si="51"/>
        <v>1</v>
      </c>
      <c r="IH13" s="220">
        <f t="shared" si="52"/>
        <v>1</v>
      </c>
      <c r="II13" s="220">
        <f t="shared" si="53"/>
        <v>1</v>
      </c>
      <c r="IJ13" s="220">
        <f t="shared" si="54"/>
        <v>1</v>
      </c>
      <c r="IK13" s="220">
        <f t="shared" si="55"/>
        <v>1</v>
      </c>
      <c r="IL13" s="220">
        <f t="shared" si="56"/>
        <v>1</v>
      </c>
      <c r="IM13" s="220">
        <f t="shared" si="57"/>
        <v>1</v>
      </c>
      <c r="IN13" s="220">
        <f t="shared" si="58"/>
        <v>1</v>
      </c>
      <c r="IO13" s="220">
        <f t="shared" si="59"/>
        <v>1</v>
      </c>
      <c r="IP13" s="220">
        <f t="shared" si="60"/>
        <v>1</v>
      </c>
      <c r="IQ13" s="220">
        <f t="shared" si="61"/>
        <v>1</v>
      </c>
      <c r="IR13" s="220">
        <f t="shared" si="62"/>
        <v>1</v>
      </c>
      <c r="IS13" s="220">
        <f t="shared" si="63"/>
        <v>1</v>
      </c>
      <c r="IT13" s="220">
        <f t="shared" si="64"/>
        <v>1</v>
      </c>
      <c r="IU13" s="220">
        <f t="shared" si="65"/>
        <v>1</v>
      </c>
      <c r="IV13" s="220">
        <f t="shared" si="66"/>
        <v>1</v>
      </c>
      <c r="IW13" s="220">
        <f t="shared" si="67"/>
        <v>1</v>
      </c>
      <c r="IX13" s="220">
        <f t="shared" si="68"/>
        <v>1</v>
      </c>
      <c r="IY13" s="220">
        <f t="shared" si="69"/>
        <v>1</v>
      </c>
      <c r="IZ13" s="220">
        <f t="shared" si="70"/>
        <v>1</v>
      </c>
      <c r="JA13" s="220">
        <f t="shared" si="71"/>
        <v>1</v>
      </c>
      <c r="JB13" s="220">
        <f t="shared" si="72"/>
        <v>1</v>
      </c>
      <c r="JC13" s="220">
        <f t="shared" si="73"/>
        <v>1</v>
      </c>
      <c r="JD13" s="220">
        <f t="shared" si="74"/>
        <v>1</v>
      </c>
      <c r="JE13" s="220">
        <f t="shared" si="75"/>
        <v>1</v>
      </c>
      <c r="JF13" s="220">
        <f t="shared" si="76"/>
        <v>1</v>
      </c>
      <c r="JG13" s="220">
        <f t="shared" si="77"/>
        <v>1</v>
      </c>
      <c r="JH13" s="220">
        <f t="shared" si="78"/>
        <v>1</v>
      </c>
      <c r="JI13" s="220">
        <f t="shared" si="79"/>
        <v>1</v>
      </c>
      <c r="JJ13" s="220">
        <f t="shared" si="80"/>
        <v>1</v>
      </c>
      <c r="JK13" s="220">
        <f t="shared" si="81"/>
        <v>1</v>
      </c>
      <c r="JL13" s="220">
        <f t="shared" si="82"/>
        <v>1</v>
      </c>
      <c r="JM13" s="220">
        <f t="shared" si="83"/>
        <v>1</v>
      </c>
      <c r="JN13" s="220">
        <f t="shared" si="84"/>
        <v>1</v>
      </c>
      <c r="JO13" s="220">
        <f t="shared" si="85"/>
        <v>1</v>
      </c>
      <c r="JP13" s="220">
        <f t="shared" si="86"/>
        <v>1</v>
      </c>
      <c r="JQ13" s="220">
        <f t="shared" si="87"/>
        <v>1</v>
      </c>
      <c r="JR13" s="220">
        <f t="shared" si="88"/>
        <v>1</v>
      </c>
      <c r="JS13" s="220">
        <f t="shared" si="89"/>
        <v>1</v>
      </c>
      <c r="JT13" s="220">
        <f t="shared" si="90"/>
        <v>1</v>
      </c>
      <c r="JU13" s="220">
        <f t="shared" si="91"/>
        <v>1</v>
      </c>
      <c r="JV13" s="220">
        <f t="shared" si="92"/>
        <v>1</v>
      </c>
      <c r="JW13" s="220">
        <f t="shared" si="93"/>
        <v>1</v>
      </c>
      <c r="JX13" s="220">
        <f t="shared" si="94"/>
        <v>1</v>
      </c>
      <c r="JY13" s="220">
        <f t="shared" si="95"/>
        <v>1</v>
      </c>
      <c r="JZ13" s="220">
        <f t="shared" si="96"/>
        <v>1</v>
      </c>
      <c r="KA13" s="220">
        <f t="shared" si="97"/>
        <v>1</v>
      </c>
      <c r="KB13" s="220">
        <f t="shared" si="98"/>
        <v>1</v>
      </c>
      <c r="KC13" s="220">
        <f t="shared" si="99"/>
        <v>1</v>
      </c>
      <c r="KD13" s="220">
        <f t="shared" si="100"/>
        <v>1</v>
      </c>
      <c r="KE13" s="220">
        <f t="shared" si="101"/>
        <v>1</v>
      </c>
      <c r="KF13" s="220">
        <f t="shared" si="102"/>
        <v>1</v>
      </c>
      <c r="KG13" s="221">
        <f t="shared" si="103"/>
        <v>1</v>
      </c>
      <c r="KH13" s="13"/>
    </row>
    <row r="14" spans="1:294" ht="62.5" customHeight="1" thickBot="1" x14ac:dyDescent="0.4">
      <c r="A14" s="4"/>
      <c r="B14" s="58">
        <v>7</v>
      </c>
      <c r="C14" s="14" t="s">
        <v>34</v>
      </c>
      <c r="D14" s="20" t="s">
        <v>193</v>
      </c>
      <c r="E14" s="6" t="s">
        <v>2</v>
      </c>
      <c r="F14" s="5" t="s">
        <v>194</v>
      </c>
      <c r="G14" s="6" t="s">
        <v>171</v>
      </c>
      <c r="H14" s="22">
        <v>46188</v>
      </c>
      <c r="I14" s="22">
        <v>46206</v>
      </c>
      <c r="J14" s="67">
        <f t="shared" si="104"/>
        <v>19</v>
      </c>
      <c r="K14" s="22"/>
      <c r="L14" s="22"/>
      <c r="M14" s="67" t="str">
        <f>IF(AND(K14=0,L14=0),"No Progress",IF(Tbl_SM[[#This Row],[ACTUAL START]]="",0,IF(L14-K14&lt;0,"On Progress",L14-K14)))</f>
        <v>No Progress</v>
      </c>
      <c r="N14" s="21" t="str">
        <f>IF(Tbl_SM[[#This Row],[PLAN START]]="","",
IF(Tbl_SM[[#This Row],[ACTUAL FINISH]]&lt;&gt;"","CLOSE",
IF(Tbl_SM[[#This Row],[ACTUAL START]]&lt;&gt;"","ON PROGRESS",
"OPEN")))</f>
        <v>OPEN</v>
      </c>
      <c r="O14"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4" s="189">
        <f t="shared" si="12"/>
        <v>0.52666666666666595</v>
      </c>
      <c r="Q14" s="187">
        <f>IF(Tbl_SM[[#This Row],[STATUS]]="CLOSE",1,0)</f>
        <v>0</v>
      </c>
      <c r="S14" s="156">
        <v>0.05</v>
      </c>
      <c r="T14" s="157">
        <v>0.08</v>
      </c>
      <c r="U14" s="157">
        <v>0.1</v>
      </c>
      <c r="V14" s="157">
        <v>0.12666666666666701</v>
      </c>
      <c r="W14" s="157">
        <v>0.151666666666667</v>
      </c>
      <c r="X14" s="157">
        <v>0.176666666666667</v>
      </c>
      <c r="Y14" s="157">
        <v>0.20166666666666699</v>
      </c>
      <c r="Z14" s="157">
        <v>0.22666666666666699</v>
      </c>
      <c r="AA14" s="157">
        <v>0.25166666666666698</v>
      </c>
      <c r="AB14" s="157">
        <v>0.276666666666667</v>
      </c>
      <c r="AC14" s="157">
        <v>0.30166666666666703</v>
      </c>
      <c r="AD14" s="157">
        <v>0.32666666666666699</v>
      </c>
      <c r="AE14" s="157">
        <v>0.35166666666666702</v>
      </c>
      <c r="AF14" s="157">
        <v>0.37666666666666698</v>
      </c>
      <c r="AG14" s="157">
        <v>0.401666666666667</v>
      </c>
      <c r="AH14" s="157">
        <v>0.42666666666666703</v>
      </c>
      <c r="AI14" s="157">
        <v>0.45166666666666699</v>
      </c>
      <c r="AJ14" s="157">
        <v>0.47666666666666702</v>
      </c>
      <c r="AK14" s="157">
        <v>0.50166666666666704</v>
      </c>
      <c r="AL14" s="157">
        <v>0.50166666666666704</v>
      </c>
      <c r="AM14" s="157">
        <v>0.50166666666666704</v>
      </c>
      <c r="AN14" s="157">
        <v>0.50166666666666704</v>
      </c>
      <c r="AO14" s="157">
        <v>0.50166666666666704</v>
      </c>
      <c r="AP14" s="157">
        <v>0.50166666666666704</v>
      </c>
      <c r="AQ14" s="157">
        <v>0.50166666666666704</v>
      </c>
      <c r="AR14" s="157">
        <v>0.50166666666666704</v>
      </c>
      <c r="AS14" s="157">
        <v>0.50166666666666704</v>
      </c>
      <c r="AT14" s="157">
        <v>0.50166666666666704</v>
      </c>
      <c r="AU14" s="157">
        <v>0.51</v>
      </c>
      <c r="AV14" s="157">
        <v>0.51833333333333298</v>
      </c>
      <c r="AW14" s="157">
        <v>0.52666666666666595</v>
      </c>
      <c r="AX14" s="157">
        <v>0.53499999999999903</v>
      </c>
      <c r="AY14" s="157">
        <v>0.543333333333332</v>
      </c>
      <c r="AZ14" s="157">
        <v>0.55166666666666497</v>
      </c>
      <c r="BA14" s="157">
        <v>0.55999999999999805</v>
      </c>
      <c r="BB14" s="157">
        <v>0.56833333333333103</v>
      </c>
      <c r="BC14" s="157">
        <v>0.6</v>
      </c>
      <c r="BD14" s="157">
        <v>0.63</v>
      </c>
      <c r="BE14" s="157">
        <v>0.66</v>
      </c>
      <c r="BF14" s="157">
        <v>0.69</v>
      </c>
      <c r="BG14" s="157">
        <v>0.72</v>
      </c>
      <c r="BH14" s="157">
        <v>0.75</v>
      </c>
      <c r="BI14" s="157">
        <v>0.78</v>
      </c>
      <c r="BJ14" s="157">
        <v>0.81</v>
      </c>
      <c r="BK14" s="157">
        <v>0.84</v>
      </c>
      <c r="BL14" s="157">
        <v>0.87</v>
      </c>
      <c r="BM14" s="157">
        <v>0.9</v>
      </c>
      <c r="BN14" s="157">
        <v>0.93</v>
      </c>
      <c r="BO14" s="157">
        <v>0.96</v>
      </c>
      <c r="BP14" s="157">
        <v>0.99</v>
      </c>
      <c r="BQ14" s="157">
        <v>1</v>
      </c>
      <c r="BR14" s="157">
        <v>1</v>
      </c>
      <c r="BS14" s="157">
        <v>1</v>
      </c>
      <c r="BT14" s="157">
        <v>1</v>
      </c>
      <c r="BU14" s="157">
        <v>1</v>
      </c>
      <c r="BV14" s="157">
        <v>1</v>
      </c>
      <c r="BW14" s="157">
        <v>1</v>
      </c>
      <c r="BX14" s="157">
        <v>1</v>
      </c>
      <c r="BY14" s="157">
        <v>1</v>
      </c>
      <c r="BZ14" s="157">
        <v>1</v>
      </c>
      <c r="CA14" s="157">
        <v>1</v>
      </c>
      <c r="CB14" s="157">
        <v>1</v>
      </c>
      <c r="CC14" s="157">
        <v>1</v>
      </c>
      <c r="CD14" s="157">
        <v>1</v>
      </c>
      <c r="CE14" s="157">
        <v>1</v>
      </c>
      <c r="CF14" s="157">
        <v>1</v>
      </c>
      <c r="CG14" s="157">
        <v>1</v>
      </c>
      <c r="CH14" s="157">
        <v>1</v>
      </c>
      <c r="CI14" s="157">
        <v>1</v>
      </c>
      <c r="CJ14" s="157">
        <v>1</v>
      </c>
      <c r="CK14" s="157">
        <v>1</v>
      </c>
      <c r="CL14" s="157">
        <v>1</v>
      </c>
      <c r="CM14" s="157">
        <v>1</v>
      </c>
      <c r="CN14" s="157">
        <v>1</v>
      </c>
      <c r="CO14" s="157">
        <v>1</v>
      </c>
      <c r="CP14" s="157">
        <v>1</v>
      </c>
      <c r="CQ14" s="157">
        <v>1</v>
      </c>
      <c r="CR14" s="157">
        <v>1</v>
      </c>
      <c r="CS14" s="157">
        <v>1</v>
      </c>
      <c r="CT14" s="157">
        <v>1</v>
      </c>
      <c r="CU14" s="157">
        <v>1</v>
      </c>
      <c r="CV14" s="157">
        <v>1</v>
      </c>
      <c r="CW14" s="157">
        <v>1</v>
      </c>
      <c r="CX14" s="157">
        <v>1</v>
      </c>
      <c r="CY14" s="157">
        <v>1</v>
      </c>
      <c r="CZ14" s="157">
        <v>1</v>
      </c>
      <c r="DA14" s="157">
        <v>1</v>
      </c>
      <c r="DB14" s="157">
        <v>1</v>
      </c>
      <c r="DC14" s="157">
        <v>1</v>
      </c>
      <c r="DD14" s="157">
        <v>1</v>
      </c>
      <c r="DE14" s="158">
        <v>1</v>
      </c>
      <c r="DF14" s="152"/>
      <c r="DG14" s="225">
        <v>0.05</v>
      </c>
      <c r="DH14" s="162">
        <v>0.08</v>
      </c>
      <c r="DI14" s="162">
        <v>0.1</v>
      </c>
      <c r="DJ14" s="162">
        <v>0.12666666666666701</v>
      </c>
      <c r="DK14" s="162">
        <v>0.151666666666667</v>
      </c>
      <c r="DL14" s="162">
        <v>0.176666666666667</v>
      </c>
      <c r="DM14" s="162">
        <v>0.20166666666666699</v>
      </c>
      <c r="DN14" s="162">
        <v>0.22666666666666699</v>
      </c>
      <c r="DO14" s="162">
        <v>0.25166666666666698</v>
      </c>
      <c r="DP14" s="162">
        <v>0.276666666666667</v>
      </c>
      <c r="DQ14" s="162">
        <v>0.30166666666666703</v>
      </c>
      <c r="DR14" s="162">
        <v>0.32666666666666699</v>
      </c>
      <c r="DS14" s="162">
        <v>0.35166666666666702</v>
      </c>
      <c r="DT14" s="162">
        <v>0.37666666666666698</v>
      </c>
      <c r="DU14" s="162">
        <v>0.401666666666667</v>
      </c>
      <c r="DV14" s="162">
        <v>0.42666666666666703</v>
      </c>
      <c r="DW14" s="162">
        <v>0.45166666666666699</v>
      </c>
      <c r="DX14" s="162">
        <v>0.47666666666666702</v>
      </c>
      <c r="DY14" s="162">
        <v>0.50166666666666704</v>
      </c>
      <c r="DZ14" s="162">
        <v>0.50166666666666704</v>
      </c>
      <c r="EA14" s="162">
        <v>0.50166666666666704</v>
      </c>
      <c r="EB14" s="162">
        <v>0.50166666666666704</v>
      </c>
      <c r="EC14" s="162">
        <v>0.50166666666666704</v>
      </c>
      <c r="ED14" s="162">
        <v>0.50166666666666704</v>
      </c>
      <c r="EE14" s="162">
        <v>0.50166666666666704</v>
      </c>
      <c r="EF14" s="162">
        <v>0.50166666666666704</v>
      </c>
      <c r="EG14" s="162">
        <v>0.50166666666666704</v>
      </c>
      <c r="EH14" s="162">
        <v>0.50166666666666704</v>
      </c>
      <c r="EI14" s="162">
        <v>0.51</v>
      </c>
      <c r="EJ14" s="162">
        <v>0.51833333333333298</v>
      </c>
      <c r="EK14" s="162">
        <v>0.52666666666666595</v>
      </c>
      <c r="EL14" s="162">
        <v>0.53499999999999903</v>
      </c>
      <c r="EM14" s="162">
        <v>0.543333333333332</v>
      </c>
      <c r="EN14" s="162">
        <v>0.55166666666666497</v>
      </c>
      <c r="EO14" s="162">
        <v>0.55999999999999805</v>
      </c>
      <c r="EP14" s="162">
        <v>0.56833333333333103</v>
      </c>
      <c r="EQ14" s="162">
        <v>0.6</v>
      </c>
      <c r="ER14" s="162">
        <v>0.63</v>
      </c>
      <c r="ES14" s="162">
        <v>0.66</v>
      </c>
      <c r="ET14" s="162">
        <v>0.69</v>
      </c>
      <c r="EU14" s="162">
        <v>0.72</v>
      </c>
      <c r="EV14" s="162">
        <v>0.75</v>
      </c>
      <c r="EW14" s="162">
        <v>0.78</v>
      </c>
      <c r="EX14" s="162">
        <v>0.81</v>
      </c>
      <c r="EY14" s="162">
        <v>0.84</v>
      </c>
      <c r="EZ14" s="162">
        <v>0.87</v>
      </c>
      <c r="FA14" s="162">
        <v>0.9</v>
      </c>
      <c r="FB14" s="162">
        <v>0.93</v>
      </c>
      <c r="FC14" s="162">
        <v>0.96</v>
      </c>
      <c r="FD14" s="162">
        <v>0.99</v>
      </c>
      <c r="FE14" s="162">
        <v>1</v>
      </c>
      <c r="FF14" s="162">
        <v>1</v>
      </c>
      <c r="FG14" s="162">
        <v>1</v>
      </c>
      <c r="FH14" s="162">
        <v>1</v>
      </c>
      <c r="FI14" s="162">
        <v>1</v>
      </c>
      <c r="FJ14" s="162">
        <v>1</v>
      </c>
      <c r="FK14" s="162">
        <v>1</v>
      </c>
      <c r="FL14" s="162">
        <v>1</v>
      </c>
      <c r="FM14" s="162">
        <v>1</v>
      </c>
      <c r="FN14" s="162">
        <v>1</v>
      </c>
      <c r="FO14" s="162">
        <v>1</v>
      </c>
      <c r="FP14" s="162">
        <v>1</v>
      </c>
      <c r="FQ14" s="162">
        <v>1</v>
      </c>
      <c r="FR14" s="162">
        <v>1</v>
      </c>
      <c r="FS14" s="162">
        <v>1</v>
      </c>
      <c r="FT14" s="162">
        <v>1</v>
      </c>
      <c r="FU14" s="162">
        <v>1</v>
      </c>
      <c r="FV14" s="162">
        <v>1</v>
      </c>
      <c r="FW14" s="162">
        <v>1</v>
      </c>
      <c r="FX14" s="162">
        <v>1</v>
      </c>
      <c r="FY14" s="162">
        <v>1</v>
      </c>
      <c r="FZ14" s="162">
        <v>1</v>
      </c>
      <c r="GA14" s="162">
        <v>1</v>
      </c>
      <c r="GB14" s="162">
        <v>1</v>
      </c>
      <c r="GC14" s="162">
        <v>1</v>
      </c>
      <c r="GD14" s="162">
        <v>1</v>
      </c>
      <c r="GE14" s="162">
        <v>1</v>
      </c>
      <c r="GF14" s="162">
        <v>1</v>
      </c>
      <c r="GG14" s="162">
        <v>1</v>
      </c>
      <c r="GH14" s="162">
        <v>1</v>
      </c>
      <c r="GI14" s="162">
        <v>1</v>
      </c>
      <c r="GJ14" s="162">
        <v>1</v>
      </c>
      <c r="GK14" s="162">
        <v>1</v>
      </c>
      <c r="GL14" s="162">
        <v>1</v>
      </c>
      <c r="GM14" s="162">
        <v>1</v>
      </c>
      <c r="GN14" s="162">
        <v>1</v>
      </c>
      <c r="GO14" s="162">
        <v>1</v>
      </c>
      <c r="GP14" s="162">
        <v>1</v>
      </c>
      <c r="GQ14" s="162">
        <v>1</v>
      </c>
      <c r="GR14" s="162">
        <v>1</v>
      </c>
      <c r="GS14" s="218">
        <v>1</v>
      </c>
      <c r="GT14" s="31"/>
      <c r="GU14" s="219">
        <f t="shared" si="13"/>
        <v>1</v>
      </c>
      <c r="GV14" s="220">
        <f t="shared" si="14"/>
        <v>1</v>
      </c>
      <c r="GW14" s="220">
        <f t="shared" si="15"/>
        <v>1</v>
      </c>
      <c r="GX14" s="220">
        <f t="shared" si="16"/>
        <v>1</v>
      </c>
      <c r="GY14" s="220">
        <f t="shared" si="17"/>
        <v>1</v>
      </c>
      <c r="GZ14" s="220">
        <f t="shared" si="18"/>
        <v>1</v>
      </c>
      <c r="HA14" s="220">
        <f t="shared" si="19"/>
        <v>1</v>
      </c>
      <c r="HB14" s="220">
        <f t="shared" si="20"/>
        <v>1</v>
      </c>
      <c r="HC14" s="220">
        <f t="shared" si="21"/>
        <v>1</v>
      </c>
      <c r="HD14" s="220">
        <f t="shared" si="22"/>
        <v>1</v>
      </c>
      <c r="HE14" s="220">
        <f t="shared" si="23"/>
        <v>1</v>
      </c>
      <c r="HF14" s="220">
        <f t="shared" si="24"/>
        <v>1</v>
      </c>
      <c r="HG14" s="220">
        <f t="shared" si="25"/>
        <v>1</v>
      </c>
      <c r="HH14" s="220">
        <f t="shared" si="26"/>
        <v>1</v>
      </c>
      <c r="HI14" s="220">
        <f t="shared" si="27"/>
        <v>1</v>
      </c>
      <c r="HJ14" s="220">
        <f t="shared" si="28"/>
        <v>1</v>
      </c>
      <c r="HK14" s="220">
        <f t="shared" si="29"/>
        <v>1</v>
      </c>
      <c r="HL14" s="220">
        <f t="shared" si="30"/>
        <v>1</v>
      </c>
      <c r="HM14" s="220">
        <f t="shared" si="31"/>
        <v>1</v>
      </c>
      <c r="HN14" s="220">
        <f t="shared" si="32"/>
        <v>1</v>
      </c>
      <c r="HO14" s="220">
        <f t="shared" si="33"/>
        <v>1</v>
      </c>
      <c r="HP14" s="220">
        <f t="shared" si="34"/>
        <v>1</v>
      </c>
      <c r="HQ14" s="220">
        <f t="shared" si="35"/>
        <v>1</v>
      </c>
      <c r="HR14" s="220">
        <f t="shared" si="36"/>
        <v>1</v>
      </c>
      <c r="HS14" s="220">
        <f t="shared" si="37"/>
        <v>1</v>
      </c>
      <c r="HT14" s="220">
        <f t="shared" si="38"/>
        <v>1</v>
      </c>
      <c r="HU14" s="220">
        <f t="shared" si="39"/>
        <v>1</v>
      </c>
      <c r="HV14" s="220">
        <f t="shared" si="40"/>
        <v>1</v>
      </c>
      <c r="HW14" s="220">
        <f t="shared" si="41"/>
        <v>1</v>
      </c>
      <c r="HX14" s="220">
        <f t="shared" si="42"/>
        <v>1</v>
      </c>
      <c r="HY14" s="220">
        <f t="shared" si="43"/>
        <v>1</v>
      </c>
      <c r="HZ14" s="220">
        <f t="shared" si="44"/>
        <v>1</v>
      </c>
      <c r="IA14" s="220">
        <f t="shared" si="45"/>
        <v>1</v>
      </c>
      <c r="IB14" s="220">
        <f t="shared" si="46"/>
        <v>1</v>
      </c>
      <c r="IC14" s="220">
        <f t="shared" si="47"/>
        <v>1</v>
      </c>
      <c r="ID14" s="220">
        <f t="shared" si="48"/>
        <v>1</v>
      </c>
      <c r="IE14" s="220">
        <f t="shared" si="49"/>
        <v>1</v>
      </c>
      <c r="IF14" s="220">
        <f t="shared" si="50"/>
        <v>1</v>
      </c>
      <c r="IG14" s="220">
        <f t="shared" si="51"/>
        <v>1</v>
      </c>
      <c r="IH14" s="220">
        <f t="shared" si="52"/>
        <v>1</v>
      </c>
      <c r="II14" s="220">
        <f t="shared" si="53"/>
        <v>1</v>
      </c>
      <c r="IJ14" s="220">
        <f t="shared" si="54"/>
        <v>1</v>
      </c>
      <c r="IK14" s="220">
        <f t="shared" si="55"/>
        <v>1</v>
      </c>
      <c r="IL14" s="220">
        <f t="shared" si="56"/>
        <v>1</v>
      </c>
      <c r="IM14" s="220">
        <f t="shared" si="57"/>
        <v>1</v>
      </c>
      <c r="IN14" s="220">
        <f t="shared" si="58"/>
        <v>1</v>
      </c>
      <c r="IO14" s="220">
        <f t="shared" si="59"/>
        <v>1</v>
      </c>
      <c r="IP14" s="220">
        <f t="shared" si="60"/>
        <v>1</v>
      </c>
      <c r="IQ14" s="220">
        <f t="shared" si="61"/>
        <v>1</v>
      </c>
      <c r="IR14" s="220">
        <f t="shared" si="62"/>
        <v>1</v>
      </c>
      <c r="IS14" s="220">
        <f t="shared" si="63"/>
        <v>1</v>
      </c>
      <c r="IT14" s="220">
        <f t="shared" si="64"/>
        <v>1</v>
      </c>
      <c r="IU14" s="220">
        <f t="shared" si="65"/>
        <v>1</v>
      </c>
      <c r="IV14" s="220">
        <f t="shared" si="66"/>
        <v>1</v>
      </c>
      <c r="IW14" s="220">
        <f t="shared" si="67"/>
        <v>1</v>
      </c>
      <c r="IX14" s="220">
        <f t="shared" si="68"/>
        <v>1</v>
      </c>
      <c r="IY14" s="220">
        <f t="shared" si="69"/>
        <v>1</v>
      </c>
      <c r="IZ14" s="220">
        <f t="shared" si="70"/>
        <v>1</v>
      </c>
      <c r="JA14" s="220">
        <f t="shared" si="71"/>
        <v>1</v>
      </c>
      <c r="JB14" s="220">
        <f t="shared" si="72"/>
        <v>1</v>
      </c>
      <c r="JC14" s="220">
        <f t="shared" si="73"/>
        <v>1</v>
      </c>
      <c r="JD14" s="220">
        <f t="shared" si="74"/>
        <v>1</v>
      </c>
      <c r="JE14" s="220">
        <f t="shared" si="75"/>
        <v>1</v>
      </c>
      <c r="JF14" s="220">
        <f t="shared" si="76"/>
        <v>1</v>
      </c>
      <c r="JG14" s="220">
        <f t="shared" si="77"/>
        <v>1</v>
      </c>
      <c r="JH14" s="220">
        <f t="shared" si="78"/>
        <v>1</v>
      </c>
      <c r="JI14" s="220">
        <f t="shared" si="79"/>
        <v>1</v>
      </c>
      <c r="JJ14" s="220">
        <f t="shared" si="80"/>
        <v>1</v>
      </c>
      <c r="JK14" s="220">
        <f t="shared" si="81"/>
        <v>1</v>
      </c>
      <c r="JL14" s="220">
        <f t="shared" si="82"/>
        <v>1</v>
      </c>
      <c r="JM14" s="220">
        <f t="shared" si="83"/>
        <v>1</v>
      </c>
      <c r="JN14" s="220">
        <f t="shared" si="84"/>
        <v>1</v>
      </c>
      <c r="JO14" s="220">
        <f t="shared" si="85"/>
        <v>1</v>
      </c>
      <c r="JP14" s="220">
        <f t="shared" si="86"/>
        <v>1</v>
      </c>
      <c r="JQ14" s="220">
        <f t="shared" si="87"/>
        <v>1</v>
      </c>
      <c r="JR14" s="220">
        <f t="shared" si="88"/>
        <v>1</v>
      </c>
      <c r="JS14" s="220">
        <f t="shared" si="89"/>
        <v>1</v>
      </c>
      <c r="JT14" s="220">
        <f t="shared" si="90"/>
        <v>1</v>
      </c>
      <c r="JU14" s="220">
        <f t="shared" si="91"/>
        <v>1</v>
      </c>
      <c r="JV14" s="220">
        <f t="shared" si="92"/>
        <v>1</v>
      </c>
      <c r="JW14" s="220">
        <f t="shared" si="93"/>
        <v>1</v>
      </c>
      <c r="JX14" s="220">
        <f t="shared" si="94"/>
        <v>1</v>
      </c>
      <c r="JY14" s="220">
        <f t="shared" si="95"/>
        <v>1</v>
      </c>
      <c r="JZ14" s="220">
        <f t="shared" si="96"/>
        <v>1</v>
      </c>
      <c r="KA14" s="220">
        <f t="shared" si="97"/>
        <v>1</v>
      </c>
      <c r="KB14" s="220">
        <f t="shared" si="98"/>
        <v>1</v>
      </c>
      <c r="KC14" s="220">
        <f t="shared" si="99"/>
        <v>1</v>
      </c>
      <c r="KD14" s="220">
        <f t="shared" si="100"/>
        <v>1</v>
      </c>
      <c r="KE14" s="220">
        <f t="shared" si="101"/>
        <v>1</v>
      </c>
      <c r="KF14" s="220">
        <f t="shared" si="102"/>
        <v>1</v>
      </c>
      <c r="KG14" s="221">
        <f t="shared" si="103"/>
        <v>1</v>
      </c>
      <c r="KH14" s="13"/>
    </row>
    <row r="15" spans="1:294" ht="62.5" customHeight="1" thickBot="1" x14ac:dyDescent="0.4">
      <c r="A15" s="4"/>
      <c r="B15" s="58">
        <v>8</v>
      </c>
      <c r="C15" s="14" t="s">
        <v>34</v>
      </c>
      <c r="D15" s="5" t="s">
        <v>195</v>
      </c>
      <c r="E15" s="6" t="s">
        <v>3</v>
      </c>
      <c r="F15" s="5" t="s">
        <v>196</v>
      </c>
      <c r="G15" s="6" t="s">
        <v>197</v>
      </c>
      <c r="H15" s="22">
        <v>46195</v>
      </c>
      <c r="I15" s="22">
        <v>46227</v>
      </c>
      <c r="J15" s="67">
        <f t="shared" si="104"/>
        <v>33</v>
      </c>
      <c r="K15" s="22"/>
      <c r="L15" s="22"/>
      <c r="M15" s="67" t="str">
        <f>IF(AND(K15=0,L15=0),"No Progress",IF(Tbl_SM[[#This Row],[ACTUAL START]]="",0,IF(L15-K15&lt;0,"On Progress",L15-K15)))</f>
        <v>No Progress</v>
      </c>
      <c r="N15" s="21" t="str">
        <f>IF(Tbl_SM[[#This Row],[PLAN START]]="","",
IF(Tbl_SM[[#This Row],[ACTUAL FINISH]]&lt;&gt;"","CLOSE",
IF(Tbl_SM[[#This Row],[ACTUAL START]]&lt;&gt;"","ON PROGRESS",
"OPEN")))</f>
        <v>OPEN</v>
      </c>
      <c r="O15"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5" s="189">
        <f t="shared" si="12"/>
        <v>0.52666666666666595</v>
      </c>
      <c r="Q15" s="187">
        <f>IF(Tbl_SM[[#This Row],[STATUS]]="CLOSE",1,0)</f>
        <v>0</v>
      </c>
      <c r="S15" s="156">
        <v>0.05</v>
      </c>
      <c r="T15" s="157">
        <v>0.08</v>
      </c>
      <c r="U15" s="157">
        <v>0.1</v>
      </c>
      <c r="V15" s="157">
        <v>0.12666666666666701</v>
      </c>
      <c r="W15" s="157">
        <v>0.151666666666667</v>
      </c>
      <c r="X15" s="157">
        <v>0.176666666666667</v>
      </c>
      <c r="Y15" s="157">
        <v>0.20166666666666699</v>
      </c>
      <c r="Z15" s="157">
        <v>0.22666666666666699</v>
      </c>
      <c r="AA15" s="157">
        <v>0.25166666666666698</v>
      </c>
      <c r="AB15" s="157">
        <v>0.276666666666667</v>
      </c>
      <c r="AC15" s="157">
        <v>0.30166666666666703</v>
      </c>
      <c r="AD15" s="157">
        <v>0.32666666666666699</v>
      </c>
      <c r="AE15" s="157">
        <v>0.35166666666666702</v>
      </c>
      <c r="AF15" s="157">
        <v>0.37666666666666698</v>
      </c>
      <c r="AG15" s="157">
        <v>0.401666666666667</v>
      </c>
      <c r="AH15" s="157">
        <v>0.42666666666666703</v>
      </c>
      <c r="AI15" s="157">
        <v>0.45166666666666699</v>
      </c>
      <c r="AJ15" s="157">
        <v>0.47666666666666702</v>
      </c>
      <c r="AK15" s="157">
        <v>0.50166666666666704</v>
      </c>
      <c r="AL15" s="157">
        <v>0.50166666666666704</v>
      </c>
      <c r="AM15" s="157">
        <v>0.50166666666666704</v>
      </c>
      <c r="AN15" s="157">
        <v>0.50166666666666704</v>
      </c>
      <c r="AO15" s="157">
        <v>0.50166666666666704</v>
      </c>
      <c r="AP15" s="157">
        <v>0.50166666666666704</v>
      </c>
      <c r="AQ15" s="157">
        <v>0.50166666666666704</v>
      </c>
      <c r="AR15" s="157">
        <v>0.50166666666666704</v>
      </c>
      <c r="AS15" s="157">
        <v>0.50166666666666704</v>
      </c>
      <c r="AT15" s="157">
        <v>0.50166666666666704</v>
      </c>
      <c r="AU15" s="157">
        <v>0.51</v>
      </c>
      <c r="AV15" s="157">
        <v>0.51833333333333298</v>
      </c>
      <c r="AW15" s="157">
        <v>0.52666666666666595</v>
      </c>
      <c r="AX15" s="157">
        <v>0.53499999999999903</v>
      </c>
      <c r="AY15" s="157">
        <v>0.543333333333332</v>
      </c>
      <c r="AZ15" s="157">
        <v>0.55166666666666497</v>
      </c>
      <c r="BA15" s="157">
        <v>0.55999999999999805</v>
      </c>
      <c r="BB15" s="157">
        <v>0.56833333333333103</v>
      </c>
      <c r="BC15" s="157">
        <v>0.6</v>
      </c>
      <c r="BD15" s="157">
        <v>0.63</v>
      </c>
      <c r="BE15" s="157">
        <v>0.66</v>
      </c>
      <c r="BF15" s="157">
        <v>0.69</v>
      </c>
      <c r="BG15" s="157">
        <v>0.72</v>
      </c>
      <c r="BH15" s="157">
        <v>0.75</v>
      </c>
      <c r="BI15" s="157">
        <v>0.78</v>
      </c>
      <c r="BJ15" s="157">
        <v>0.81</v>
      </c>
      <c r="BK15" s="157">
        <v>0.84</v>
      </c>
      <c r="BL15" s="157">
        <v>0.87</v>
      </c>
      <c r="BM15" s="157">
        <v>0.9</v>
      </c>
      <c r="BN15" s="157">
        <v>0.93</v>
      </c>
      <c r="BO15" s="157">
        <v>0.96</v>
      </c>
      <c r="BP15" s="157">
        <v>0.99</v>
      </c>
      <c r="BQ15" s="157">
        <v>1</v>
      </c>
      <c r="BR15" s="157">
        <v>1</v>
      </c>
      <c r="BS15" s="157">
        <v>1</v>
      </c>
      <c r="BT15" s="157">
        <v>1</v>
      </c>
      <c r="BU15" s="157">
        <v>1</v>
      </c>
      <c r="BV15" s="157">
        <v>1</v>
      </c>
      <c r="BW15" s="157">
        <v>1</v>
      </c>
      <c r="BX15" s="157">
        <v>1</v>
      </c>
      <c r="BY15" s="157">
        <v>1</v>
      </c>
      <c r="BZ15" s="157">
        <v>1</v>
      </c>
      <c r="CA15" s="157">
        <v>1</v>
      </c>
      <c r="CB15" s="157">
        <v>1</v>
      </c>
      <c r="CC15" s="157">
        <v>1</v>
      </c>
      <c r="CD15" s="157">
        <v>1</v>
      </c>
      <c r="CE15" s="157">
        <v>1</v>
      </c>
      <c r="CF15" s="157">
        <v>1</v>
      </c>
      <c r="CG15" s="157">
        <v>1</v>
      </c>
      <c r="CH15" s="157">
        <v>1</v>
      </c>
      <c r="CI15" s="157">
        <v>1</v>
      </c>
      <c r="CJ15" s="157">
        <v>1</v>
      </c>
      <c r="CK15" s="157">
        <v>1</v>
      </c>
      <c r="CL15" s="157">
        <v>1</v>
      </c>
      <c r="CM15" s="157">
        <v>1</v>
      </c>
      <c r="CN15" s="157">
        <v>1</v>
      </c>
      <c r="CO15" s="157">
        <v>1</v>
      </c>
      <c r="CP15" s="157">
        <v>1</v>
      </c>
      <c r="CQ15" s="157">
        <v>1</v>
      </c>
      <c r="CR15" s="157">
        <v>1</v>
      </c>
      <c r="CS15" s="157">
        <v>1</v>
      </c>
      <c r="CT15" s="157">
        <v>1</v>
      </c>
      <c r="CU15" s="157">
        <v>1</v>
      </c>
      <c r="CV15" s="157">
        <v>1</v>
      </c>
      <c r="CW15" s="157">
        <v>1</v>
      </c>
      <c r="CX15" s="157">
        <v>1</v>
      </c>
      <c r="CY15" s="157">
        <v>1</v>
      </c>
      <c r="CZ15" s="157">
        <v>1</v>
      </c>
      <c r="DA15" s="157">
        <v>1</v>
      </c>
      <c r="DB15" s="157">
        <v>1</v>
      </c>
      <c r="DC15" s="157">
        <v>1</v>
      </c>
      <c r="DD15" s="157">
        <v>1</v>
      </c>
      <c r="DE15" s="158">
        <v>1</v>
      </c>
      <c r="DF15" s="152"/>
      <c r="DG15" s="225">
        <v>0.05</v>
      </c>
      <c r="DH15" s="162">
        <v>0.08</v>
      </c>
      <c r="DI15" s="162">
        <v>0.1</v>
      </c>
      <c r="DJ15" s="162">
        <v>0.12666666666666701</v>
      </c>
      <c r="DK15" s="162">
        <v>0.151666666666667</v>
      </c>
      <c r="DL15" s="162">
        <v>0.176666666666667</v>
      </c>
      <c r="DM15" s="162">
        <v>0.20166666666666699</v>
      </c>
      <c r="DN15" s="162">
        <v>0.22666666666666699</v>
      </c>
      <c r="DO15" s="162">
        <v>0.25166666666666698</v>
      </c>
      <c r="DP15" s="162">
        <v>0.276666666666667</v>
      </c>
      <c r="DQ15" s="162">
        <v>0.30166666666666703</v>
      </c>
      <c r="DR15" s="162">
        <v>0.32666666666666699</v>
      </c>
      <c r="DS15" s="162">
        <v>0.35166666666666702</v>
      </c>
      <c r="DT15" s="162">
        <v>0.37666666666666698</v>
      </c>
      <c r="DU15" s="162">
        <v>0.401666666666667</v>
      </c>
      <c r="DV15" s="162">
        <v>0.42666666666666703</v>
      </c>
      <c r="DW15" s="162">
        <v>0.45166666666666699</v>
      </c>
      <c r="DX15" s="162">
        <v>0.47666666666666702</v>
      </c>
      <c r="DY15" s="162">
        <v>0.50166666666666704</v>
      </c>
      <c r="DZ15" s="162">
        <v>0.50166666666666704</v>
      </c>
      <c r="EA15" s="162">
        <v>0.50166666666666704</v>
      </c>
      <c r="EB15" s="162">
        <v>0.50166666666666704</v>
      </c>
      <c r="EC15" s="162">
        <v>0.50166666666666704</v>
      </c>
      <c r="ED15" s="162">
        <v>0.50166666666666704</v>
      </c>
      <c r="EE15" s="162">
        <v>0.50166666666666704</v>
      </c>
      <c r="EF15" s="162">
        <v>0.50166666666666704</v>
      </c>
      <c r="EG15" s="162">
        <v>0.50166666666666704</v>
      </c>
      <c r="EH15" s="162">
        <v>0.50166666666666704</v>
      </c>
      <c r="EI15" s="162">
        <v>0.51</v>
      </c>
      <c r="EJ15" s="162">
        <v>0.51833333333333298</v>
      </c>
      <c r="EK15" s="162">
        <v>0.52666666666666595</v>
      </c>
      <c r="EL15" s="162">
        <v>0.53499999999999903</v>
      </c>
      <c r="EM15" s="162">
        <v>0.543333333333332</v>
      </c>
      <c r="EN15" s="162">
        <v>0.55166666666666497</v>
      </c>
      <c r="EO15" s="162">
        <v>0.55999999999999805</v>
      </c>
      <c r="EP15" s="162">
        <v>0.56833333333333103</v>
      </c>
      <c r="EQ15" s="162">
        <v>0.6</v>
      </c>
      <c r="ER15" s="162">
        <v>0.63</v>
      </c>
      <c r="ES15" s="162">
        <v>0.66</v>
      </c>
      <c r="ET15" s="162">
        <v>0.69</v>
      </c>
      <c r="EU15" s="162">
        <v>0.72</v>
      </c>
      <c r="EV15" s="162">
        <v>0.75</v>
      </c>
      <c r="EW15" s="162">
        <v>0.78</v>
      </c>
      <c r="EX15" s="162">
        <v>0.81</v>
      </c>
      <c r="EY15" s="162">
        <v>0.84</v>
      </c>
      <c r="EZ15" s="162">
        <v>0.87</v>
      </c>
      <c r="FA15" s="162">
        <v>0.9</v>
      </c>
      <c r="FB15" s="162">
        <v>0.93</v>
      </c>
      <c r="FC15" s="162">
        <v>0.96</v>
      </c>
      <c r="FD15" s="162">
        <v>0.99</v>
      </c>
      <c r="FE15" s="162">
        <v>1</v>
      </c>
      <c r="FF15" s="162">
        <v>1</v>
      </c>
      <c r="FG15" s="162">
        <v>1</v>
      </c>
      <c r="FH15" s="162">
        <v>1</v>
      </c>
      <c r="FI15" s="162">
        <v>1</v>
      </c>
      <c r="FJ15" s="162">
        <v>1</v>
      </c>
      <c r="FK15" s="162">
        <v>1</v>
      </c>
      <c r="FL15" s="162">
        <v>1</v>
      </c>
      <c r="FM15" s="162">
        <v>1</v>
      </c>
      <c r="FN15" s="162">
        <v>1</v>
      </c>
      <c r="FO15" s="162">
        <v>1</v>
      </c>
      <c r="FP15" s="162">
        <v>1</v>
      </c>
      <c r="FQ15" s="162">
        <v>1</v>
      </c>
      <c r="FR15" s="162">
        <v>1</v>
      </c>
      <c r="FS15" s="162">
        <v>1</v>
      </c>
      <c r="FT15" s="162">
        <v>1</v>
      </c>
      <c r="FU15" s="162">
        <v>1</v>
      </c>
      <c r="FV15" s="162">
        <v>1</v>
      </c>
      <c r="FW15" s="162">
        <v>1</v>
      </c>
      <c r="FX15" s="162">
        <v>1</v>
      </c>
      <c r="FY15" s="162">
        <v>1</v>
      </c>
      <c r="FZ15" s="162">
        <v>1</v>
      </c>
      <c r="GA15" s="162">
        <v>1</v>
      </c>
      <c r="GB15" s="162">
        <v>1</v>
      </c>
      <c r="GC15" s="162">
        <v>1</v>
      </c>
      <c r="GD15" s="162">
        <v>1</v>
      </c>
      <c r="GE15" s="162">
        <v>1</v>
      </c>
      <c r="GF15" s="162">
        <v>1</v>
      </c>
      <c r="GG15" s="162">
        <v>1</v>
      </c>
      <c r="GH15" s="162">
        <v>1</v>
      </c>
      <c r="GI15" s="162">
        <v>1</v>
      </c>
      <c r="GJ15" s="162">
        <v>1</v>
      </c>
      <c r="GK15" s="162">
        <v>1</v>
      </c>
      <c r="GL15" s="162">
        <v>1</v>
      </c>
      <c r="GM15" s="162">
        <v>1</v>
      </c>
      <c r="GN15" s="162">
        <v>1</v>
      </c>
      <c r="GO15" s="162">
        <v>1</v>
      </c>
      <c r="GP15" s="162">
        <v>1</v>
      </c>
      <c r="GQ15" s="162">
        <v>1</v>
      </c>
      <c r="GR15" s="162">
        <v>1</v>
      </c>
      <c r="GS15" s="218">
        <v>1</v>
      </c>
      <c r="GT15" s="31"/>
      <c r="GU15" s="219">
        <f t="shared" si="13"/>
        <v>1</v>
      </c>
      <c r="GV15" s="220">
        <f t="shared" si="14"/>
        <v>1</v>
      </c>
      <c r="GW15" s="220">
        <f t="shared" si="15"/>
        <v>1</v>
      </c>
      <c r="GX15" s="220">
        <f t="shared" si="16"/>
        <v>1</v>
      </c>
      <c r="GY15" s="220">
        <f t="shared" si="17"/>
        <v>1</v>
      </c>
      <c r="GZ15" s="220">
        <f t="shared" si="18"/>
        <v>1</v>
      </c>
      <c r="HA15" s="220">
        <f t="shared" si="19"/>
        <v>1</v>
      </c>
      <c r="HB15" s="220">
        <f t="shared" si="20"/>
        <v>1</v>
      </c>
      <c r="HC15" s="220">
        <f t="shared" si="21"/>
        <v>1</v>
      </c>
      <c r="HD15" s="220">
        <f t="shared" si="22"/>
        <v>1</v>
      </c>
      <c r="HE15" s="220">
        <f t="shared" si="23"/>
        <v>1</v>
      </c>
      <c r="HF15" s="220">
        <f t="shared" si="24"/>
        <v>1</v>
      </c>
      <c r="HG15" s="220">
        <f t="shared" si="25"/>
        <v>1</v>
      </c>
      <c r="HH15" s="220">
        <f t="shared" si="26"/>
        <v>1</v>
      </c>
      <c r="HI15" s="220">
        <f t="shared" si="27"/>
        <v>1</v>
      </c>
      <c r="HJ15" s="220">
        <f t="shared" si="28"/>
        <v>1</v>
      </c>
      <c r="HK15" s="220">
        <f t="shared" si="29"/>
        <v>1</v>
      </c>
      <c r="HL15" s="220">
        <f t="shared" si="30"/>
        <v>1</v>
      </c>
      <c r="HM15" s="220">
        <f t="shared" si="31"/>
        <v>1</v>
      </c>
      <c r="HN15" s="220">
        <f t="shared" si="32"/>
        <v>1</v>
      </c>
      <c r="HO15" s="220">
        <f t="shared" si="33"/>
        <v>1</v>
      </c>
      <c r="HP15" s="220">
        <f t="shared" si="34"/>
        <v>1</v>
      </c>
      <c r="HQ15" s="220">
        <f t="shared" si="35"/>
        <v>1</v>
      </c>
      <c r="HR15" s="220">
        <f t="shared" si="36"/>
        <v>1</v>
      </c>
      <c r="HS15" s="220">
        <f t="shared" si="37"/>
        <v>1</v>
      </c>
      <c r="HT15" s="220">
        <f t="shared" si="38"/>
        <v>1</v>
      </c>
      <c r="HU15" s="220">
        <f t="shared" si="39"/>
        <v>1</v>
      </c>
      <c r="HV15" s="220">
        <f t="shared" si="40"/>
        <v>1</v>
      </c>
      <c r="HW15" s="220">
        <f t="shared" si="41"/>
        <v>1</v>
      </c>
      <c r="HX15" s="220">
        <f t="shared" si="42"/>
        <v>1</v>
      </c>
      <c r="HY15" s="220">
        <f t="shared" si="43"/>
        <v>1</v>
      </c>
      <c r="HZ15" s="220">
        <f t="shared" si="44"/>
        <v>1</v>
      </c>
      <c r="IA15" s="220">
        <f t="shared" si="45"/>
        <v>1</v>
      </c>
      <c r="IB15" s="220">
        <f t="shared" si="46"/>
        <v>1</v>
      </c>
      <c r="IC15" s="220">
        <f t="shared" si="47"/>
        <v>1</v>
      </c>
      <c r="ID15" s="220">
        <f t="shared" si="48"/>
        <v>1</v>
      </c>
      <c r="IE15" s="220">
        <f t="shared" si="49"/>
        <v>1</v>
      </c>
      <c r="IF15" s="220">
        <f t="shared" si="50"/>
        <v>1</v>
      </c>
      <c r="IG15" s="220">
        <f t="shared" si="51"/>
        <v>1</v>
      </c>
      <c r="IH15" s="220">
        <f t="shared" si="52"/>
        <v>1</v>
      </c>
      <c r="II15" s="220">
        <f t="shared" si="53"/>
        <v>1</v>
      </c>
      <c r="IJ15" s="220">
        <f t="shared" si="54"/>
        <v>1</v>
      </c>
      <c r="IK15" s="220">
        <f t="shared" si="55"/>
        <v>1</v>
      </c>
      <c r="IL15" s="220">
        <f t="shared" si="56"/>
        <v>1</v>
      </c>
      <c r="IM15" s="220">
        <f t="shared" si="57"/>
        <v>1</v>
      </c>
      <c r="IN15" s="220">
        <f t="shared" si="58"/>
        <v>1</v>
      </c>
      <c r="IO15" s="220">
        <f t="shared" si="59"/>
        <v>1</v>
      </c>
      <c r="IP15" s="220">
        <f t="shared" si="60"/>
        <v>1</v>
      </c>
      <c r="IQ15" s="220">
        <f t="shared" si="61"/>
        <v>1</v>
      </c>
      <c r="IR15" s="220">
        <f t="shared" si="62"/>
        <v>1</v>
      </c>
      <c r="IS15" s="220">
        <f t="shared" si="63"/>
        <v>1</v>
      </c>
      <c r="IT15" s="220">
        <f t="shared" si="64"/>
        <v>1</v>
      </c>
      <c r="IU15" s="220">
        <f t="shared" si="65"/>
        <v>1</v>
      </c>
      <c r="IV15" s="220">
        <f t="shared" si="66"/>
        <v>1</v>
      </c>
      <c r="IW15" s="220">
        <f t="shared" si="67"/>
        <v>1</v>
      </c>
      <c r="IX15" s="220">
        <f t="shared" si="68"/>
        <v>1</v>
      </c>
      <c r="IY15" s="220">
        <f t="shared" si="69"/>
        <v>1</v>
      </c>
      <c r="IZ15" s="220">
        <f t="shared" si="70"/>
        <v>1</v>
      </c>
      <c r="JA15" s="220">
        <f t="shared" si="71"/>
        <v>1</v>
      </c>
      <c r="JB15" s="220">
        <f t="shared" si="72"/>
        <v>1</v>
      </c>
      <c r="JC15" s="220">
        <f t="shared" si="73"/>
        <v>1</v>
      </c>
      <c r="JD15" s="220">
        <f t="shared" si="74"/>
        <v>1</v>
      </c>
      <c r="JE15" s="220">
        <f t="shared" si="75"/>
        <v>1</v>
      </c>
      <c r="JF15" s="220">
        <f t="shared" si="76"/>
        <v>1</v>
      </c>
      <c r="JG15" s="220">
        <f t="shared" si="77"/>
        <v>1</v>
      </c>
      <c r="JH15" s="220">
        <f t="shared" si="78"/>
        <v>1</v>
      </c>
      <c r="JI15" s="220">
        <f t="shared" si="79"/>
        <v>1</v>
      </c>
      <c r="JJ15" s="220">
        <f t="shared" si="80"/>
        <v>1</v>
      </c>
      <c r="JK15" s="220">
        <f t="shared" si="81"/>
        <v>1</v>
      </c>
      <c r="JL15" s="220">
        <f t="shared" si="82"/>
        <v>1</v>
      </c>
      <c r="JM15" s="220">
        <f t="shared" si="83"/>
        <v>1</v>
      </c>
      <c r="JN15" s="220">
        <f t="shared" si="84"/>
        <v>1</v>
      </c>
      <c r="JO15" s="220">
        <f t="shared" si="85"/>
        <v>1</v>
      </c>
      <c r="JP15" s="220">
        <f t="shared" si="86"/>
        <v>1</v>
      </c>
      <c r="JQ15" s="220">
        <f t="shared" si="87"/>
        <v>1</v>
      </c>
      <c r="JR15" s="220">
        <f t="shared" si="88"/>
        <v>1</v>
      </c>
      <c r="JS15" s="220">
        <f t="shared" si="89"/>
        <v>1</v>
      </c>
      <c r="JT15" s="220">
        <f t="shared" si="90"/>
        <v>1</v>
      </c>
      <c r="JU15" s="220">
        <f t="shared" si="91"/>
        <v>1</v>
      </c>
      <c r="JV15" s="220">
        <f t="shared" si="92"/>
        <v>1</v>
      </c>
      <c r="JW15" s="220">
        <f t="shared" si="93"/>
        <v>1</v>
      </c>
      <c r="JX15" s="220">
        <f t="shared" si="94"/>
        <v>1</v>
      </c>
      <c r="JY15" s="220">
        <f t="shared" si="95"/>
        <v>1</v>
      </c>
      <c r="JZ15" s="220">
        <f t="shared" si="96"/>
        <v>1</v>
      </c>
      <c r="KA15" s="220">
        <f t="shared" si="97"/>
        <v>1</v>
      </c>
      <c r="KB15" s="220">
        <f t="shared" si="98"/>
        <v>1</v>
      </c>
      <c r="KC15" s="220">
        <f t="shared" si="99"/>
        <v>1</v>
      </c>
      <c r="KD15" s="220">
        <f t="shared" si="100"/>
        <v>1</v>
      </c>
      <c r="KE15" s="220">
        <f t="shared" si="101"/>
        <v>1</v>
      </c>
      <c r="KF15" s="220">
        <f t="shared" si="102"/>
        <v>1</v>
      </c>
      <c r="KG15" s="221">
        <f t="shared" si="103"/>
        <v>1</v>
      </c>
      <c r="KH15" s="13"/>
    </row>
    <row r="16" spans="1:294" ht="62.5" customHeight="1" thickBot="1" x14ac:dyDescent="0.4">
      <c r="A16" s="4"/>
      <c r="B16" s="58">
        <v>9</v>
      </c>
      <c r="C16" s="14" t="s">
        <v>34</v>
      </c>
      <c r="D16" s="5" t="s">
        <v>198</v>
      </c>
      <c r="E16" s="6" t="s">
        <v>2</v>
      </c>
      <c r="F16" s="5" t="s">
        <v>199</v>
      </c>
      <c r="G16" s="6" t="s">
        <v>178</v>
      </c>
      <c r="H16" s="22">
        <v>46183</v>
      </c>
      <c r="I16" s="22">
        <v>46213</v>
      </c>
      <c r="J16" s="67">
        <f t="shared" si="104"/>
        <v>31</v>
      </c>
      <c r="K16" s="22"/>
      <c r="L16" s="22"/>
      <c r="M16" s="67" t="str">
        <f>IF(AND(K16=0,L16=0),"No Progress",IF(Tbl_SM[[#This Row],[ACTUAL START]]="",0,IF(L16-K16&lt;0,"On Progress",L16-K16)))</f>
        <v>No Progress</v>
      </c>
      <c r="N16" s="21" t="str">
        <f>IF(Tbl_SM[[#This Row],[PLAN START]]="","",
IF(Tbl_SM[[#This Row],[ACTUAL FINISH]]&lt;&gt;"","CLOSE",
IF(Tbl_SM[[#This Row],[ACTUAL START]]&lt;&gt;"","ON PROGRESS",
"OPEN")))</f>
        <v>OPEN</v>
      </c>
      <c r="O16"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6" s="189">
        <f t="shared" si="12"/>
        <v>0.52666666666666595</v>
      </c>
      <c r="Q16" s="187">
        <f>IF(Tbl_SM[[#This Row],[STATUS]]="CLOSE",1,0)</f>
        <v>0</v>
      </c>
      <c r="S16" s="156">
        <v>0.05</v>
      </c>
      <c r="T16" s="157">
        <v>0.08</v>
      </c>
      <c r="U16" s="157">
        <v>0.1</v>
      </c>
      <c r="V16" s="157">
        <v>0.12666666666666701</v>
      </c>
      <c r="W16" s="157">
        <v>0.151666666666667</v>
      </c>
      <c r="X16" s="157">
        <v>0.176666666666667</v>
      </c>
      <c r="Y16" s="157">
        <v>0.20166666666666699</v>
      </c>
      <c r="Z16" s="157">
        <v>0.22666666666666699</v>
      </c>
      <c r="AA16" s="157">
        <v>0.25166666666666698</v>
      </c>
      <c r="AB16" s="157">
        <v>0.276666666666667</v>
      </c>
      <c r="AC16" s="157">
        <v>0.30166666666666703</v>
      </c>
      <c r="AD16" s="157">
        <v>0.32666666666666699</v>
      </c>
      <c r="AE16" s="157">
        <v>0.35166666666666702</v>
      </c>
      <c r="AF16" s="157">
        <v>0.37666666666666698</v>
      </c>
      <c r="AG16" s="157">
        <v>0.401666666666667</v>
      </c>
      <c r="AH16" s="157">
        <v>0.42666666666666703</v>
      </c>
      <c r="AI16" s="157">
        <v>0.45166666666666699</v>
      </c>
      <c r="AJ16" s="157">
        <v>0.47666666666666702</v>
      </c>
      <c r="AK16" s="157">
        <v>0.50166666666666704</v>
      </c>
      <c r="AL16" s="157">
        <v>0.50166666666666704</v>
      </c>
      <c r="AM16" s="157">
        <v>0.50166666666666704</v>
      </c>
      <c r="AN16" s="157">
        <v>0.50166666666666704</v>
      </c>
      <c r="AO16" s="157">
        <v>0.50166666666666704</v>
      </c>
      <c r="AP16" s="157">
        <v>0.50166666666666704</v>
      </c>
      <c r="AQ16" s="157">
        <v>0.50166666666666704</v>
      </c>
      <c r="AR16" s="157">
        <v>0.50166666666666704</v>
      </c>
      <c r="AS16" s="157">
        <v>0.50166666666666704</v>
      </c>
      <c r="AT16" s="157">
        <v>0.50166666666666704</v>
      </c>
      <c r="AU16" s="157">
        <v>0.51</v>
      </c>
      <c r="AV16" s="157">
        <v>0.51833333333333298</v>
      </c>
      <c r="AW16" s="157">
        <v>0.52666666666666595</v>
      </c>
      <c r="AX16" s="157">
        <v>0.53499999999999903</v>
      </c>
      <c r="AY16" s="157">
        <v>0.543333333333332</v>
      </c>
      <c r="AZ16" s="157">
        <v>0.55166666666666497</v>
      </c>
      <c r="BA16" s="157">
        <v>0.55999999999999805</v>
      </c>
      <c r="BB16" s="157">
        <v>0.56833333333333103</v>
      </c>
      <c r="BC16" s="157">
        <v>0.6</v>
      </c>
      <c r="BD16" s="157">
        <v>0.63</v>
      </c>
      <c r="BE16" s="157">
        <v>0.66</v>
      </c>
      <c r="BF16" s="157">
        <v>0.69</v>
      </c>
      <c r="BG16" s="157">
        <v>0.72</v>
      </c>
      <c r="BH16" s="157">
        <v>0.75</v>
      </c>
      <c r="BI16" s="157">
        <v>0.78</v>
      </c>
      <c r="BJ16" s="157">
        <v>0.81</v>
      </c>
      <c r="BK16" s="157">
        <v>0.84</v>
      </c>
      <c r="BL16" s="157">
        <v>0.87</v>
      </c>
      <c r="BM16" s="157">
        <v>0.9</v>
      </c>
      <c r="BN16" s="157">
        <v>0.93</v>
      </c>
      <c r="BO16" s="157">
        <v>0.96</v>
      </c>
      <c r="BP16" s="157">
        <v>0.99</v>
      </c>
      <c r="BQ16" s="157">
        <v>1</v>
      </c>
      <c r="BR16" s="157">
        <v>1</v>
      </c>
      <c r="BS16" s="157">
        <v>1</v>
      </c>
      <c r="BT16" s="157">
        <v>1</v>
      </c>
      <c r="BU16" s="157">
        <v>1</v>
      </c>
      <c r="BV16" s="157">
        <v>1</v>
      </c>
      <c r="BW16" s="157">
        <v>1</v>
      </c>
      <c r="BX16" s="157">
        <v>1</v>
      </c>
      <c r="BY16" s="157">
        <v>1</v>
      </c>
      <c r="BZ16" s="157">
        <v>1</v>
      </c>
      <c r="CA16" s="157">
        <v>1</v>
      </c>
      <c r="CB16" s="157">
        <v>1</v>
      </c>
      <c r="CC16" s="157">
        <v>1</v>
      </c>
      <c r="CD16" s="157">
        <v>1</v>
      </c>
      <c r="CE16" s="157">
        <v>1</v>
      </c>
      <c r="CF16" s="157">
        <v>1</v>
      </c>
      <c r="CG16" s="157">
        <v>1</v>
      </c>
      <c r="CH16" s="157">
        <v>1</v>
      </c>
      <c r="CI16" s="157">
        <v>1</v>
      </c>
      <c r="CJ16" s="157">
        <v>1</v>
      </c>
      <c r="CK16" s="157">
        <v>1</v>
      </c>
      <c r="CL16" s="157">
        <v>1</v>
      </c>
      <c r="CM16" s="157">
        <v>1</v>
      </c>
      <c r="CN16" s="157">
        <v>1</v>
      </c>
      <c r="CO16" s="157">
        <v>1</v>
      </c>
      <c r="CP16" s="157">
        <v>1</v>
      </c>
      <c r="CQ16" s="157">
        <v>1</v>
      </c>
      <c r="CR16" s="157">
        <v>1</v>
      </c>
      <c r="CS16" s="157">
        <v>1</v>
      </c>
      <c r="CT16" s="157">
        <v>1</v>
      </c>
      <c r="CU16" s="157">
        <v>1</v>
      </c>
      <c r="CV16" s="157">
        <v>1</v>
      </c>
      <c r="CW16" s="157">
        <v>1</v>
      </c>
      <c r="CX16" s="157">
        <v>1</v>
      </c>
      <c r="CY16" s="157">
        <v>1</v>
      </c>
      <c r="CZ16" s="157">
        <v>1</v>
      </c>
      <c r="DA16" s="157">
        <v>1</v>
      </c>
      <c r="DB16" s="157">
        <v>1</v>
      </c>
      <c r="DC16" s="157">
        <v>1</v>
      </c>
      <c r="DD16" s="157">
        <v>1</v>
      </c>
      <c r="DE16" s="158">
        <v>1</v>
      </c>
      <c r="DF16" s="152"/>
      <c r="DG16" s="225">
        <v>0.05</v>
      </c>
      <c r="DH16" s="162">
        <v>0.08</v>
      </c>
      <c r="DI16" s="162">
        <v>0.1</v>
      </c>
      <c r="DJ16" s="162">
        <v>0.12666666666666701</v>
      </c>
      <c r="DK16" s="162">
        <v>0.151666666666667</v>
      </c>
      <c r="DL16" s="162">
        <v>0.176666666666667</v>
      </c>
      <c r="DM16" s="162">
        <v>0.20166666666666699</v>
      </c>
      <c r="DN16" s="162">
        <v>0.22666666666666699</v>
      </c>
      <c r="DO16" s="162">
        <v>0.25166666666666698</v>
      </c>
      <c r="DP16" s="162">
        <v>0.276666666666667</v>
      </c>
      <c r="DQ16" s="162">
        <v>0.30166666666666703</v>
      </c>
      <c r="DR16" s="162">
        <v>0.32666666666666699</v>
      </c>
      <c r="DS16" s="162">
        <v>0.35166666666666702</v>
      </c>
      <c r="DT16" s="162">
        <v>0.37666666666666698</v>
      </c>
      <c r="DU16" s="162">
        <v>0.401666666666667</v>
      </c>
      <c r="DV16" s="162">
        <v>0.42666666666666703</v>
      </c>
      <c r="DW16" s="162">
        <v>0.45166666666666699</v>
      </c>
      <c r="DX16" s="162">
        <v>0.47666666666666702</v>
      </c>
      <c r="DY16" s="162">
        <v>0.50166666666666704</v>
      </c>
      <c r="DZ16" s="162">
        <v>0.50166666666666704</v>
      </c>
      <c r="EA16" s="162">
        <v>0.50166666666666704</v>
      </c>
      <c r="EB16" s="162">
        <v>0.50166666666666704</v>
      </c>
      <c r="EC16" s="162">
        <v>0.50166666666666704</v>
      </c>
      <c r="ED16" s="162">
        <v>0.50166666666666704</v>
      </c>
      <c r="EE16" s="162">
        <v>0.50166666666666704</v>
      </c>
      <c r="EF16" s="162">
        <v>0.50166666666666704</v>
      </c>
      <c r="EG16" s="162">
        <v>0.50166666666666704</v>
      </c>
      <c r="EH16" s="162">
        <v>0.50166666666666704</v>
      </c>
      <c r="EI16" s="162">
        <v>0.51</v>
      </c>
      <c r="EJ16" s="162">
        <v>0.51833333333333298</v>
      </c>
      <c r="EK16" s="162">
        <v>0.52666666666666595</v>
      </c>
      <c r="EL16" s="162">
        <v>0.53499999999999903</v>
      </c>
      <c r="EM16" s="162">
        <v>0.543333333333332</v>
      </c>
      <c r="EN16" s="162">
        <v>0.55166666666666497</v>
      </c>
      <c r="EO16" s="162">
        <v>0.55999999999999805</v>
      </c>
      <c r="EP16" s="162">
        <v>0.56833333333333103</v>
      </c>
      <c r="EQ16" s="162">
        <v>0.6</v>
      </c>
      <c r="ER16" s="162">
        <v>0.63</v>
      </c>
      <c r="ES16" s="162">
        <v>0.66</v>
      </c>
      <c r="ET16" s="162">
        <v>0.69</v>
      </c>
      <c r="EU16" s="162">
        <v>0.72</v>
      </c>
      <c r="EV16" s="162">
        <v>0.75</v>
      </c>
      <c r="EW16" s="162">
        <v>0.78</v>
      </c>
      <c r="EX16" s="162">
        <v>0.81</v>
      </c>
      <c r="EY16" s="162">
        <v>0.84</v>
      </c>
      <c r="EZ16" s="162">
        <v>0.87</v>
      </c>
      <c r="FA16" s="162">
        <v>0.9</v>
      </c>
      <c r="FB16" s="162">
        <v>0.93</v>
      </c>
      <c r="FC16" s="162">
        <v>0.96</v>
      </c>
      <c r="FD16" s="162">
        <v>0.99</v>
      </c>
      <c r="FE16" s="162">
        <v>1</v>
      </c>
      <c r="FF16" s="162">
        <v>1</v>
      </c>
      <c r="FG16" s="162">
        <v>1</v>
      </c>
      <c r="FH16" s="162">
        <v>1</v>
      </c>
      <c r="FI16" s="162">
        <v>1</v>
      </c>
      <c r="FJ16" s="162">
        <v>1</v>
      </c>
      <c r="FK16" s="162">
        <v>1</v>
      </c>
      <c r="FL16" s="162">
        <v>1</v>
      </c>
      <c r="FM16" s="162">
        <v>1</v>
      </c>
      <c r="FN16" s="162">
        <v>1</v>
      </c>
      <c r="FO16" s="162">
        <v>1</v>
      </c>
      <c r="FP16" s="162">
        <v>1</v>
      </c>
      <c r="FQ16" s="162">
        <v>1</v>
      </c>
      <c r="FR16" s="162">
        <v>1</v>
      </c>
      <c r="FS16" s="162">
        <v>1</v>
      </c>
      <c r="FT16" s="162">
        <v>1</v>
      </c>
      <c r="FU16" s="162">
        <v>1</v>
      </c>
      <c r="FV16" s="162">
        <v>1</v>
      </c>
      <c r="FW16" s="162">
        <v>1</v>
      </c>
      <c r="FX16" s="162">
        <v>1</v>
      </c>
      <c r="FY16" s="162">
        <v>1</v>
      </c>
      <c r="FZ16" s="162">
        <v>1</v>
      </c>
      <c r="GA16" s="162">
        <v>1</v>
      </c>
      <c r="GB16" s="162">
        <v>1</v>
      </c>
      <c r="GC16" s="162">
        <v>1</v>
      </c>
      <c r="GD16" s="162">
        <v>1</v>
      </c>
      <c r="GE16" s="162">
        <v>1</v>
      </c>
      <c r="GF16" s="162">
        <v>1</v>
      </c>
      <c r="GG16" s="162">
        <v>1</v>
      </c>
      <c r="GH16" s="162">
        <v>1</v>
      </c>
      <c r="GI16" s="162">
        <v>1</v>
      </c>
      <c r="GJ16" s="162">
        <v>1</v>
      </c>
      <c r="GK16" s="162">
        <v>1</v>
      </c>
      <c r="GL16" s="162">
        <v>1</v>
      </c>
      <c r="GM16" s="162">
        <v>1</v>
      </c>
      <c r="GN16" s="162">
        <v>1</v>
      </c>
      <c r="GO16" s="162">
        <v>1</v>
      </c>
      <c r="GP16" s="162">
        <v>1</v>
      </c>
      <c r="GQ16" s="162">
        <v>1</v>
      </c>
      <c r="GR16" s="162">
        <v>1</v>
      </c>
      <c r="GS16" s="218">
        <v>1</v>
      </c>
      <c r="GT16" s="31"/>
      <c r="GU16" s="219">
        <f t="shared" si="13"/>
        <v>1</v>
      </c>
      <c r="GV16" s="220">
        <f t="shared" si="14"/>
        <v>1</v>
      </c>
      <c r="GW16" s="220">
        <f t="shared" si="15"/>
        <v>1</v>
      </c>
      <c r="GX16" s="220">
        <f t="shared" si="16"/>
        <v>1</v>
      </c>
      <c r="GY16" s="220">
        <f t="shared" si="17"/>
        <v>1</v>
      </c>
      <c r="GZ16" s="220">
        <f t="shared" si="18"/>
        <v>1</v>
      </c>
      <c r="HA16" s="220">
        <f t="shared" si="19"/>
        <v>1</v>
      </c>
      <c r="HB16" s="220">
        <f t="shared" si="20"/>
        <v>1</v>
      </c>
      <c r="HC16" s="220">
        <f t="shared" si="21"/>
        <v>1</v>
      </c>
      <c r="HD16" s="220">
        <f t="shared" si="22"/>
        <v>1</v>
      </c>
      <c r="HE16" s="220">
        <f t="shared" si="23"/>
        <v>1</v>
      </c>
      <c r="HF16" s="220">
        <f t="shared" si="24"/>
        <v>1</v>
      </c>
      <c r="HG16" s="220">
        <f t="shared" si="25"/>
        <v>1</v>
      </c>
      <c r="HH16" s="220">
        <f t="shared" si="26"/>
        <v>1</v>
      </c>
      <c r="HI16" s="220">
        <f t="shared" si="27"/>
        <v>1</v>
      </c>
      <c r="HJ16" s="220">
        <f t="shared" si="28"/>
        <v>1</v>
      </c>
      <c r="HK16" s="220">
        <f t="shared" si="29"/>
        <v>1</v>
      </c>
      <c r="HL16" s="220">
        <f t="shared" si="30"/>
        <v>1</v>
      </c>
      <c r="HM16" s="220">
        <f t="shared" si="31"/>
        <v>1</v>
      </c>
      <c r="HN16" s="220">
        <f t="shared" si="32"/>
        <v>1</v>
      </c>
      <c r="HO16" s="220">
        <f t="shared" si="33"/>
        <v>1</v>
      </c>
      <c r="HP16" s="220">
        <f t="shared" si="34"/>
        <v>1</v>
      </c>
      <c r="HQ16" s="220">
        <f t="shared" si="35"/>
        <v>1</v>
      </c>
      <c r="HR16" s="220">
        <f t="shared" si="36"/>
        <v>1</v>
      </c>
      <c r="HS16" s="220">
        <f t="shared" si="37"/>
        <v>1</v>
      </c>
      <c r="HT16" s="220">
        <f t="shared" si="38"/>
        <v>1</v>
      </c>
      <c r="HU16" s="220">
        <f t="shared" si="39"/>
        <v>1</v>
      </c>
      <c r="HV16" s="220">
        <f t="shared" si="40"/>
        <v>1</v>
      </c>
      <c r="HW16" s="220">
        <f t="shared" si="41"/>
        <v>1</v>
      </c>
      <c r="HX16" s="220">
        <f t="shared" si="42"/>
        <v>1</v>
      </c>
      <c r="HY16" s="220">
        <f t="shared" si="43"/>
        <v>1</v>
      </c>
      <c r="HZ16" s="220">
        <f t="shared" si="44"/>
        <v>1</v>
      </c>
      <c r="IA16" s="220">
        <f t="shared" si="45"/>
        <v>1</v>
      </c>
      <c r="IB16" s="220">
        <f t="shared" si="46"/>
        <v>1</v>
      </c>
      <c r="IC16" s="220">
        <f t="shared" si="47"/>
        <v>1</v>
      </c>
      <c r="ID16" s="220">
        <f t="shared" si="48"/>
        <v>1</v>
      </c>
      <c r="IE16" s="220">
        <f t="shared" si="49"/>
        <v>1</v>
      </c>
      <c r="IF16" s="220">
        <f t="shared" si="50"/>
        <v>1</v>
      </c>
      <c r="IG16" s="220">
        <f t="shared" si="51"/>
        <v>1</v>
      </c>
      <c r="IH16" s="220">
        <f t="shared" si="52"/>
        <v>1</v>
      </c>
      <c r="II16" s="220">
        <f t="shared" si="53"/>
        <v>1</v>
      </c>
      <c r="IJ16" s="220">
        <f t="shared" si="54"/>
        <v>1</v>
      </c>
      <c r="IK16" s="220">
        <f t="shared" si="55"/>
        <v>1</v>
      </c>
      <c r="IL16" s="220">
        <f t="shared" si="56"/>
        <v>1</v>
      </c>
      <c r="IM16" s="220">
        <f t="shared" si="57"/>
        <v>1</v>
      </c>
      <c r="IN16" s="220">
        <f t="shared" si="58"/>
        <v>1</v>
      </c>
      <c r="IO16" s="220">
        <f t="shared" si="59"/>
        <v>1</v>
      </c>
      <c r="IP16" s="220">
        <f t="shared" si="60"/>
        <v>1</v>
      </c>
      <c r="IQ16" s="220">
        <f t="shared" si="61"/>
        <v>1</v>
      </c>
      <c r="IR16" s="220">
        <f t="shared" si="62"/>
        <v>1</v>
      </c>
      <c r="IS16" s="220">
        <f t="shared" si="63"/>
        <v>1</v>
      </c>
      <c r="IT16" s="220">
        <f t="shared" si="64"/>
        <v>1</v>
      </c>
      <c r="IU16" s="220">
        <f t="shared" si="65"/>
        <v>1</v>
      </c>
      <c r="IV16" s="220">
        <f t="shared" si="66"/>
        <v>1</v>
      </c>
      <c r="IW16" s="220">
        <f t="shared" si="67"/>
        <v>1</v>
      </c>
      <c r="IX16" s="220">
        <f t="shared" si="68"/>
        <v>1</v>
      </c>
      <c r="IY16" s="220">
        <f t="shared" si="69"/>
        <v>1</v>
      </c>
      <c r="IZ16" s="220">
        <f t="shared" si="70"/>
        <v>1</v>
      </c>
      <c r="JA16" s="220">
        <f t="shared" si="71"/>
        <v>1</v>
      </c>
      <c r="JB16" s="220">
        <f t="shared" si="72"/>
        <v>1</v>
      </c>
      <c r="JC16" s="220">
        <f t="shared" si="73"/>
        <v>1</v>
      </c>
      <c r="JD16" s="220">
        <f t="shared" si="74"/>
        <v>1</v>
      </c>
      <c r="JE16" s="220">
        <f t="shared" si="75"/>
        <v>1</v>
      </c>
      <c r="JF16" s="220">
        <f t="shared" si="76"/>
        <v>1</v>
      </c>
      <c r="JG16" s="220">
        <f t="shared" si="77"/>
        <v>1</v>
      </c>
      <c r="JH16" s="220">
        <f t="shared" si="78"/>
        <v>1</v>
      </c>
      <c r="JI16" s="220">
        <f t="shared" si="79"/>
        <v>1</v>
      </c>
      <c r="JJ16" s="220">
        <f t="shared" si="80"/>
        <v>1</v>
      </c>
      <c r="JK16" s="220">
        <f t="shared" si="81"/>
        <v>1</v>
      </c>
      <c r="JL16" s="220">
        <f t="shared" si="82"/>
        <v>1</v>
      </c>
      <c r="JM16" s="220">
        <f t="shared" si="83"/>
        <v>1</v>
      </c>
      <c r="JN16" s="220">
        <f t="shared" si="84"/>
        <v>1</v>
      </c>
      <c r="JO16" s="220">
        <f t="shared" si="85"/>
        <v>1</v>
      </c>
      <c r="JP16" s="220">
        <f t="shared" si="86"/>
        <v>1</v>
      </c>
      <c r="JQ16" s="220">
        <f t="shared" si="87"/>
        <v>1</v>
      </c>
      <c r="JR16" s="220">
        <f t="shared" si="88"/>
        <v>1</v>
      </c>
      <c r="JS16" s="220">
        <f t="shared" si="89"/>
        <v>1</v>
      </c>
      <c r="JT16" s="220">
        <f t="shared" si="90"/>
        <v>1</v>
      </c>
      <c r="JU16" s="220">
        <f t="shared" si="91"/>
        <v>1</v>
      </c>
      <c r="JV16" s="220">
        <f t="shared" si="92"/>
        <v>1</v>
      </c>
      <c r="JW16" s="220">
        <f t="shared" si="93"/>
        <v>1</v>
      </c>
      <c r="JX16" s="220">
        <f t="shared" si="94"/>
        <v>1</v>
      </c>
      <c r="JY16" s="220">
        <f t="shared" si="95"/>
        <v>1</v>
      </c>
      <c r="JZ16" s="220">
        <f t="shared" si="96"/>
        <v>1</v>
      </c>
      <c r="KA16" s="220">
        <f t="shared" si="97"/>
        <v>1</v>
      </c>
      <c r="KB16" s="220">
        <f t="shared" si="98"/>
        <v>1</v>
      </c>
      <c r="KC16" s="220">
        <f t="shared" si="99"/>
        <v>1</v>
      </c>
      <c r="KD16" s="220">
        <f t="shared" si="100"/>
        <v>1</v>
      </c>
      <c r="KE16" s="220">
        <f t="shared" si="101"/>
        <v>1</v>
      </c>
      <c r="KF16" s="220">
        <f t="shared" si="102"/>
        <v>1</v>
      </c>
      <c r="KG16" s="221">
        <f t="shared" si="103"/>
        <v>1</v>
      </c>
      <c r="KH16" s="13"/>
    </row>
    <row r="17" spans="1:294" ht="62.5" customHeight="1" thickBot="1" x14ac:dyDescent="0.4">
      <c r="A17" s="4"/>
      <c r="B17" s="58">
        <v>10</v>
      </c>
      <c r="C17" s="14" t="s">
        <v>34</v>
      </c>
      <c r="D17" s="5" t="s">
        <v>200</v>
      </c>
      <c r="E17" s="6" t="s">
        <v>3</v>
      </c>
      <c r="F17" s="5" t="s">
        <v>201</v>
      </c>
      <c r="G17" s="6" t="s">
        <v>202</v>
      </c>
      <c r="H17" s="22">
        <v>46204</v>
      </c>
      <c r="I17" s="22">
        <v>46234</v>
      </c>
      <c r="J17" s="67">
        <f t="shared" si="104"/>
        <v>31</v>
      </c>
      <c r="K17" s="22"/>
      <c r="L17" s="22"/>
      <c r="M17" s="67" t="str">
        <f>IF(AND(K17=0,L17=0),"No Progress",IF(Tbl_SM[[#This Row],[ACTUAL START]]="",0,IF(L17-K17&lt;0,"On Progress",L17-K17)))</f>
        <v>No Progress</v>
      </c>
      <c r="N17" s="21" t="str">
        <f>IF(Tbl_SM[[#This Row],[PLAN START]]="","",
IF(Tbl_SM[[#This Row],[ACTUAL FINISH]]&lt;&gt;"","CLOSE",
IF(Tbl_SM[[#This Row],[ACTUAL START]]&lt;&gt;"","ON PROGRESS",
"OPEN")))</f>
        <v>OPEN</v>
      </c>
      <c r="O17"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7" s="189">
        <f t="shared" si="12"/>
        <v>0.52666666666666595</v>
      </c>
      <c r="Q17" s="187">
        <f>IF(Tbl_SM[[#This Row],[STATUS]]="CLOSE",1,0)</f>
        <v>0</v>
      </c>
      <c r="S17" s="156">
        <v>0.05</v>
      </c>
      <c r="T17" s="157">
        <v>0.08</v>
      </c>
      <c r="U17" s="157">
        <v>0.1</v>
      </c>
      <c r="V17" s="157">
        <v>0.12666666666666701</v>
      </c>
      <c r="W17" s="157">
        <v>0.151666666666667</v>
      </c>
      <c r="X17" s="157">
        <v>0.176666666666667</v>
      </c>
      <c r="Y17" s="157">
        <v>0.20166666666666699</v>
      </c>
      <c r="Z17" s="157">
        <v>0.22666666666666699</v>
      </c>
      <c r="AA17" s="157">
        <v>0.25166666666666698</v>
      </c>
      <c r="AB17" s="157">
        <v>0.276666666666667</v>
      </c>
      <c r="AC17" s="157">
        <v>0.30166666666666703</v>
      </c>
      <c r="AD17" s="157">
        <v>0.32666666666666699</v>
      </c>
      <c r="AE17" s="157">
        <v>0.35166666666666702</v>
      </c>
      <c r="AF17" s="157">
        <v>0.37666666666666698</v>
      </c>
      <c r="AG17" s="157">
        <v>0.401666666666667</v>
      </c>
      <c r="AH17" s="157">
        <v>0.42666666666666703</v>
      </c>
      <c r="AI17" s="157">
        <v>0.45166666666666699</v>
      </c>
      <c r="AJ17" s="157">
        <v>0.47666666666666702</v>
      </c>
      <c r="AK17" s="157">
        <v>0.50166666666666704</v>
      </c>
      <c r="AL17" s="157">
        <v>0.50166666666666704</v>
      </c>
      <c r="AM17" s="157">
        <v>0.50166666666666704</v>
      </c>
      <c r="AN17" s="157">
        <v>0.50166666666666704</v>
      </c>
      <c r="AO17" s="157">
        <v>0.50166666666666704</v>
      </c>
      <c r="AP17" s="157">
        <v>0.50166666666666704</v>
      </c>
      <c r="AQ17" s="157">
        <v>0.50166666666666704</v>
      </c>
      <c r="AR17" s="157">
        <v>0.50166666666666704</v>
      </c>
      <c r="AS17" s="157">
        <v>0.50166666666666704</v>
      </c>
      <c r="AT17" s="157">
        <v>0.50166666666666704</v>
      </c>
      <c r="AU17" s="157">
        <v>0.51</v>
      </c>
      <c r="AV17" s="157">
        <v>0.51833333333333298</v>
      </c>
      <c r="AW17" s="157">
        <v>0.52666666666666595</v>
      </c>
      <c r="AX17" s="157">
        <v>0.53499999999999903</v>
      </c>
      <c r="AY17" s="157">
        <v>0.543333333333332</v>
      </c>
      <c r="AZ17" s="157">
        <v>0.55166666666666497</v>
      </c>
      <c r="BA17" s="157">
        <v>0.55999999999999805</v>
      </c>
      <c r="BB17" s="157">
        <v>0.56833333333333103</v>
      </c>
      <c r="BC17" s="157">
        <v>0.6</v>
      </c>
      <c r="BD17" s="157">
        <v>0.63</v>
      </c>
      <c r="BE17" s="157">
        <v>0.66</v>
      </c>
      <c r="BF17" s="157">
        <v>0.69</v>
      </c>
      <c r="BG17" s="157">
        <v>0.72</v>
      </c>
      <c r="BH17" s="157">
        <v>0.75</v>
      </c>
      <c r="BI17" s="157">
        <v>0.78</v>
      </c>
      <c r="BJ17" s="157">
        <v>0.81</v>
      </c>
      <c r="BK17" s="157">
        <v>0.84</v>
      </c>
      <c r="BL17" s="157">
        <v>0.87</v>
      </c>
      <c r="BM17" s="157">
        <v>0.9</v>
      </c>
      <c r="BN17" s="157">
        <v>0.93</v>
      </c>
      <c r="BO17" s="157">
        <v>0.96</v>
      </c>
      <c r="BP17" s="157">
        <v>0.99</v>
      </c>
      <c r="BQ17" s="157">
        <v>1</v>
      </c>
      <c r="BR17" s="157">
        <v>1</v>
      </c>
      <c r="BS17" s="157">
        <v>1</v>
      </c>
      <c r="BT17" s="157">
        <v>1</v>
      </c>
      <c r="BU17" s="157">
        <v>1</v>
      </c>
      <c r="BV17" s="157">
        <v>1</v>
      </c>
      <c r="BW17" s="157">
        <v>1</v>
      </c>
      <c r="BX17" s="157">
        <v>1</v>
      </c>
      <c r="BY17" s="157">
        <v>1</v>
      </c>
      <c r="BZ17" s="157">
        <v>1</v>
      </c>
      <c r="CA17" s="157">
        <v>1</v>
      </c>
      <c r="CB17" s="157">
        <v>1</v>
      </c>
      <c r="CC17" s="157">
        <v>1</v>
      </c>
      <c r="CD17" s="157">
        <v>1</v>
      </c>
      <c r="CE17" s="157">
        <v>1</v>
      </c>
      <c r="CF17" s="157">
        <v>1</v>
      </c>
      <c r="CG17" s="157">
        <v>1</v>
      </c>
      <c r="CH17" s="157">
        <v>1</v>
      </c>
      <c r="CI17" s="157">
        <v>1</v>
      </c>
      <c r="CJ17" s="157">
        <v>1</v>
      </c>
      <c r="CK17" s="157">
        <v>1</v>
      </c>
      <c r="CL17" s="157">
        <v>1</v>
      </c>
      <c r="CM17" s="157">
        <v>1</v>
      </c>
      <c r="CN17" s="157">
        <v>1</v>
      </c>
      <c r="CO17" s="157">
        <v>1</v>
      </c>
      <c r="CP17" s="157">
        <v>1</v>
      </c>
      <c r="CQ17" s="157">
        <v>1</v>
      </c>
      <c r="CR17" s="157">
        <v>1</v>
      </c>
      <c r="CS17" s="157">
        <v>1</v>
      </c>
      <c r="CT17" s="157">
        <v>1</v>
      </c>
      <c r="CU17" s="157">
        <v>1</v>
      </c>
      <c r="CV17" s="157">
        <v>1</v>
      </c>
      <c r="CW17" s="157">
        <v>1</v>
      </c>
      <c r="CX17" s="157">
        <v>1</v>
      </c>
      <c r="CY17" s="157">
        <v>1</v>
      </c>
      <c r="CZ17" s="157">
        <v>1</v>
      </c>
      <c r="DA17" s="157">
        <v>1</v>
      </c>
      <c r="DB17" s="157">
        <v>1</v>
      </c>
      <c r="DC17" s="157">
        <v>1</v>
      </c>
      <c r="DD17" s="157">
        <v>1</v>
      </c>
      <c r="DE17" s="158">
        <v>1</v>
      </c>
      <c r="DF17" s="152"/>
      <c r="DG17" s="225">
        <v>0.05</v>
      </c>
      <c r="DH17" s="162">
        <v>0.08</v>
      </c>
      <c r="DI17" s="162">
        <v>0.1</v>
      </c>
      <c r="DJ17" s="162">
        <v>0.12666666666666701</v>
      </c>
      <c r="DK17" s="162">
        <v>0.151666666666667</v>
      </c>
      <c r="DL17" s="162">
        <v>0.176666666666667</v>
      </c>
      <c r="DM17" s="162">
        <v>0.20166666666666699</v>
      </c>
      <c r="DN17" s="162">
        <v>0.22666666666666699</v>
      </c>
      <c r="DO17" s="162">
        <v>0.25166666666666698</v>
      </c>
      <c r="DP17" s="162">
        <v>0.276666666666667</v>
      </c>
      <c r="DQ17" s="162">
        <v>0.30166666666666703</v>
      </c>
      <c r="DR17" s="162">
        <v>0.32666666666666699</v>
      </c>
      <c r="DS17" s="162">
        <v>0.35166666666666702</v>
      </c>
      <c r="DT17" s="162">
        <v>0.37666666666666698</v>
      </c>
      <c r="DU17" s="162">
        <v>0.401666666666667</v>
      </c>
      <c r="DV17" s="162">
        <v>0.42666666666666703</v>
      </c>
      <c r="DW17" s="162">
        <v>0.45166666666666699</v>
      </c>
      <c r="DX17" s="162">
        <v>0.47666666666666702</v>
      </c>
      <c r="DY17" s="162">
        <v>0.50166666666666704</v>
      </c>
      <c r="DZ17" s="162">
        <v>0.50166666666666704</v>
      </c>
      <c r="EA17" s="162">
        <v>0.50166666666666704</v>
      </c>
      <c r="EB17" s="162">
        <v>0.50166666666666704</v>
      </c>
      <c r="EC17" s="162">
        <v>0.50166666666666704</v>
      </c>
      <c r="ED17" s="162">
        <v>0.50166666666666704</v>
      </c>
      <c r="EE17" s="162">
        <v>0.50166666666666704</v>
      </c>
      <c r="EF17" s="162">
        <v>0.50166666666666704</v>
      </c>
      <c r="EG17" s="162">
        <v>0.50166666666666704</v>
      </c>
      <c r="EH17" s="162">
        <v>0.50166666666666704</v>
      </c>
      <c r="EI17" s="162">
        <v>0.51</v>
      </c>
      <c r="EJ17" s="162">
        <v>0.51833333333333298</v>
      </c>
      <c r="EK17" s="162">
        <v>0.52666666666666595</v>
      </c>
      <c r="EL17" s="162">
        <v>0.53499999999999903</v>
      </c>
      <c r="EM17" s="162">
        <v>0.543333333333332</v>
      </c>
      <c r="EN17" s="162">
        <v>0.55166666666666497</v>
      </c>
      <c r="EO17" s="162">
        <v>0.55999999999999805</v>
      </c>
      <c r="EP17" s="162">
        <v>0.56833333333333103</v>
      </c>
      <c r="EQ17" s="162">
        <v>0.6</v>
      </c>
      <c r="ER17" s="162">
        <v>0.63</v>
      </c>
      <c r="ES17" s="162">
        <v>0.66</v>
      </c>
      <c r="ET17" s="162">
        <v>0.69</v>
      </c>
      <c r="EU17" s="162">
        <v>0.72</v>
      </c>
      <c r="EV17" s="162">
        <v>0.75</v>
      </c>
      <c r="EW17" s="162">
        <v>0.78</v>
      </c>
      <c r="EX17" s="162">
        <v>0.81</v>
      </c>
      <c r="EY17" s="162">
        <v>0.84</v>
      </c>
      <c r="EZ17" s="162">
        <v>0.87</v>
      </c>
      <c r="FA17" s="162">
        <v>0.9</v>
      </c>
      <c r="FB17" s="162">
        <v>0.93</v>
      </c>
      <c r="FC17" s="162">
        <v>0.96</v>
      </c>
      <c r="FD17" s="162">
        <v>0.99</v>
      </c>
      <c r="FE17" s="162">
        <v>1</v>
      </c>
      <c r="FF17" s="162">
        <v>1</v>
      </c>
      <c r="FG17" s="162">
        <v>1</v>
      </c>
      <c r="FH17" s="162">
        <v>1</v>
      </c>
      <c r="FI17" s="162">
        <v>1</v>
      </c>
      <c r="FJ17" s="162">
        <v>1</v>
      </c>
      <c r="FK17" s="162">
        <v>1</v>
      </c>
      <c r="FL17" s="162">
        <v>1</v>
      </c>
      <c r="FM17" s="162">
        <v>1</v>
      </c>
      <c r="FN17" s="162">
        <v>1</v>
      </c>
      <c r="FO17" s="162">
        <v>1</v>
      </c>
      <c r="FP17" s="162">
        <v>1</v>
      </c>
      <c r="FQ17" s="162">
        <v>1</v>
      </c>
      <c r="FR17" s="162">
        <v>1</v>
      </c>
      <c r="FS17" s="162">
        <v>1</v>
      </c>
      <c r="FT17" s="162">
        <v>1</v>
      </c>
      <c r="FU17" s="162">
        <v>1</v>
      </c>
      <c r="FV17" s="162">
        <v>1</v>
      </c>
      <c r="FW17" s="162">
        <v>1</v>
      </c>
      <c r="FX17" s="162">
        <v>1</v>
      </c>
      <c r="FY17" s="162">
        <v>1</v>
      </c>
      <c r="FZ17" s="162">
        <v>1</v>
      </c>
      <c r="GA17" s="162">
        <v>1</v>
      </c>
      <c r="GB17" s="162">
        <v>1</v>
      </c>
      <c r="GC17" s="162">
        <v>1</v>
      </c>
      <c r="GD17" s="162">
        <v>1</v>
      </c>
      <c r="GE17" s="162">
        <v>1</v>
      </c>
      <c r="GF17" s="162">
        <v>1</v>
      </c>
      <c r="GG17" s="162">
        <v>1</v>
      </c>
      <c r="GH17" s="162">
        <v>1</v>
      </c>
      <c r="GI17" s="162">
        <v>1</v>
      </c>
      <c r="GJ17" s="162">
        <v>1</v>
      </c>
      <c r="GK17" s="162">
        <v>1</v>
      </c>
      <c r="GL17" s="162">
        <v>1</v>
      </c>
      <c r="GM17" s="162">
        <v>1</v>
      </c>
      <c r="GN17" s="162">
        <v>1</v>
      </c>
      <c r="GO17" s="162">
        <v>1</v>
      </c>
      <c r="GP17" s="162">
        <v>1</v>
      </c>
      <c r="GQ17" s="162">
        <v>1</v>
      </c>
      <c r="GR17" s="162">
        <v>1</v>
      </c>
      <c r="GS17" s="218">
        <v>1</v>
      </c>
      <c r="GT17" s="31"/>
      <c r="GU17" s="219">
        <f t="shared" si="13"/>
        <v>1</v>
      </c>
      <c r="GV17" s="220">
        <f t="shared" si="14"/>
        <v>1</v>
      </c>
      <c r="GW17" s="220">
        <f t="shared" si="15"/>
        <v>1</v>
      </c>
      <c r="GX17" s="220">
        <f t="shared" si="16"/>
        <v>1</v>
      </c>
      <c r="GY17" s="220">
        <f t="shared" si="17"/>
        <v>1</v>
      </c>
      <c r="GZ17" s="220">
        <f t="shared" si="18"/>
        <v>1</v>
      </c>
      <c r="HA17" s="220">
        <f t="shared" si="19"/>
        <v>1</v>
      </c>
      <c r="HB17" s="220">
        <f t="shared" si="20"/>
        <v>1</v>
      </c>
      <c r="HC17" s="220">
        <f t="shared" si="21"/>
        <v>1</v>
      </c>
      <c r="HD17" s="220">
        <f t="shared" si="22"/>
        <v>1</v>
      </c>
      <c r="HE17" s="220">
        <f t="shared" si="23"/>
        <v>1</v>
      </c>
      <c r="HF17" s="220">
        <f t="shared" si="24"/>
        <v>1</v>
      </c>
      <c r="HG17" s="220">
        <f t="shared" si="25"/>
        <v>1</v>
      </c>
      <c r="HH17" s="220">
        <f t="shared" si="26"/>
        <v>1</v>
      </c>
      <c r="HI17" s="220">
        <f t="shared" si="27"/>
        <v>1</v>
      </c>
      <c r="HJ17" s="220">
        <f t="shared" si="28"/>
        <v>1</v>
      </c>
      <c r="HK17" s="220">
        <f t="shared" si="29"/>
        <v>1</v>
      </c>
      <c r="HL17" s="220">
        <f t="shared" si="30"/>
        <v>1</v>
      </c>
      <c r="HM17" s="220">
        <f t="shared" si="31"/>
        <v>1</v>
      </c>
      <c r="HN17" s="220">
        <f t="shared" si="32"/>
        <v>1</v>
      </c>
      <c r="HO17" s="220">
        <f t="shared" si="33"/>
        <v>1</v>
      </c>
      <c r="HP17" s="220">
        <f t="shared" si="34"/>
        <v>1</v>
      </c>
      <c r="HQ17" s="220">
        <f t="shared" si="35"/>
        <v>1</v>
      </c>
      <c r="HR17" s="220">
        <f t="shared" si="36"/>
        <v>1</v>
      </c>
      <c r="HS17" s="220">
        <f t="shared" si="37"/>
        <v>1</v>
      </c>
      <c r="HT17" s="220">
        <f t="shared" si="38"/>
        <v>1</v>
      </c>
      <c r="HU17" s="220">
        <f t="shared" si="39"/>
        <v>1</v>
      </c>
      <c r="HV17" s="220">
        <f t="shared" si="40"/>
        <v>1</v>
      </c>
      <c r="HW17" s="220">
        <f t="shared" si="41"/>
        <v>1</v>
      </c>
      <c r="HX17" s="220">
        <f t="shared" si="42"/>
        <v>1</v>
      </c>
      <c r="HY17" s="220">
        <f t="shared" si="43"/>
        <v>1</v>
      </c>
      <c r="HZ17" s="220">
        <f t="shared" si="44"/>
        <v>1</v>
      </c>
      <c r="IA17" s="220">
        <f t="shared" si="45"/>
        <v>1</v>
      </c>
      <c r="IB17" s="220">
        <f t="shared" si="46"/>
        <v>1</v>
      </c>
      <c r="IC17" s="220">
        <f t="shared" si="47"/>
        <v>1</v>
      </c>
      <c r="ID17" s="220">
        <f t="shared" si="48"/>
        <v>1</v>
      </c>
      <c r="IE17" s="220">
        <f t="shared" si="49"/>
        <v>1</v>
      </c>
      <c r="IF17" s="220">
        <f t="shared" si="50"/>
        <v>1</v>
      </c>
      <c r="IG17" s="220">
        <f t="shared" si="51"/>
        <v>1</v>
      </c>
      <c r="IH17" s="220">
        <f t="shared" si="52"/>
        <v>1</v>
      </c>
      <c r="II17" s="220">
        <f t="shared" si="53"/>
        <v>1</v>
      </c>
      <c r="IJ17" s="220">
        <f t="shared" si="54"/>
        <v>1</v>
      </c>
      <c r="IK17" s="220">
        <f t="shared" si="55"/>
        <v>1</v>
      </c>
      <c r="IL17" s="220">
        <f t="shared" si="56"/>
        <v>1</v>
      </c>
      <c r="IM17" s="220">
        <f t="shared" si="57"/>
        <v>1</v>
      </c>
      <c r="IN17" s="220">
        <f t="shared" si="58"/>
        <v>1</v>
      </c>
      <c r="IO17" s="220">
        <f t="shared" si="59"/>
        <v>1</v>
      </c>
      <c r="IP17" s="220">
        <f t="shared" si="60"/>
        <v>1</v>
      </c>
      <c r="IQ17" s="220">
        <f t="shared" si="61"/>
        <v>1</v>
      </c>
      <c r="IR17" s="220">
        <f t="shared" si="62"/>
        <v>1</v>
      </c>
      <c r="IS17" s="220">
        <f t="shared" si="63"/>
        <v>1</v>
      </c>
      <c r="IT17" s="220">
        <f t="shared" si="64"/>
        <v>1</v>
      </c>
      <c r="IU17" s="220">
        <f t="shared" si="65"/>
        <v>1</v>
      </c>
      <c r="IV17" s="220">
        <f t="shared" si="66"/>
        <v>1</v>
      </c>
      <c r="IW17" s="220">
        <f t="shared" si="67"/>
        <v>1</v>
      </c>
      <c r="IX17" s="220">
        <f t="shared" si="68"/>
        <v>1</v>
      </c>
      <c r="IY17" s="220">
        <f t="shared" si="69"/>
        <v>1</v>
      </c>
      <c r="IZ17" s="220">
        <f t="shared" si="70"/>
        <v>1</v>
      </c>
      <c r="JA17" s="220">
        <f t="shared" si="71"/>
        <v>1</v>
      </c>
      <c r="JB17" s="220">
        <f t="shared" si="72"/>
        <v>1</v>
      </c>
      <c r="JC17" s="220">
        <f t="shared" si="73"/>
        <v>1</v>
      </c>
      <c r="JD17" s="220">
        <f t="shared" si="74"/>
        <v>1</v>
      </c>
      <c r="JE17" s="220">
        <f t="shared" si="75"/>
        <v>1</v>
      </c>
      <c r="JF17" s="220">
        <f t="shared" si="76"/>
        <v>1</v>
      </c>
      <c r="JG17" s="220">
        <f t="shared" si="77"/>
        <v>1</v>
      </c>
      <c r="JH17" s="220">
        <f t="shared" si="78"/>
        <v>1</v>
      </c>
      <c r="JI17" s="220">
        <f t="shared" si="79"/>
        <v>1</v>
      </c>
      <c r="JJ17" s="220">
        <f t="shared" si="80"/>
        <v>1</v>
      </c>
      <c r="JK17" s="220">
        <f t="shared" si="81"/>
        <v>1</v>
      </c>
      <c r="JL17" s="220">
        <f t="shared" si="82"/>
        <v>1</v>
      </c>
      <c r="JM17" s="220">
        <f t="shared" si="83"/>
        <v>1</v>
      </c>
      <c r="JN17" s="220">
        <f t="shared" si="84"/>
        <v>1</v>
      </c>
      <c r="JO17" s="220">
        <f t="shared" si="85"/>
        <v>1</v>
      </c>
      <c r="JP17" s="220">
        <f t="shared" si="86"/>
        <v>1</v>
      </c>
      <c r="JQ17" s="220">
        <f t="shared" si="87"/>
        <v>1</v>
      </c>
      <c r="JR17" s="220">
        <f t="shared" si="88"/>
        <v>1</v>
      </c>
      <c r="JS17" s="220">
        <f t="shared" si="89"/>
        <v>1</v>
      </c>
      <c r="JT17" s="220">
        <f t="shared" si="90"/>
        <v>1</v>
      </c>
      <c r="JU17" s="220">
        <f t="shared" si="91"/>
        <v>1</v>
      </c>
      <c r="JV17" s="220">
        <f t="shared" si="92"/>
        <v>1</v>
      </c>
      <c r="JW17" s="220">
        <f t="shared" si="93"/>
        <v>1</v>
      </c>
      <c r="JX17" s="220">
        <f t="shared" si="94"/>
        <v>1</v>
      </c>
      <c r="JY17" s="220">
        <f t="shared" si="95"/>
        <v>1</v>
      </c>
      <c r="JZ17" s="220">
        <f t="shared" si="96"/>
        <v>1</v>
      </c>
      <c r="KA17" s="220">
        <f t="shared" si="97"/>
        <v>1</v>
      </c>
      <c r="KB17" s="220">
        <f t="shared" si="98"/>
        <v>1</v>
      </c>
      <c r="KC17" s="220">
        <f t="shared" si="99"/>
        <v>1</v>
      </c>
      <c r="KD17" s="220">
        <f t="shared" si="100"/>
        <v>1</v>
      </c>
      <c r="KE17" s="220">
        <f t="shared" si="101"/>
        <v>1</v>
      </c>
      <c r="KF17" s="220">
        <f t="shared" si="102"/>
        <v>1</v>
      </c>
      <c r="KG17" s="221">
        <f t="shared" si="103"/>
        <v>1</v>
      </c>
      <c r="KH17" s="13"/>
    </row>
    <row r="18" spans="1:294" ht="62.5" customHeight="1" thickBot="1" x14ac:dyDescent="0.4">
      <c r="A18" s="4"/>
      <c r="B18" s="58">
        <v>11</v>
      </c>
      <c r="C18" s="14" t="s">
        <v>34</v>
      </c>
      <c r="D18" s="5" t="s">
        <v>203</v>
      </c>
      <c r="E18" s="6" t="s">
        <v>2</v>
      </c>
      <c r="F18" s="5" t="s">
        <v>204</v>
      </c>
      <c r="G18" s="6" t="s">
        <v>205</v>
      </c>
      <c r="H18" s="22">
        <v>46188</v>
      </c>
      <c r="I18" s="22">
        <v>46199</v>
      </c>
      <c r="J18" s="67">
        <f t="shared" si="104"/>
        <v>12</v>
      </c>
      <c r="K18" s="22"/>
      <c r="L18" s="22"/>
      <c r="M18" s="67" t="str">
        <f>IF(AND(K18=0,L18=0),"No Progress",IF(Tbl_SM[[#This Row],[ACTUAL START]]="",0,IF(L18-K18&lt;0,"On Progress",L18-K18)))</f>
        <v>No Progress</v>
      </c>
      <c r="N18" s="21" t="str">
        <f>IF(Tbl_SM[[#This Row],[PLAN START]]="","",
IF(Tbl_SM[[#This Row],[ACTUAL FINISH]]&lt;&gt;"","CLOSE",
IF(Tbl_SM[[#This Row],[ACTUAL START]]&lt;&gt;"","ON PROGRESS",
"OPEN")))</f>
        <v>OPEN</v>
      </c>
      <c r="O18"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8" s="189">
        <f t="shared" si="12"/>
        <v>0.52666666666666595</v>
      </c>
      <c r="Q18" s="187">
        <f>IF(Tbl_SM[[#This Row],[STATUS]]="CLOSE",1,0)</f>
        <v>0</v>
      </c>
      <c r="S18" s="156">
        <v>0.05</v>
      </c>
      <c r="T18" s="157">
        <v>0.08</v>
      </c>
      <c r="U18" s="157">
        <v>0.1</v>
      </c>
      <c r="V18" s="157">
        <v>0.12666666666666701</v>
      </c>
      <c r="W18" s="157">
        <v>0.151666666666667</v>
      </c>
      <c r="X18" s="157">
        <v>0.176666666666667</v>
      </c>
      <c r="Y18" s="157">
        <v>0.20166666666666699</v>
      </c>
      <c r="Z18" s="157">
        <v>0.22666666666666699</v>
      </c>
      <c r="AA18" s="157">
        <v>0.25166666666666698</v>
      </c>
      <c r="AB18" s="157">
        <v>0.276666666666667</v>
      </c>
      <c r="AC18" s="157">
        <v>0.30166666666666703</v>
      </c>
      <c r="AD18" s="157">
        <v>0.32666666666666699</v>
      </c>
      <c r="AE18" s="157">
        <v>0.35166666666666702</v>
      </c>
      <c r="AF18" s="157">
        <v>0.37666666666666698</v>
      </c>
      <c r="AG18" s="157">
        <v>0.401666666666667</v>
      </c>
      <c r="AH18" s="157">
        <v>0.42666666666666703</v>
      </c>
      <c r="AI18" s="157">
        <v>0.45166666666666699</v>
      </c>
      <c r="AJ18" s="157">
        <v>0.47666666666666702</v>
      </c>
      <c r="AK18" s="157">
        <v>0.50166666666666704</v>
      </c>
      <c r="AL18" s="157">
        <v>0.50166666666666704</v>
      </c>
      <c r="AM18" s="157">
        <v>0.50166666666666704</v>
      </c>
      <c r="AN18" s="157">
        <v>0.50166666666666704</v>
      </c>
      <c r="AO18" s="157">
        <v>0.50166666666666704</v>
      </c>
      <c r="AP18" s="157">
        <v>0.50166666666666704</v>
      </c>
      <c r="AQ18" s="157">
        <v>0.50166666666666704</v>
      </c>
      <c r="AR18" s="157">
        <v>0.50166666666666704</v>
      </c>
      <c r="AS18" s="157">
        <v>0.50166666666666704</v>
      </c>
      <c r="AT18" s="157">
        <v>0.50166666666666704</v>
      </c>
      <c r="AU18" s="157">
        <v>0.51</v>
      </c>
      <c r="AV18" s="157">
        <v>0.51833333333333298</v>
      </c>
      <c r="AW18" s="157">
        <v>0.52666666666666595</v>
      </c>
      <c r="AX18" s="157">
        <v>0.53499999999999903</v>
      </c>
      <c r="AY18" s="157">
        <v>0.543333333333332</v>
      </c>
      <c r="AZ18" s="157">
        <v>0.55166666666666497</v>
      </c>
      <c r="BA18" s="157">
        <v>0.55999999999999805</v>
      </c>
      <c r="BB18" s="157">
        <v>0.56833333333333103</v>
      </c>
      <c r="BC18" s="157">
        <v>0.6</v>
      </c>
      <c r="BD18" s="157">
        <v>0.63</v>
      </c>
      <c r="BE18" s="157">
        <v>0.66</v>
      </c>
      <c r="BF18" s="157">
        <v>0.69</v>
      </c>
      <c r="BG18" s="157">
        <v>0.72</v>
      </c>
      <c r="BH18" s="157">
        <v>0.75</v>
      </c>
      <c r="BI18" s="157">
        <v>0.78</v>
      </c>
      <c r="BJ18" s="157">
        <v>0.81</v>
      </c>
      <c r="BK18" s="157">
        <v>0.84</v>
      </c>
      <c r="BL18" s="157">
        <v>0.87</v>
      </c>
      <c r="BM18" s="157">
        <v>0.9</v>
      </c>
      <c r="BN18" s="157">
        <v>0.93</v>
      </c>
      <c r="BO18" s="157">
        <v>0.96</v>
      </c>
      <c r="BP18" s="157">
        <v>0.99</v>
      </c>
      <c r="BQ18" s="157">
        <v>1</v>
      </c>
      <c r="BR18" s="157">
        <v>1</v>
      </c>
      <c r="BS18" s="157">
        <v>1</v>
      </c>
      <c r="BT18" s="157">
        <v>1</v>
      </c>
      <c r="BU18" s="157">
        <v>1</v>
      </c>
      <c r="BV18" s="157">
        <v>1</v>
      </c>
      <c r="BW18" s="157">
        <v>1</v>
      </c>
      <c r="BX18" s="157">
        <v>1</v>
      </c>
      <c r="BY18" s="157">
        <v>1</v>
      </c>
      <c r="BZ18" s="157">
        <v>1</v>
      </c>
      <c r="CA18" s="157">
        <v>1</v>
      </c>
      <c r="CB18" s="157">
        <v>1</v>
      </c>
      <c r="CC18" s="157">
        <v>1</v>
      </c>
      <c r="CD18" s="157">
        <v>1</v>
      </c>
      <c r="CE18" s="157">
        <v>1</v>
      </c>
      <c r="CF18" s="157">
        <v>1</v>
      </c>
      <c r="CG18" s="157">
        <v>1</v>
      </c>
      <c r="CH18" s="157">
        <v>1</v>
      </c>
      <c r="CI18" s="157">
        <v>1</v>
      </c>
      <c r="CJ18" s="157">
        <v>1</v>
      </c>
      <c r="CK18" s="157">
        <v>1</v>
      </c>
      <c r="CL18" s="157">
        <v>1</v>
      </c>
      <c r="CM18" s="157">
        <v>1</v>
      </c>
      <c r="CN18" s="157">
        <v>1</v>
      </c>
      <c r="CO18" s="157">
        <v>1</v>
      </c>
      <c r="CP18" s="157">
        <v>1</v>
      </c>
      <c r="CQ18" s="157">
        <v>1</v>
      </c>
      <c r="CR18" s="157">
        <v>1</v>
      </c>
      <c r="CS18" s="157">
        <v>1</v>
      </c>
      <c r="CT18" s="157">
        <v>1</v>
      </c>
      <c r="CU18" s="157">
        <v>1</v>
      </c>
      <c r="CV18" s="157">
        <v>1</v>
      </c>
      <c r="CW18" s="157">
        <v>1</v>
      </c>
      <c r="CX18" s="157">
        <v>1</v>
      </c>
      <c r="CY18" s="157">
        <v>1</v>
      </c>
      <c r="CZ18" s="157">
        <v>1</v>
      </c>
      <c r="DA18" s="157">
        <v>1</v>
      </c>
      <c r="DB18" s="157">
        <v>1</v>
      </c>
      <c r="DC18" s="157">
        <v>1</v>
      </c>
      <c r="DD18" s="157">
        <v>1</v>
      </c>
      <c r="DE18" s="158">
        <v>1</v>
      </c>
      <c r="DF18" s="152"/>
      <c r="DG18" s="225">
        <v>0.05</v>
      </c>
      <c r="DH18" s="162">
        <v>0.08</v>
      </c>
      <c r="DI18" s="162">
        <v>0.1</v>
      </c>
      <c r="DJ18" s="162">
        <v>0.12666666666666701</v>
      </c>
      <c r="DK18" s="162">
        <v>0.151666666666667</v>
      </c>
      <c r="DL18" s="162">
        <v>0.176666666666667</v>
      </c>
      <c r="DM18" s="162">
        <v>0.20166666666666699</v>
      </c>
      <c r="DN18" s="162">
        <v>0.22666666666666699</v>
      </c>
      <c r="DO18" s="162">
        <v>0.25166666666666698</v>
      </c>
      <c r="DP18" s="162">
        <v>0.276666666666667</v>
      </c>
      <c r="DQ18" s="162">
        <v>0.30166666666666703</v>
      </c>
      <c r="DR18" s="162">
        <v>0.32666666666666699</v>
      </c>
      <c r="DS18" s="162">
        <v>0.35166666666666702</v>
      </c>
      <c r="DT18" s="162">
        <v>0.37666666666666698</v>
      </c>
      <c r="DU18" s="162">
        <v>0.401666666666667</v>
      </c>
      <c r="DV18" s="162">
        <v>0.42666666666666703</v>
      </c>
      <c r="DW18" s="162">
        <v>0.45166666666666699</v>
      </c>
      <c r="DX18" s="162">
        <v>0.47666666666666702</v>
      </c>
      <c r="DY18" s="162">
        <v>0.50166666666666704</v>
      </c>
      <c r="DZ18" s="162">
        <v>0.50166666666666704</v>
      </c>
      <c r="EA18" s="162">
        <v>0.50166666666666704</v>
      </c>
      <c r="EB18" s="162">
        <v>0.50166666666666704</v>
      </c>
      <c r="EC18" s="162">
        <v>0.50166666666666704</v>
      </c>
      <c r="ED18" s="162">
        <v>0.50166666666666704</v>
      </c>
      <c r="EE18" s="162">
        <v>0.50166666666666704</v>
      </c>
      <c r="EF18" s="162">
        <v>0.50166666666666704</v>
      </c>
      <c r="EG18" s="162">
        <v>0.50166666666666704</v>
      </c>
      <c r="EH18" s="162">
        <v>0.50166666666666704</v>
      </c>
      <c r="EI18" s="162">
        <v>0.51</v>
      </c>
      <c r="EJ18" s="162">
        <v>0.51833333333333298</v>
      </c>
      <c r="EK18" s="162">
        <v>0.52666666666666595</v>
      </c>
      <c r="EL18" s="162">
        <v>0.53499999999999903</v>
      </c>
      <c r="EM18" s="162">
        <v>0.543333333333332</v>
      </c>
      <c r="EN18" s="162">
        <v>0.55166666666666497</v>
      </c>
      <c r="EO18" s="162">
        <v>0.55999999999999805</v>
      </c>
      <c r="EP18" s="162">
        <v>0.56833333333333103</v>
      </c>
      <c r="EQ18" s="162">
        <v>0.6</v>
      </c>
      <c r="ER18" s="162">
        <v>0.63</v>
      </c>
      <c r="ES18" s="162">
        <v>0.66</v>
      </c>
      <c r="ET18" s="162">
        <v>0.69</v>
      </c>
      <c r="EU18" s="162">
        <v>0.72</v>
      </c>
      <c r="EV18" s="162">
        <v>0.75</v>
      </c>
      <c r="EW18" s="162">
        <v>0.78</v>
      </c>
      <c r="EX18" s="162">
        <v>0.81</v>
      </c>
      <c r="EY18" s="162">
        <v>0.84</v>
      </c>
      <c r="EZ18" s="162">
        <v>0.87</v>
      </c>
      <c r="FA18" s="162">
        <v>0.9</v>
      </c>
      <c r="FB18" s="162">
        <v>0.93</v>
      </c>
      <c r="FC18" s="162">
        <v>0.96</v>
      </c>
      <c r="FD18" s="162">
        <v>0.99</v>
      </c>
      <c r="FE18" s="162">
        <v>1</v>
      </c>
      <c r="FF18" s="162">
        <v>1</v>
      </c>
      <c r="FG18" s="162">
        <v>1</v>
      </c>
      <c r="FH18" s="162">
        <v>1</v>
      </c>
      <c r="FI18" s="162">
        <v>1</v>
      </c>
      <c r="FJ18" s="162">
        <v>1</v>
      </c>
      <c r="FK18" s="162">
        <v>1</v>
      </c>
      <c r="FL18" s="162">
        <v>1</v>
      </c>
      <c r="FM18" s="162">
        <v>1</v>
      </c>
      <c r="FN18" s="162">
        <v>1</v>
      </c>
      <c r="FO18" s="162">
        <v>1</v>
      </c>
      <c r="FP18" s="162">
        <v>1</v>
      </c>
      <c r="FQ18" s="162">
        <v>1</v>
      </c>
      <c r="FR18" s="162">
        <v>1</v>
      </c>
      <c r="FS18" s="162">
        <v>1</v>
      </c>
      <c r="FT18" s="162">
        <v>1</v>
      </c>
      <c r="FU18" s="162">
        <v>1</v>
      </c>
      <c r="FV18" s="162">
        <v>1</v>
      </c>
      <c r="FW18" s="162">
        <v>1</v>
      </c>
      <c r="FX18" s="162">
        <v>1</v>
      </c>
      <c r="FY18" s="162">
        <v>1</v>
      </c>
      <c r="FZ18" s="162">
        <v>1</v>
      </c>
      <c r="GA18" s="162">
        <v>1</v>
      </c>
      <c r="GB18" s="162">
        <v>1</v>
      </c>
      <c r="GC18" s="162">
        <v>1</v>
      </c>
      <c r="GD18" s="162">
        <v>1</v>
      </c>
      <c r="GE18" s="162">
        <v>1</v>
      </c>
      <c r="GF18" s="162">
        <v>1</v>
      </c>
      <c r="GG18" s="162">
        <v>1</v>
      </c>
      <c r="GH18" s="162">
        <v>1</v>
      </c>
      <c r="GI18" s="162">
        <v>1</v>
      </c>
      <c r="GJ18" s="162">
        <v>1</v>
      </c>
      <c r="GK18" s="162">
        <v>1</v>
      </c>
      <c r="GL18" s="162">
        <v>1</v>
      </c>
      <c r="GM18" s="162">
        <v>1</v>
      </c>
      <c r="GN18" s="162">
        <v>1</v>
      </c>
      <c r="GO18" s="162">
        <v>1</v>
      </c>
      <c r="GP18" s="162">
        <v>1</v>
      </c>
      <c r="GQ18" s="162">
        <v>1</v>
      </c>
      <c r="GR18" s="162">
        <v>1</v>
      </c>
      <c r="GS18" s="218">
        <v>1</v>
      </c>
      <c r="GT18" s="31"/>
      <c r="GU18" s="219">
        <f t="shared" si="13"/>
        <v>1</v>
      </c>
      <c r="GV18" s="220">
        <f t="shared" si="14"/>
        <v>1</v>
      </c>
      <c r="GW18" s="220">
        <f t="shared" si="15"/>
        <v>1</v>
      </c>
      <c r="GX18" s="220">
        <f t="shared" si="16"/>
        <v>1</v>
      </c>
      <c r="GY18" s="220">
        <f t="shared" si="17"/>
        <v>1</v>
      </c>
      <c r="GZ18" s="220">
        <f t="shared" si="18"/>
        <v>1</v>
      </c>
      <c r="HA18" s="220">
        <f t="shared" si="19"/>
        <v>1</v>
      </c>
      <c r="HB18" s="220">
        <f t="shared" si="20"/>
        <v>1</v>
      </c>
      <c r="HC18" s="220">
        <f t="shared" si="21"/>
        <v>1</v>
      </c>
      <c r="HD18" s="220">
        <f t="shared" si="22"/>
        <v>1</v>
      </c>
      <c r="HE18" s="220">
        <f t="shared" si="23"/>
        <v>1</v>
      </c>
      <c r="HF18" s="220">
        <f t="shared" si="24"/>
        <v>1</v>
      </c>
      <c r="HG18" s="220">
        <f t="shared" si="25"/>
        <v>1</v>
      </c>
      <c r="HH18" s="220">
        <f t="shared" si="26"/>
        <v>1</v>
      </c>
      <c r="HI18" s="220">
        <f t="shared" si="27"/>
        <v>1</v>
      </c>
      <c r="HJ18" s="220">
        <f t="shared" si="28"/>
        <v>1</v>
      </c>
      <c r="HK18" s="220">
        <f t="shared" si="29"/>
        <v>1</v>
      </c>
      <c r="HL18" s="220">
        <f t="shared" si="30"/>
        <v>1</v>
      </c>
      <c r="HM18" s="220">
        <f t="shared" si="31"/>
        <v>1</v>
      </c>
      <c r="HN18" s="220">
        <f t="shared" si="32"/>
        <v>1</v>
      </c>
      <c r="HO18" s="220">
        <f t="shared" si="33"/>
        <v>1</v>
      </c>
      <c r="HP18" s="220">
        <f t="shared" si="34"/>
        <v>1</v>
      </c>
      <c r="HQ18" s="220">
        <f t="shared" si="35"/>
        <v>1</v>
      </c>
      <c r="HR18" s="220">
        <f t="shared" si="36"/>
        <v>1</v>
      </c>
      <c r="HS18" s="220">
        <f t="shared" si="37"/>
        <v>1</v>
      </c>
      <c r="HT18" s="220">
        <f t="shared" si="38"/>
        <v>1</v>
      </c>
      <c r="HU18" s="220">
        <f t="shared" si="39"/>
        <v>1</v>
      </c>
      <c r="HV18" s="220">
        <f t="shared" si="40"/>
        <v>1</v>
      </c>
      <c r="HW18" s="220">
        <f t="shared" si="41"/>
        <v>1</v>
      </c>
      <c r="HX18" s="220">
        <f t="shared" si="42"/>
        <v>1</v>
      </c>
      <c r="HY18" s="220">
        <f t="shared" si="43"/>
        <v>1</v>
      </c>
      <c r="HZ18" s="220">
        <f t="shared" si="44"/>
        <v>1</v>
      </c>
      <c r="IA18" s="220">
        <f t="shared" si="45"/>
        <v>1</v>
      </c>
      <c r="IB18" s="220">
        <f t="shared" si="46"/>
        <v>1</v>
      </c>
      <c r="IC18" s="220">
        <f t="shared" si="47"/>
        <v>1</v>
      </c>
      <c r="ID18" s="220">
        <f t="shared" si="48"/>
        <v>1</v>
      </c>
      <c r="IE18" s="220">
        <f t="shared" si="49"/>
        <v>1</v>
      </c>
      <c r="IF18" s="220">
        <f t="shared" si="50"/>
        <v>1</v>
      </c>
      <c r="IG18" s="220">
        <f t="shared" si="51"/>
        <v>1</v>
      </c>
      <c r="IH18" s="220">
        <f t="shared" si="52"/>
        <v>1</v>
      </c>
      <c r="II18" s="220">
        <f t="shared" si="53"/>
        <v>1</v>
      </c>
      <c r="IJ18" s="220">
        <f t="shared" si="54"/>
        <v>1</v>
      </c>
      <c r="IK18" s="220">
        <f t="shared" si="55"/>
        <v>1</v>
      </c>
      <c r="IL18" s="220">
        <f t="shared" si="56"/>
        <v>1</v>
      </c>
      <c r="IM18" s="220">
        <f t="shared" si="57"/>
        <v>1</v>
      </c>
      <c r="IN18" s="220">
        <f t="shared" si="58"/>
        <v>1</v>
      </c>
      <c r="IO18" s="220">
        <f t="shared" si="59"/>
        <v>1</v>
      </c>
      <c r="IP18" s="220">
        <f t="shared" si="60"/>
        <v>1</v>
      </c>
      <c r="IQ18" s="220">
        <f t="shared" si="61"/>
        <v>1</v>
      </c>
      <c r="IR18" s="220">
        <f t="shared" si="62"/>
        <v>1</v>
      </c>
      <c r="IS18" s="220">
        <f t="shared" si="63"/>
        <v>1</v>
      </c>
      <c r="IT18" s="220">
        <f t="shared" si="64"/>
        <v>1</v>
      </c>
      <c r="IU18" s="220">
        <f t="shared" si="65"/>
        <v>1</v>
      </c>
      <c r="IV18" s="220">
        <f t="shared" si="66"/>
        <v>1</v>
      </c>
      <c r="IW18" s="220">
        <f t="shared" si="67"/>
        <v>1</v>
      </c>
      <c r="IX18" s="220">
        <f t="shared" si="68"/>
        <v>1</v>
      </c>
      <c r="IY18" s="220">
        <f t="shared" si="69"/>
        <v>1</v>
      </c>
      <c r="IZ18" s="220">
        <f t="shared" si="70"/>
        <v>1</v>
      </c>
      <c r="JA18" s="220">
        <f t="shared" si="71"/>
        <v>1</v>
      </c>
      <c r="JB18" s="220">
        <f t="shared" si="72"/>
        <v>1</v>
      </c>
      <c r="JC18" s="220">
        <f t="shared" si="73"/>
        <v>1</v>
      </c>
      <c r="JD18" s="220">
        <f t="shared" si="74"/>
        <v>1</v>
      </c>
      <c r="JE18" s="220">
        <f t="shared" si="75"/>
        <v>1</v>
      </c>
      <c r="JF18" s="220">
        <f t="shared" si="76"/>
        <v>1</v>
      </c>
      <c r="JG18" s="220">
        <f t="shared" si="77"/>
        <v>1</v>
      </c>
      <c r="JH18" s="220">
        <f t="shared" si="78"/>
        <v>1</v>
      </c>
      <c r="JI18" s="220">
        <f t="shared" si="79"/>
        <v>1</v>
      </c>
      <c r="JJ18" s="220">
        <f t="shared" si="80"/>
        <v>1</v>
      </c>
      <c r="JK18" s="220">
        <f t="shared" si="81"/>
        <v>1</v>
      </c>
      <c r="JL18" s="220">
        <f t="shared" si="82"/>
        <v>1</v>
      </c>
      <c r="JM18" s="220">
        <f t="shared" si="83"/>
        <v>1</v>
      </c>
      <c r="JN18" s="220">
        <f t="shared" si="84"/>
        <v>1</v>
      </c>
      <c r="JO18" s="220">
        <f t="shared" si="85"/>
        <v>1</v>
      </c>
      <c r="JP18" s="220">
        <f t="shared" si="86"/>
        <v>1</v>
      </c>
      <c r="JQ18" s="220">
        <f t="shared" si="87"/>
        <v>1</v>
      </c>
      <c r="JR18" s="220">
        <f t="shared" si="88"/>
        <v>1</v>
      </c>
      <c r="JS18" s="220">
        <f t="shared" si="89"/>
        <v>1</v>
      </c>
      <c r="JT18" s="220">
        <f t="shared" si="90"/>
        <v>1</v>
      </c>
      <c r="JU18" s="220">
        <f t="shared" si="91"/>
        <v>1</v>
      </c>
      <c r="JV18" s="220">
        <f t="shared" si="92"/>
        <v>1</v>
      </c>
      <c r="JW18" s="220">
        <f t="shared" si="93"/>
        <v>1</v>
      </c>
      <c r="JX18" s="220">
        <f t="shared" si="94"/>
        <v>1</v>
      </c>
      <c r="JY18" s="220">
        <f t="shared" si="95"/>
        <v>1</v>
      </c>
      <c r="JZ18" s="220">
        <f t="shared" si="96"/>
        <v>1</v>
      </c>
      <c r="KA18" s="220">
        <f t="shared" si="97"/>
        <v>1</v>
      </c>
      <c r="KB18" s="220">
        <f t="shared" si="98"/>
        <v>1</v>
      </c>
      <c r="KC18" s="220">
        <f t="shared" si="99"/>
        <v>1</v>
      </c>
      <c r="KD18" s="220">
        <f t="shared" si="100"/>
        <v>1</v>
      </c>
      <c r="KE18" s="220">
        <f t="shared" si="101"/>
        <v>1</v>
      </c>
      <c r="KF18" s="220">
        <f t="shared" si="102"/>
        <v>1</v>
      </c>
      <c r="KG18" s="221">
        <f t="shared" si="103"/>
        <v>1</v>
      </c>
      <c r="KH18" s="13"/>
    </row>
    <row r="19" spans="1:294" ht="62.5" customHeight="1" thickBot="1" x14ac:dyDescent="0.4">
      <c r="A19" s="4"/>
      <c r="B19" s="58">
        <v>12</v>
      </c>
      <c r="C19" s="14" t="s">
        <v>33</v>
      </c>
      <c r="D19" s="5" t="s">
        <v>206</v>
      </c>
      <c r="E19" s="6" t="s">
        <v>2</v>
      </c>
      <c r="F19" s="5" t="s">
        <v>207</v>
      </c>
      <c r="G19" s="6" t="s">
        <v>171</v>
      </c>
      <c r="H19" s="22">
        <v>46181</v>
      </c>
      <c r="I19" s="22">
        <v>46206</v>
      </c>
      <c r="J19" s="67">
        <f t="shared" si="104"/>
        <v>26</v>
      </c>
      <c r="K19" s="22"/>
      <c r="L19" s="22"/>
      <c r="M19" s="67" t="str">
        <f>IF(AND(K19=0,L19=0),"No Progress",IF(Tbl_SM[[#This Row],[ACTUAL START]]="",0,IF(L19-K19&lt;0,"On Progress",L19-K19)))</f>
        <v>No Progress</v>
      </c>
      <c r="N19" s="21" t="str">
        <f>IF(Tbl_SM[[#This Row],[PLAN START]]="","",
IF(Tbl_SM[[#This Row],[ACTUAL FINISH]]&lt;&gt;"","CLOSE",
IF(Tbl_SM[[#This Row],[ACTUAL START]]&lt;&gt;"","ON PROGRESS",
"OPEN")))</f>
        <v>OPEN</v>
      </c>
      <c r="O19"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9" s="189">
        <f t="shared" si="12"/>
        <v>0.52666666666666595</v>
      </c>
      <c r="Q19" s="187">
        <f>IF(Tbl_SM[[#This Row],[STATUS]]="CLOSE",1,0)</f>
        <v>0</v>
      </c>
      <c r="S19" s="156">
        <v>0.05</v>
      </c>
      <c r="T19" s="157">
        <v>0.08</v>
      </c>
      <c r="U19" s="157">
        <v>0.1</v>
      </c>
      <c r="V19" s="157">
        <v>0.12666666666666701</v>
      </c>
      <c r="W19" s="157">
        <v>0.151666666666667</v>
      </c>
      <c r="X19" s="157">
        <v>0.176666666666667</v>
      </c>
      <c r="Y19" s="157">
        <v>0.20166666666666699</v>
      </c>
      <c r="Z19" s="157">
        <v>0.22666666666666699</v>
      </c>
      <c r="AA19" s="157">
        <v>0.25166666666666698</v>
      </c>
      <c r="AB19" s="157">
        <v>0.276666666666667</v>
      </c>
      <c r="AC19" s="157">
        <v>0.30166666666666703</v>
      </c>
      <c r="AD19" s="157">
        <v>0.32666666666666699</v>
      </c>
      <c r="AE19" s="157">
        <v>0.35166666666666702</v>
      </c>
      <c r="AF19" s="157">
        <v>0.37666666666666698</v>
      </c>
      <c r="AG19" s="157">
        <v>0.401666666666667</v>
      </c>
      <c r="AH19" s="157">
        <v>0.42666666666666703</v>
      </c>
      <c r="AI19" s="157">
        <v>0.45166666666666699</v>
      </c>
      <c r="AJ19" s="157">
        <v>0.47666666666666702</v>
      </c>
      <c r="AK19" s="157">
        <v>0.50166666666666704</v>
      </c>
      <c r="AL19" s="157">
        <v>0.50166666666666704</v>
      </c>
      <c r="AM19" s="157">
        <v>0.50166666666666704</v>
      </c>
      <c r="AN19" s="157">
        <v>0.50166666666666704</v>
      </c>
      <c r="AO19" s="157">
        <v>0.50166666666666704</v>
      </c>
      <c r="AP19" s="157">
        <v>0.50166666666666704</v>
      </c>
      <c r="AQ19" s="157">
        <v>0.50166666666666704</v>
      </c>
      <c r="AR19" s="157">
        <v>0.50166666666666704</v>
      </c>
      <c r="AS19" s="157">
        <v>0.50166666666666704</v>
      </c>
      <c r="AT19" s="157">
        <v>0.50166666666666704</v>
      </c>
      <c r="AU19" s="157">
        <v>0.51</v>
      </c>
      <c r="AV19" s="157">
        <v>0.51833333333333298</v>
      </c>
      <c r="AW19" s="157">
        <v>0.52666666666666595</v>
      </c>
      <c r="AX19" s="157">
        <v>0.53499999999999903</v>
      </c>
      <c r="AY19" s="157">
        <v>0.543333333333332</v>
      </c>
      <c r="AZ19" s="157">
        <v>0.55166666666666497</v>
      </c>
      <c r="BA19" s="157">
        <v>0.55999999999999805</v>
      </c>
      <c r="BB19" s="157">
        <v>0.56833333333333103</v>
      </c>
      <c r="BC19" s="157">
        <v>0.6</v>
      </c>
      <c r="BD19" s="157">
        <v>0.63</v>
      </c>
      <c r="BE19" s="157">
        <v>0.66</v>
      </c>
      <c r="BF19" s="157">
        <v>0.69</v>
      </c>
      <c r="BG19" s="157">
        <v>0.72</v>
      </c>
      <c r="BH19" s="157">
        <v>0.75</v>
      </c>
      <c r="BI19" s="157">
        <v>0.78</v>
      </c>
      <c r="BJ19" s="157">
        <v>0.81</v>
      </c>
      <c r="BK19" s="157">
        <v>0.84</v>
      </c>
      <c r="BL19" s="157">
        <v>0.87</v>
      </c>
      <c r="BM19" s="157">
        <v>0.9</v>
      </c>
      <c r="BN19" s="157">
        <v>0.93</v>
      </c>
      <c r="BO19" s="157">
        <v>0.96</v>
      </c>
      <c r="BP19" s="157">
        <v>0.99</v>
      </c>
      <c r="BQ19" s="157">
        <v>1</v>
      </c>
      <c r="BR19" s="157">
        <v>1</v>
      </c>
      <c r="BS19" s="157">
        <v>1</v>
      </c>
      <c r="BT19" s="157">
        <v>1</v>
      </c>
      <c r="BU19" s="157">
        <v>1</v>
      </c>
      <c r="BV19" s="157">
        <v>1</v>
      </c>
      <c r="BW19" s="157">
        <v>1</v>
      </c>
      <c r="BX19" s="157">
        <v>1</v>
      </c>
      <c r="BY19" s="157">
        <v>1</v>
      </c>
      <c r="BZ19" s="157">
        <v>1</v>
      </c>
      <c r="CA19" s="157">
        <v>1</v>
      </c>
      <c r="CB19" s="157">
        <v>1</v>
      </c>
      <c r="CC19" s="157">
        <v>1</v>
      </c>
      <c r="CD19" s="157">
        <v>1</v>
      </c>
      <c r="CE19" s="157">
        <v>1</v>
      </c>
      <c r="CF19" s="157">
        <v>1</v>
      </c>
      <c r="CG19" s="157">
        <v>1</v>
      </c>
      <c r="CH19" s="157">
        <v>1</v>
      </c>
      <c r="CI19" s="157">
        <v>1</v>
      </c>
      <c r="CJ19" s="157">
        <v>1</v>
      </c>
      <c r="CK19" s="157">
        <v>1</v>
      </c>
      <c r="CL19" s="157">
        <v>1</v>
      </c>
      <c r="CM19" s="157">
        <v>1</v>
      </c>
      <c r="CN19" s="157">
        <v>1</v>
      </c>
      <c r="CO19" s="157">
        <v>1</v>
      </c>
      <c r="CP19" s="157">
        <v>1</v>
      </c>
      <c r="CQ19" s="157">
        <v>1</v>
      </c>
      <c r="CR19" s="157">
        <v>1</v>
      </c>
      <c r="CS19" s="157">
        <v>1</v>
      </c>
      <c r="CT19" s="157">
        <v>1</v>
      </c>
      <c r="CU19" s="157">
        <v>1</v>
      </c>
      <c r="CV19" s="157">
        <v>1</v>
      </c>
      <c r="CW19" s="157">
        <v>1</v>
      </c>
      <c r="CX19" s="157">
        <v>1</v>
      </c>
      <c r="CY19" s="157">
        <v>1</v>
      </c>
      <c r="CZ19" s="157">
        <v>1</v>
      </c>
      <c r="DA19" s="157">
        <v>1</v>
      </c>
      <c r="DB19" s="157">
        <v>1</v>
      </c>
      <c r="DC19" s="157">
        <v>1</v>
      </c>
      <c r="DD19" s="157">
        <v>1</v>
      </c>
      <c r="DE19" s="158">
        <v>1</v>
      </c>
      <c r="DF19" s="152"/>
      <c r="DG19" s="225">
        <v>0.05</v>
      </c>
      <c r="DH19" s="162">
        <v>0.08</v>
      </c>
      <c r="DI19" s="162">
        <v>0.1</v>
      </c>
      <c r="DJ19" s="162">
        <v>0.12666666666666701</v>
      </c>
      <c r="DK19" s="162">
        <v>0.151666666666667</v>
      </c>
      <c r="DL19" s="162">
        <v>0.176666666666667</v>
      </c>
      <c r="DM19" s="162">
        <v>0.20166666666666699</v>
      </c>
      <c r="DN19" s="162">
        <v>0.22666666666666699</v>
      </c>
      <c r="DO19" s="162">
        <v>0.25166666666666698</v>
      </c>
      <c r="DP19" s="162">
        <v>0.276666666666667</v>
      </c>
      <c r="DQ19" s="162">
        <v>0.30166666666666703</v>
      </c>
      <c r="DR19" s="162">
        <v>0.32666666666666699</v>
      </c>
      <c r="DS19" s="162">
        <v>0.35166666666666702</v>
      </c>
      <c r="DT19" s="162">
        <v>0.37666666666666698</v>
      </c>
      <c r="DU19" s="162">
        <v>0.401666666666667</v>
      </c>
      <c r="DV19" s="162">
        <v>0.42666666666666703</v>
      </c>
      <c r="DW19" s="162">
        <v>0.45166666666666699</v>
      </c>
      <c r="DX19" s="162">
        <v>0.47666666666666702</v>
      </c>
      <c r="DY19" s="162">
        <v>0.50166666666666704</v>
      </c>
      <c r="DZ19" s="162">
        <v>0.50166666666666704</v>
      </c>
      <c r="EA19" s="162">
        <v>0.50166666666666704</v>
      </c>
      <c r="EB19" s="162">
        <v>0.50166666666666704</v>
      </c>
      <c r="EC19" s="162">
        <v>0.50166666666666704</v>
      </c>
      <c r="ED19" s="162">
        <v>0.50166666666666704</v>
      </c>
      <c r="EE19" s="162">
        <v>0.50166666666666704</v>
      </c>
      <c r="EF19" s="162">
        <v>0.50166666666666704</v>
      </c>
      <c r="EG19" s="162">
        <v>0.50166666666666704</v>
      </c>
      <c r="EH19" s="162">
        <v>0.50166666666666704</v>
      </c>
      <c r="EI19" s="162">
        <v>0.51</v>
      </c>
      <c r="EJ19" s="162">
        <v>0.51833333333333298</v>
      </c>
      <c r="EK19" s="162">
        <v>0.52666666666666595</v>
      </c>
      <c r="EL19" s="162">
        <v>0.53499999999999903</v>
      </c>
      <c r="EM19" s="162">
        <v>0.543333333333332</v>
      </c>
      <c r="EN19" s="162">
        <v>0.55166666666666497</v>
      </c>
      <c r="EO19" s="162">
        <v>0.55999999999999805</v>
      </c>
      <c r="EP19" s="162">
        <v>0.56833333333333103</v>
      </c>
      <c r="EQ19" s="162">
        <v>0.6</v>
      </c>
      <c r="ER19" s="162">
        <v>0.63</v>
      </c>
      <c r="ES19" s="162">
        <v>0.66</v>
      </c>
      <c r="ET19" s="162">
        <v>0.69</v>
      </c>
      <c r="EU19" s="162">
        <v>0.72</v>
      </c>
      <c r="EV19" s="162">
        <v>0.75</v>
      </c>
      <c r="EW19" s="162">
        <v>0.78</v>
      </c>
      <c r="EX19" s="162">
        <v>0.81</v>
      </c>
      <c r="EY19" s="162">
        <v>0.84</v>
      </c>
      <c r="EZ19" s="162">
        <v>0.87</v>
      </c>
      <c r="FA19" s="162">
        <v>0.9</v>
      </c>
      <c r="FB19" s="162">
        <v>0.93</v>
      </c>
      <c r="FC19" s="162">
        <v>0.96</v>
      </c>
      <c r="FD19" s="162">
        <v>0.99</v>
      </c>
      <c r="FE19" s="162">
        <v>1</v>
      </c>
      <c r="FF19" s="162">
        <v>1</v>
      </c>
      <c r="FG19" s="162">
        <v>1</v>
      </c>
      <c r="FH19" s="162">
        <v>1</v>
      </c>
      <c r="FI19" s="162">
        <v>1</v>
      </c>
      <c r="FJ19" s="162">
        <v>1</v>
      </c>
      <c r="FK19" s="162">
        <v>1</v>
      </c>
      <c r="FL19" s="162">
        <v>1</v>
      </c>
      <c r="FM19" s="162">
        <v>1</v>
      </c>
      <c r="FN19" s="162">
        <v>1</v>
      </c>
      <c r="FO19" s="162">
        <v>1</v>
      </c>
      <c r="FP19" s="162">
        <v>1</v>
      </c>
      <c r="FQ19" s="162">
        <v>1</v>
      </c>
      <c r="FR19" s="162">
        <v>1</v>
      </c>
      <c r="FS19" s="162">
        <v>1</v>
      </c>
      <c r="FT19" s="162">
        <v>1</v>
      </c>
      <c r="FU19" s="162">
        <v>1</v>
      </c>
      <c r="FV19" s="162">
        <v>1</v>
      </c>
      <c r="FW19" s="162">
        <v>1</v>
      </c>
      <c r="FX19" s="162">
        <v>1</v>
      </c>
      <c r="FY19" s="162">
        <v>1</v>
      </c>
      <c r="FZ19" s="162">
        <v>1</v>
      </c>
      <c r="GA19" s="162">
        <v>1</v>
      </c>
      <c r="GB19" s="162">
        <v>1</v>
      </c>
      <c r="GC19" s="162">
        <v>1</v>
      </c>
      <c r="GD19" s="162">
        <v>1</v>
      </c>
      <c r="GE19" s="162">
        <v>1</v>
      </c>
      <c r="GF19" s="162">
        <v>1</v>
      </c>
      <c r="GG19" s="162">
        <v>1</v>
      </c>
      <c r="GH19" s="162">
        <v>1</v>
      </c>
      <c r="GI19" s="162">
        <v>1</v>
      </c>
      <c r="GJ19" s="162">
        <v>1</v>
      </c>
      <c r="GK19" s="162">
        <v>1</v>
      </c>
      <c r="GL19" s="162">
        <v>1</v>
      </c>
      <c r="GM19" s="162">
        <v>1</v>
      </c>
      <c r="GN19" s="162">
        <v>1</v>
      </c>
      <c r="GO19" s="162">
        <v>1</v>
      </c>
      <c r="GP19" s="162">
        <v>1</v>
      </c>
      <c r="GQ19" s="162">
        <v>1</v>
      </c>
      <c r="GR19" s="162">
        <v>1</v>
      </c>
      <c r="GS19" s="218">
        <v>1</v>
      </c>
      <c r="GT19" s="31"/>
      <c r="GU19" s="219">
        <f t="shared" si="13"/>
        <v>1</v>
      </c>
      <c r="GV19" s="220">
        <f t="shared" si="14"/>
        <v>1</v>
      </c>
      <c r="GW19" s="220">
        <f t="shared" si="15"/>
        <v>1</v>
      </c>
      <c r="GX19" s="220">
        <f t="shared" si="16"/>
        <v>1</v>
      </c>
      <c r="GY19" s="220">
        <f t="shared" si="17"/>
        <v>1</v>
      </c>
      <c r="GZ19" s="220">
        <f t="shared" si="18"/>
        <v>1</v>
      </c>
      <c r="HA19" s="220">
        <f t="shared" si="19"/>
        <v>1</v>
      </c>
      <c r="HB19" s="220">
        <f t="shared" si="20"/>
        <v>1</v>
      </c>
      <c r="HC19" s="220">
        <f t="shared" si="21"/>
        <v>1</v>
      </c>
      <c r="HD19" s="220">
        <f t="shared" si="22"/>
        <v>1</v>
      </c>
      <c r="HE19" s="220">
        <f t="shared" si="23"/>
        <v>1</v>
      </c>
      <c r="HF19" s="220">
        <f t="shared" si="24"/>
        <v>1</v>
      </c>
      <c r="HG19" s="220">
        <f t="shared" si="25"/>
        <v>1</v>
      </c>
      <c r="HH19" s="220">
        <f t="shared" si="26"/>
        <v>1</v>
      </c>
      <c r="HI19" s="220">
        <f t="shared" si="27"/>
        <v>1</v>
      </c>
      <c r="HJ19" s="220">
        <f t="shared" si="28"/>
        <v>1</v>
      </c>
      <c r="HK19" s="220">
        <f t="shared" si="29"/>
        <v>1</v>
      </c>
      <c r="HL19" s="220">
        <f t="shared" si="30"/>
        <v>1</v>
      </c>
      <c r="HM19" s="220">
        <f t="shared" si="31"/>
        <v>1</v>
      </c>
      <c r="HN19" s="220">
        <f t="shared" si="32"/>
        <v>1</v>
      </c>
      <c r="HO19" s="220">
        <f t="shared" si="33"/>
        <v>1</v>
      </c>
      <c r="HP19" s="220">
        <f t="shared" si="34"/>
        <v>1</v>
      </c>
      <c r="HQ19" s="220">
        <f t="shared" si="35"/>
        <v>1</v>
      </c>
      <c r="HR19" s="220">
        <f t="shared" si="36"/>
        <v>1</v>
      </c>
      <c r="HS19" s="220">
        <f t="shared" si="37"/>
        <v>1</v>
      </c>
      <c r="HT19" s="220">
        <f t="shared" si="38"/>
        <v>1</v>
      </c>
      <c r="HU19" s="220">
        <f t="shared" si="39"/>
        <v>1</v>
      </c>
      <c r="HV19" s="220">
        <f t="shared" si="40"/>
        <v>1</v>
      </c>
      <c r="HW19" s="220">
        <f t="shared" si="41"/>
        <v>1</v>
      </c>
      <c r="HX19" s="220">
        <f t="shared" si="42"/>
        <v>1</v>
      </c>
      <c r="HY19" s="220">
        <f t="shared" si="43"/>
        <v>1</v>
      </c>
      <c r="HZ19" s="220">
        <f t="shared" si="44"/>
        <v>1</v>
      </c>
      <c r="IA19" s="220">
        <f t="shared" si="45"/>
        <v>1</v>
      </c>
      <c r="IB19" s="220">
        <f t="shared" si="46"/>
        <v>1</v>
      </c>
      <c r="IC19" s="220">
        <f t="shared" si="47"/>
        <v>1</v>
      </c>
      <c r="ID19" s="220">
        <f t="shared" si="48"/>
        <v>1</v>
      </c>
      <c r="IE19" s="220">
        <f t="shared" si="49"/>
        <v>1</v>
      </c>
      <c r="IF19" s="220">
        <f t="shared" si="50"/>
        <v>1</v>
      </c>
      <c r="IG19" s="220">
        <f t="shared" si="51"/>
        <v>1</v>
      </c>
      <c r="IH19" s="220">
        <f t="shared" si="52"/>
        <v>1</v>
      </c>
      <c r="II19" s="220">
        <f t="shared" si="53"/>
        <v>1</v>
      </c>
      <c r="IJ19" s="220">
        <f t="shared" si="54"/>
        <v>1</v>
      </c>
      <c r="IK19" s="220">
        <f t="shared" si="55"/>
        <v>1</v>
      </c>
      <c r="IL19" s="220">
        <f t="shared" si="56"/>
        <v>1</v>
      </c>
      <c r="IM19" s="220">
        <f t="shared" si="57"/>
        <v>1</v>
      </c>
      <c r="IN19" s="220">
        <f t="shared" si="58"/>
        <v>1</v>
      </c>
      <c r="IO19" s="220">
        <f t="shared" si="59"/>
        <v>1</v>
      </c>
      <c r="IP19" s="220">
        <f t="shared" si="60"/>
        <v>1</v>
      </c>
      <c r="IQ19" s="220">
        <f t="shared" si="61"/>
        <v>1</v>
      </c>
      <c r="IR19" s="220">
        <f t="shared" si="62"/>
        <v>1</v>
      </c>
      <c r="IS19" s="220">
        <f t="shared" si="63"/>
        <v>1</v>
      </c>
      <c r="IT19" s="220">
        <f t="shared" si="64"/>
        <v>1</v>
      </c>
      <c r="IU19" s="220">
        <f t="shared" si="65"/>
        <v>1</v>
      </c>
      <c r="IV19" s="220">
        <f t="shared" si="66"/>
        <v>1</v>
      </c>
      <c r="IW19" s="220">
        <f t="shared" si="67"/>
        <v>1</v>
      </c>
      <c r="IX19" s="220">
        <f t="shared" si="68"/>
        <v>1</v>
      </c>
      <c r="IY19" s="220">
        <f t="shared" si="69"/>
        <v>1</v>
      </c>
      <c r="IZ19" s="220">
        <f t="shared" si="70"/>
        <v>1</v>
      </c>
      <c r="JA19" s="220">
        <f t="shared" si="71"/>
        <v>1</v>
      </c>
      <c r="JB19" s="220">
        <f t="shared" si="72"/>
        <v>1</v>
      </c>
      <c r="JC19" s="220">
        <f t="shared" si="73"/>
        <v>1</v>
      </c>
      <c r="JD19" s="220">
        <f t="shared" si="74"/>
        <v>1</v>
      </c>
      <c r="JE19" s="220">
        <f t="shared" si="75"/>
        <v>1</v>
      </c>
      <c r="JF19" s="220">
        <f t="shared" si="76"/>
        <v>1</v>
      </c>
      <c r="JG19" s="220">
        <f t="shared" si="77"/>
        <v>1</v>
      </c>
      <c r="JH19" s="220">
        <f t="shared" si="78"/>
        <v>1</v>
      </c>
      <c r="JI19" s="220">
        <f t="shared" si="79"/>
        <v>1</v>
      </c>
      <c r="JJ19" s="220">
        <f t="shared" si="80"/>
        <v>1</v>
      </c>
      <c r="JK19" s="220">
        <f t="shared" si="81"/>
        <v>1</v>
      </c>
      <c r="JL19" s="220">
        <f t="shared" si="82"/>
        <v>1</v>
      </c>
      <c r="JM19" s="220">
        <f t="shared" si="83"/>
        <v>1</v>
      </c>
      <c r="JN19" s="220">
        <f t="shared" si="84"/>
        <v>1</v>
      </c>
      <c r="JO19" s="220">
        <f t="shared" si="85"/>
        <v>1</v>
      </c>
      <c r="JP19" s="220">
        <f t="shared" si="86"/>
        <v>1</v>
      </c>
      <c r="JQ19" s="220">
        <f t="shared" si="87"/>
        <v>1</v>
      </c>
      <c r="JR19" s="220">
        <f t="shared" si="88"/>
        <v>1</v>
      </c>
      <c r="JS19" s="220">
        <f t="shared" si="89"/>
        <v>1</v>
      </c>
      <c r="JT19" s="220">
        <f t="shared" si="90"/>
        <v>1</v>
      </c>
      <c r="JU19" s="220">
        <f t="shared" si="91"/>
        <v>1</v>
      </c>
      <c r="JV19" s="220">
        <f t="shared" si="92"/>
        <v>1</v>
      </c>
      <c r="JW19" s="220">
        <f t="shared" si="93"/>
        <v>1</v>
      </c>
      <c r="JX19" s="220">
        <f t="shared" si="94"/>
        <v>1</v>
      </c>
      <c r="JY19" s="220">
        <f t="shared" si="95"/>
        <v>1</v>
      </c>
      <c r="JZ19" s="220">
        <f t="shared" si="96"/>
        <v>1</v>
      </c>
      <c r="KA19" s="220">
        <f t="shared" si="97"/>
        <v>1</v>
      </c>
      <c r="KB19" s="220">
        <f t="shared" si="98"/>
        <v>1</v>
      </c>
      <c r="KC19" s="220">
        <f t="shared" si="99"/>
        <v>1</v>
      </c>
      <c r="KD19" s="220">
        <f t="shared" si="100"/>
        <v>1</v>
      </c>
      <c r="KE19" s="220">
        <f t="shared" si="101"/>
        <v>1</v>
      </c>
      <c r="KF19" s="220">
        <f t="shared" si="102"/>
        <v>1</v>
      </c>
      <c r="KG19" s="221">
        <f t="shared" si="103"/>
        <v>1</v>
      </c>
      <c r="KH19" s="13"/>
    </row>
    <row r="20" spans="1:294" ht="62.5" customHeight="1" thickBot="1" x14ac:dyDescent="0.4">
      <c r="A20" s="4"/>
      <c r="B20" s="58">
        <v>13</v>
      </c>
      <c r="C20" s="14" t="s">
        <v>33</v>
      </c>
      <c r="D20" s="5" t="s">
        <v>208</v>
      </c>
      <c r="E20" s="6" t="s">
        <v>3</v>
      </c>
      <c r="F20" s="5" t="s">
        <v>209</v>
      </c>
      <c r="G20" s="6" t="s">
        <v>210</v>
      </c>
      <c r="H20" s="22">
        <v>46204</v>
      </c>
      <c r="I20" s="22">
        <v>46248</v>
      </c>
      <c r="J20" s="67">
        <f t="shared" si="104"/>
        <v>45</v>
      </c>
      <c r="K20" s="22"/>
      <c r="L20" s="22"/>
      <c r="M20" s="67" t="str">
        <f>IF(AND(K20=0,L20=0),"No Progress",IF(Tbl_SM[[#This Row],[ACTUAL START]]="",0,IF(L20-K20&lt;0,"On Progress",L20-K20)))</f>
        <v>No Progress</v>
      </c>
      <c r="N20" s="21" t="str">
        <f>IF(Tbl_SM[[#This Row],[PLAN START]]="","",
IF(Tbl_SM[[#This Row],[ACTUAL FINISH]]&lt;&gt;"","CLOSE",
IF(Tbl_SM[[#This Row],[ACTUAL START]]&lt;&gt;"","ON PROGRESS",
"OPEN")))</f>
        <v>OPEN</v>
      </c>
      <c r="O20"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0" s="189">
        <f t="shared" si="12"/>
        <v>0.52666666666666595</v>
      </c>
      <c r="Q20" s="187">
        <f>IF(Tbl_SM[[#This Row],[STATUS]]="CLOSE",1,0)</f>
        <v>0</v>
      </c>
      <c r="S20" s="156">
        <v>0.05</v>
      </c>
      <c r="T20" s="157">
        <v>0.08</v>
      </c>
      <c r="U20" s="157">
        <v>0.1</v>
      </c>
      <c r="V20" s="157">
        <v>0.12666666666666701</v>
      </c>
      <c r="W20" s="157">
        <v>0.151666666666667</v>
      </c>
      <c r="X20" s="157">
        <v>0.176666666666667</v>
      </c>
      <c r="Y20" s="157">
        <v>0.20166666666666699</v>
      </c>
      <c r="Z20" s="157">
        <v>0.22666666666666699</v>
      </c>
      <c r="AA20" s="157">
        <v>0.25166666666666698</v>
      </c>
      <c r="AB20" s="157">
        <v>0.276666666666667</v>
      </c>
      <c r="AC20" s="157">
        <v>0.30166666666666703</v>
      </c>
      <c r="AD20" s="157">
        <v>0.32666666666666699</v>
      </c>
      <c r="AE20" s="157">
        <v>0.35166666666666702</v>
      </c>
      <c r="AF20" s="157">
        <v>0.37666666666666698</v>
      </c>
      <c r="AG20" s="157">
        <v>0.401666666666667</v>
      </c>
      <c r="AH20" s="157">
        <v>0.42666666666666703</v>
      </c>
      <c r="AI20" s="157">
        <v>0.45166666666666699</v>
      </c>
      <c r="AJ20" s="157">
        <v>0.47666666666666702</v>
      </c>
      <c r="AK20" s="157">
        <v>0.50166666666666704</v>
      </c>
      <c r="AL20" s="157">
        <v>0.50166666666666704</v>
      </c>
      <c r="AM20" s="157">
        <v>0.50166666666666704</v>
      </c>
      <c r="AN20" s="157">
        <v>0.50166666666666704</v>
      </c>
      <c r="AO20" s="157">
        <v>0.50166666666666704</v>
      </c>
      <c r="AP20" s="157">
        <v>0.50166666666666704</v>
      </c>
      <c r="AQ20" s="157">
        <v>0.50166666666666704</v>
      </c>
      <c r="AR20" s="157">
        <v>0.50166666666666704</v>
      </c>
      <c r="AS20" s="157">
        <v>0.50166666666666704</v>
      </c>
      <c r="AT20" s="157">
        <v>0.50166666666666704</v>
      </c>
      <c r="AU20" s="157">
        <v>0.51</v>
      </c>
      <c r="AV20" s="157">
        <v>0.51833333333333298</v>
      </c>
      <c r="AW20" s="157">
        <v>0.52666666666666595</v>
      </c>
      <c r="AX20" s="157">
        <v>0.53499999999999903</v>
      </c>
      <c r="AY20" s="157">
        <v>0.543333333333332</v>
      </c>
      <c r="AZ20" s="157">
        <v>0.55166666666666497</v>
      </c>
      <c r="BA20" s="157">
        <v>0.55999999999999805</v>
      </c>
      <c r="BB20" s="157">
        <v>0.56833333333333103</v>
      </c>
      <c r="BC20" s="157">
        <v>0.6</v>
      </c>
      <c r="BD20" s="157">
        <v>0.63</v>
      </c>
      <c r="BE20" s="157">
        <v>0.66</v>
      </c>
      <c r="BF20" s="157">
        <v>0.69</v>
      </c>
      <c r="BG20" s="157">
        <v>0.72</v>
      </c>
      <c r="BH20" s="157">
        <v>0.75</v>
      </c>
      <c r="BI20" s="157">
        <v>0.78</v>
      </c>
      <c r="BJ20" s="157">
        <v>0.81</v>
      </c>
      <c r="BK20" s="157">
        <v>0.84</v>
      </c>
      <c r="BL20" s="157">
        <v>0.87</v>
      </c>
      <c r="BM20" s="157">
        <v>0.9</v>
      </c>
      <c r="BN20" s="157">
        <v>0.93</v>
      </c>
      <c r="BO20" s="157">
        <v>0.96</v>
      </c>
      <c r="BP20" s="157">
        <v>0.99</v>
      </c>
      <c r="BQ20" s="157">
        <v>1</v>
      </c>
      <c r="BR20" s="157">
        <v>1</v>
      </c>
      <c r="BS20" s="157">
        <v>1</v>
      </c>
      <c r="BT20" s="157">
        <v>1</v>
      </c>
      <c r="BU20" s="157">
        <v>1</v>
      </c>
      <c r="BV20" s="157">
        <v>1</v>
      </c>
      <c r="BW20" s="157">
        <v>1</v>
      </c>
      <c r="BX20" s="157">
        <v>1</v>
      </c>
      <c r="BY20" s="157">
        <v>1</v>
      </c>
      <c r="BZ20" s="157">
        <v>1</v>
      </c>
      <c r="CA20" s="157">
        <v>1</v>
      </c>
      <c r="CB20" s="157">
        <v>1</v>
      </c>
      <c r="CC20" s="157">
        <v>1</v>
      </c>
      <c r="CD20" s="157">
        <v>1</v>
      </c>
      <c r="CE20" s="157">
        <v>1</v>
      </c>
      <c r="CF20" s="157">
        <v>1</v>
      </c>
      <c r="CG20" s="157">
        <v>1</v>
      </c>
      <c r="CH20" s="157">
        <v>1</v>
      </c>
      <c r="CI20" s="157">
        <v>1</v>
      </c>
      <c r="CJ20" s="157">
        <v>1</v>
      </c>
      <c r="CK20" s="157">
        <v>1</v>
      </c>
      <c r="CL20" s="157">
        <v>1</v>
      </c>
      <c r="CM20" s="157">
        <v>1</v>
      </c>
      <c r="CN20" s="157">
        <v>1</v>
      </c>
      <c r="CO20" s="157">
        <v>1</v>
      </c>
      <c r="CP20" s="157">
        <v>1</v>
      </c>
      <c r="CQ20" s="157">
        <v>1</v>
      </c>
      <c r="CR20" s="157">
        <v>1</v>
      </c>
      <c r="CS20" s="157">
        <v>1</v>
      </c>
      <c r="CT20" s="157">
        <v>1</v>
      </c>
      <c r="CU20" s="157">
        <v>1</v>
      </c>
      <c r="CV20" s="157">
        <v>1</v>
      </c>
      <c r="CW20" s="157">
        <v>1</v>
      </c>
      <c r="CX20" s="157">
        <v>1</v>
      </c>
      <c r="CY20" s="157">
        <v>1</v>
      </c>
      <c r="CZ20" s="157">
        <v>1</v>
      </c>
      <c r="DA20" s="157">
        <v>1</v>
      </c>
      <c r="DB20" s="157">
        <v>1</v>
      </c>
      <c r="DC20" s="157">
        <v>1</v>
      </c>
      <c r="DD20" s="157">
        <v>1</v>
      </c>
      <c r="DE20" s="158">
        <v>1</v>
      </c>
      <c r="DF20" s="152"/>
      <c r="DG20" s="225">
        <v>0.05</v>
      </c>
      <c r="DH20" s="162">
        <v>0.08</v>
      </c>
      <c r="DI20" s="162">
        <v>0.1</v>
      </c>
      <c r="DJ20" s="162">
        <v>0.12666666666666701</v>
      </c>
      <c r="DK20" s="162">
        <v>0.151666666666667</v>
      </c>
      <c r="DL20" s="162">
        <v>0.176666666666667</v>
      </c>
      <c r="DM20" s="162">
        <v>0.20166666666666699</v>
      </c>
      <c r="DN20" s="162">
        <v>0.22666666666666699</v>
      </c>
      <c r="DO20" s="162">
        <v>0.25166666666666698</v>
      </c>
      <c r="DP20" s="162">
        <v>0.276666666666667</v>
      </c>
      <c r="DQ20" s="162">
        <v>0.30166666666666703</v>
      </c>
      <c r="DR20" s="162">
        <v>0.32666666666666699</v>
      </c>
      <c r="DS20" s="162">
        <v>0.35166666666666702</v>
      </c>
      <c r="DT20" s="162">
        <v>0.37666666666666698</v>
      </c>
      <c r="DU20" s="162">
        <v>0.401666666666667</v>
      </c>
      <c r="DV20" s="162">
        <v>0.42666666666666703</v>
      </c>
      <c r="DW20" s="162">
        <v>0.45166666666666699</v>
      </c>
      <c r="DX20" s="162">
        <v>0.47666666666666702</v>
      </c>
      <c r="DY20" s="162">
        <v>0.50166666666666704</v>
      </c>
      <c r="DZ20" s="162">
        <v>0.50166666666666704</v>
      </c>
      <c r="EA20" s="162">
        <v>0.50166666666666704</v>
      </c>
      <c r="EB20" s="162">
        <v>0.50166666666666704</v>
      </c>
      <c r="EC20" s="162">
        <v>0.50166666666666704</v>
      </c>
      <c r="ED20" s="162">
        <v>0.50166666666666704</v>
      </c>
      <c r="EE20" s="162">
        <v>0.50166666666666704</v>
      </c>
      <c r="EF20" s="162">
        <v>0.50166666666666704</v>
      </c>
      <c r="EG20" s="162">
        <v>0.50166666666666704</v>
      </c>
      <c r="EH20" s="162">
        <v>0.50166666666666704</v>
      </c>
      <c r="EI20" s="162">
        <v>0.51</v>
      </c>
      <c r="EJ20" s="162">
        <v>0.51833333333333298</v>
      </c>
      <c r="EK20" s="162">
        <v>0.52666666666666595</v>
      </c>
      <c r="EL20" s="162">
        <v>0.53499999999999903</v>
      </c>
      <c r="EM20" s="162">
        <v>0.543333333333332</v>
      </c>
      <c r="EN20" s="162">
        <v>0.55166666666666497</v>
      </c>
      <c r="EO20" s="162">
        <v>0.55999999999999805</v>
      </c>
      <c r="EP20" s="162">
        <v>0.56833333333333103</v>
      </c>
      <c r="EQ20" s="162">
        <v>0.6</v>
      </c>
      <c r="ER20" s="162">
        <v>0.63</v>
      </c>
      <c r="ES20" s="162">
        <v>0.66</v>
      </c>
      <c r="ET20" s="162">
        <v>0.69</v>
      </c>
      <c r="EU20" s="162">
        <v>0.72</v>
      </c>
      <c r="EV20" s="162">
        <v>0.75</v>
      </c>
      <c r="EW20" s="162">
        <v>0.78</v>
      </c>
      <c r="EX20" s="162">
        <v>0.81</v>
      </c>
      <c r="EY20" s="162">
        <v>0.84</v>
      </c>
      <c r="EZ20" s="162">
        <v>0.87</v>
      </c>
      <c r="FA20" s="162">
        <v>0.9</v>
      </c>
      <c r="FB20" s="162">
        <v>0.93</v>
      </c>
      <c r="FC20" s="162">
        <v>0.96</v>
      </c>
      <c r="FD20" s="162">
        <v>0.99</v>
      </c>
      <c r="FE20" s="162">
        <v>1</v>
      </c>
      <c r="FF20" s="162">
        <v>1</v>
      </c>
      <c r="FG20" s="162">
        <v>1</v>
      </c>
      <c r="FH20" s="162">
        <v>1</v>
      </c>
      <c r="FI20" s="162">
        <v>1</v>
      </c>
      <c r="FJ20" s="162">
        <v>1</v>
      </c>
      <c r="FK20" s="162">
        <v>1</v>
      </c>
      <c r="FL20" s="162">
        <v>1</v>
      </c>
      <c r="FM20" s="162">
        <v>1</v>
      </c>
      <c r="FN20" s="162">
        <v>1</v>
      </c>
      <c r="FO20" s="162">
        <v>1</v>
      </c>
      <c r="FP20" s="162">
        <v>1</v>
      </c>
      <c r="FQ20" s="162">
        <v>1</v>
      </c>
      <c r="FR20" s="162">
        <v>1</v>
      </c>
      <c r="FS20" s="162">
        <v>1</v>
      </c>
      <c r="FT20" s="162">
        <v>1</v>
      </c>
      <c r="FU20" s="162">
        <v>1</v>
      </c>
      <c r="FV20" s="162">
        <v>1</v>
      </c>
      <c r="FW20" s="162">
        <v>1</v>
      </c>
      <c r="FX20" s="162">
        <v>1</v>
      </c>
      <c r="FY20" s="162">
        <v>1</v>
      </c>
      <c r="FZ20" s="162">
        <v>1</v>
      </c>
      <c r="GA20" s="162">
        <v>1</v>
      </c>
      <c r="GB20" s="162">
        <v>1</v>
      </c>
      <c r="GC20" s="162">
        <v>1</v>
      </c>
      <c r="GD20" s="162">
        <v>1</v>
      </c>
      <c r="GE20" s="162">
        <v>1</v>
      </c>
      <c r="GF20" s="162">
        <v>1</v>
      </c>
      <c r="GG20" s="162">
        <v>1</v>
      </c>
      <c r="GH20" s="162">
        <v>1</v>
      </c>
      <c r="GI20" s="162">
        <v>1</v>
      </c>
      <c r="GJ20" s="162">
        <v>1</v>
      </c>
      <c r="GK20" s="162">
        <v>1</v>
      </c>
      <c r="GL20" s="162">
        <v>1</v>
      </c>
      <c r="GM20" s="162">
        <v>1</v>
      </c>
      <c r="GN20" s="162">
        <v>1</v>
      </c>
      <c r="GO20" s="162">
        <v>1</v>
      </c>
      <c r="GP20" s="162">
        <v>1</v>
      </c>
      <c r="GQ20" s="162">
        <v>1</v>
      </c>
      <c r="GR20" s="162">
        <v>1</v>
      </c>
      <c r="GS20" s="218">
        <v>1</v>
      </c>
      <c r="GT20" s="31"/>
      <c r="GU20" s="219">
        <f t="shared" si="13"/>
        <v>1</v>
      </c>
      <c r="GV20" s="220">
        <f t="shared" si="14"/>
        <v>1</v>
      </c>
      <c r="GW20" s="220">
        <f t="shared" si="15"/>
        <v>1</v>
      </c>
      <c r="GX20" s="220">
        <f t="shared" si="16"/>
        <v>1</v>
      </c>
      <c r="GY20" s="220">
        <f t="shared" si="17"/>
        <v>1</v>
      </c>
      <c r="GZ20" s="220">
        <f t="shared" si="18"/>
        <v>1</v>
      </c>
      <c r="HA20" s="220">
        <f t="shared" si="19"/>
        <v>1</v>
      </c>
      <c r="HB20" s="220">
        <f t="shared" si="20"/>
        <v>1</v>
      </c>
      <c r="HC20" s="220">
        <f t="shared" si="21"/>
        <v>1</v>
      </c>
      <c r="HD20" s="220">
        <f t="shared" si="22"/>
        <v>1</v>
      </c>
      <c r="HE20" s="220">
        <f t="shared" si="23"/>
        <v>1</v>
      </c>
      <c r="HF20" s="220">
        <f t="shared" si="24"/>
        <v>1</v>
      </c>
      <c r="HG20" s="220">
        <f t="shared" si="25"/>
        <v>1</v>
      </c>
      <c r="HH20" s="220">
        <f t="shared" si="26"/>
        <v>1</v>
      </c>
      <c r="HI20" s="220">
        <f t="shared" si="27"/>
        <v>1</v>
      </c>
      <c r="HJ20" s="220">
        <f t="shared" si="28"/>
        <v>1</v>
      </c>
      <c r="HK20" s="220">
        <f t="shared" si="29"/>
        <v>1</v>
      </c>
      <c r="HL20" s="220">
        <f t="shared" si="30"/>
        <v>1</v>
      </c>
      <c r="HM20" s="220">
        <f t="shared" si="31"/>
        <v>1</v>
      </c>
      <c r="HN20" s="220">
        <f t="shared" si="32"/>
        <v>1</v>
      </c>
      <c r="HO20" s="220">
        <f t="shared" si="33"/>
        <v>1</v>
      </c>
      <c r="HP20" s="220">
        <f t="shared" si="34"/>
        <v>1</v>
      </c>
      <c r="HQ20" s="220">
        <f t="shared" si="35"/>
        <v>1</v>
      </c>
      <c r="HR20" s="220">
        <f t="shared" si="36"/>
        <v>1</v>
      </c>
      <c r="HS20" s="220">
        <f t="shared" si="37"/>
        <v>1</v>
      </c>
      <c r="HT20" s="220">
        <f t="shared" si="38"/>
        <v>1</v>
      </c>
      <c r="HU20" s="220">
        <f t="shared" si="39"/>
        <v>1</v>
      </c>
      <c r="HV20" s="220">
        <f t="shared" si="40"/>
        <v>1</v>
      </c>
      <c r="HW20" s="220">
        <f t="shared" si="41"/>
        <v>1</v>
      </c>
      <c r="HX20" s="220">
        <f t="shared" si="42"/>
        <v>1</v>
      </c>
      <c r="HY20" s="220">
        <f t="shared" si="43"/>
        <v>1</v>
      </c>
      <c r="HZ20" s="220">
        <f t="shared" si="44"/>
        <v>1</v>
      </c>
      <c r="IA20" s="220">
        <f t="shared" si="45"/>
        <v>1</v>
      </c>
      <c r="IB20" s="220">
        <f t="shared" si="46"/>
        <v>1</v>
      </c>
      <c r="IC20" s="220">
        <f t="shared" si="47"/>
        <v>1</v>
      </c>
      <c r="ID20" s="220">
        <f t="shared" si="48"/>
        <v>1</v>
      </c>
      <c r="IE20" s="220">
        <f t="shared" si="49"/>
        <v>1</v>
      </c>
      <c r="IF20" s="220">
        <f t="shared" si="50"/>
        <v>1</v>
      </c>
      <c r="IG20" s="220">
        <f t="shared" si="51"/>
        <v>1</v>
      </c>
      <c r="IH20" s="220">
        <f t="shared" si="52"/>
        <v>1</v>
      </c>
      <c r="II20" s="220">
        <f t="shared" si="53"/>
        <v>1</v>
      </c>
      <c r="IJ20" s="220">
        <f t="shared" si="54"/>
        <v>1</v>
      </c>
      <c r="IK20" s="220">
        <f t="shared" si="55"/>
        <v>1</v>
      </c>
      <c r="IL20" s="220">
        <f t="shared" si="56"/>
        <v>1</v>
      </c>
      <c r="IM20" s="220">
        <f t="shared" si="57"/>
        <v>1</v>
      </c>
      <c r="IN20" s="220">
        <f t="shared" si="58"/>
        <v>1</v>
      </c>
      <c r="IO20" s="220">
        <f t="shared" si="59"/>
        <v>1</v>
      </c>
      <c r="IP20" s="220">
        <f t="shared" si="60"/>
        <v>1</v>
      </c>
      <c r="IQ20" s="220">
        <f t="shared" si="61"/>
        <v>1</v>
      </c>
      <c r="IR20" s="220">
        <f t="shared" si="62"/>
        <v>1</v>
      </c>
      <c r="IS20" s="220">
        <f t="shared" si="63"/>
        <v>1</v>
      </c>
      <c r="IT20" s="220">
        <f t="shared" si="64"/>
        <v>1</v>
      </c>
      <c r="IU20" s="220">
        <f t="shared" si="65"/>
        <v>1</v>
      </c>
      <c r="IV20" s="220">
        <f t="shared" si="66"/>
        <v>1</v>
      </c>
      <c r="IW20" s="220">
        <f t="shared" si="67"/>
        <v>1</v>
      </c>
      <c r="IX20" s="220">
        <f t="shared" si="68"/>
        <v>1</v>
      </c>
      <c r="IY20" s="220">
        <f t="shared" si="69"/>
        <v>1</v>
      </c>
      <c r="IZ20" s="220">
        <f t="shared" si="70"/>
        <v>1</v>
      </c>
      <c r="JA20" s="220">
        <f t="shared" si="71"/>
        <v>1</v>
      </c>
      <c r="JB20" s="220">
        <f t="shared" si="72"/>
        <v>1</v>
      </c>
      <c r="JC20" s="220">
        <f t="shared" si="73"/>
        <v>1</v>
      </c>
      <c r="JD20" s="220">
        <f t="shared" si="74"/>
        <v>1</v>
      </c>
      <c r="JE20" s="220">
        <f t="shared" si="75"/>
        <v>1</v>
      </c>
      <c r="JF20" s="220">
        <f t="shared" si="76"/>
        <v>1</v>
      </c>
      <c r="JG20" s="220">
        <f t="shared" si="77"/>
        <v>1</v>
      </c>
      <c r="JH20" s="220">
        <f t="shared" si="78"/>
        <v>1</v>
      </c>
      <c r="JI20" s="220">
        <f t="shared" si="79"/>
        <v>1</v>
      </c>
      <c r="JJ20" s="220">
        <f t="shared" si="80"/>
        <v>1</v>
      </c>
      <c r="JK20" s="220">
        <f t="shared" si="81"/>
        <v>1</v>
      </c>
      <c r="JL20" s="220">
        <f t="shared" si="82"/>
        <v>1</v>
      </c>
      <c r="JM20" s="220">
        <f t="shared" si="83"/>
        <v>1</v>
      </c>
      <c r="JN20" s="220">
        <f t="shared" si="84"/>
        <v>1</v>
      </c>
      <c r="JO20" s="220">
        <f t="shared" si="85"/>
        <v>1</v>
      </c>
      <c r="JP20" s="220">
        <f t="shared" si="86"/>
        <v>1</v>
      </c>
      <c r="JQ20" s="220">
        <f t="shared" si="87"/>
        <v>1</v>
      </c>
      <c r="JR20" s="220">
        <f t="shared" si="88"/>
        <v>1</v>
      </c>
      <c r="JS20" s="220">
        <f t="shared" si="89"/>
        <v>1</v>
      </c>
      <c r="JT20" s="220">
        <f t="shared" si="90"/>
        <v>1</v>
      </c>
      <c r="JU20" s="220">
        <f t="shared" si="91"/>
        <v>1</v>
      </c>
      <c r="JV20" s="220">
        <f t="shared" si="92"/>
        <v>1</v>
      </c>
      <c r="JW20" s="220">
        <f t="shared" si="93"/>
        <v>1</v>
      </c>
      <c r="JX20" s="220">
        <f t="shared" si="94"/>
        <v>1</v>
      </c>
      <c r="JY20" s="220">
        <f t="shared" si="95"/>
        <v>1</v>
      </c>
      <c r="JZ20" s="220">
        <f t="shared" si="96"/>
        <v>1</v>
      </c>
      <c r="KA20" s="220">
        <f t="shared" si="97"/>
        <v>1</v>
      </c>
      <c r="KB20" s="220">
        <f t="shared" si="98"/>
        <v>1</v>
      </c>
      <c r="KC20" s="220">
        <f t="shared" si="99"/>
        <v>1</v>
      </c>
      <c r="KD20" s="220">
        <f t="shared" si="100"/>
        <v>1</v>
      </c>
      <c r="KE20" s="220">
        <f t="shared" si="101"/>
        <v>1</v>
      </c>
      <c r="KF20" s="220">
        <f t="shared" si="102"/>
        <v>1</v>
      </c>
      <c r="KG20" s="221">
        <f t="shared" si="103"/>
        <v>1</v>
      </c>
      <c r="KH20" s="13"/>
    </row>
    <row r="21" spans="1:294" ht="62.5" customHeight="1" thickBot="1" x14ac:dyDescent="0.4">
      <c r="A21" s="4"/>
      <c r="B21" s="58">
        <v>14</v>
      </c>
      <c r="C21" s="14" t="s">
        <v>33</v>
      </c>
      <c r="D21" s="10" t="s">
        <v>211</v>
      </c>
      <c r="E21" s="6" t="s">
        <v>2</v>
      </c>
      <c r="F21" s="5" t="s">
        <v>212</v>
      </c>
      <c r="G21" s="6" t="s">
        <v>187</v>
      </c>
      <c r="H21" s="22">
        <v>46188</v>
      </c>
      <c r="I21" s="22">
        <v>46220</v>
      </c>
      <c r="J21" s="67">
        <f t="shared" si="104"/>
        <v>33</v>
      </c>
      <c r="K21" s="22"/>
      <c r="L21" s="22"/>
      <c r="M21" s="67" t="str">
        <f>IF(AND(K21=0,L21=0),"No Progress",IF(Tbl_SM[[#This Row],[ACTUAL START]]="",0,IF(L21-K21&lt;0,"On Progress",L21-K21)))</f>
        <v>No Progress</v>
      </c>
      <c r="N21" s="21" t="str">
        <f>IF(Tbl_SM[[#This Row],[PLAN START]]="","",
IF(Tbl_SM[[#This Row],[ACTUAL FINISH]]&lt;&gt;"","CLOSE",
IF(Tbl_SM[[#This Row],[ACTUAL START]]&lt;&gt;"","ON PROGRESS",
"OPEN")))</f>
        <v>OPEN</v>
      </c>
      <c r="O21"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1" s="189">
        <f t="shared" si="12"/>
        <v>0.52666666666666595</v>
      </c>
      <c r="Q21" s="187">
        <f>IF(Tbl_SM[[#This Row],[STATUS]]="CLOSE",1,0)</f>
        <v>0</v>
      </c>
      <c r="S21" s="156">
        <v>0.05</v>
      </c>
      <c r="T21" s="157">
        <v>0.08</v>
      </c>
      <c r="U21" s="157">
        <v>0.1</v>
      </c>
      <c r="V21" s="157">
        <v>0.12666666666666701</v>
      </c>
      <c r="W21" s="157">
        <v>0.151666666666667</v>
      </c>
      <c r="X21" s="157">
        <v>0.176666666666667</v>
      </c>
      <c r="Y21" s="157">
        <v>0.20166666666666699</v>
      </c>
      <c r="Z21" s="157">
        <v>0.22666666666666699</v>
      </c>
      <c r="AA21" s="157">
        <v>0.25166666666666698</v>
      </c>
      <c r="AB21" s="157">
        <v>0.276666666666667</v>
      </c>
      <c r="AC21" s="157">
        <v>0.30166666666666703</v>
      </c>
      <c r="AD21" s="157">
        <v>0.32666666666666699</v>
      </c>
      <c r="AE21" s="157">
        <v>0.35166666666666702</v>
      </c>
      <c r="AF21" s="157">
        <v>0.37666666666666698</v>
      </c>
      <c r="AG21" s="157">
        <v>0.401666666666667</v>
      </c>
      <c r="AH21" s="157">
        <v>0.42666666666666703</v>
      </c>
      <c r="AI21" s="157">
        <v>0.45166666666666699</v>
      </c>
      <c r="AJ21" s="157">
        <v>0.47666666666666702</v>
      </c>
      <c r="AK21" s="157">
        <v>0.50166666666666704</v>
      </c>
      <c r="AL21" s="157">
        <v>0.50166666666666704</v>
      </c>
      <c r="AM21" s="157">
        <v>0.50166666666666704</v>
      </c>
      <c r="AN21" s="157">
        <v>0.50166666666666704</v>
      </c>
      <c r="AO21" s="157">
        <v>0.50166666666666704</v>
      </c>
      <c r="AP21" s="157">
        <v>0.50166666666666704</v>
      </c>
      <c r="AQ21" s="157">
        <v>0.50166666666666704</v>
      </c>
      <c r="AR21" s="157">
        <v>0.50166666666666704</v>
      </c>
      <c r="AS21" s="157">
        <v>0.50166666666666704</v>
      </c>
      <c r="AT21" s="157">
        <v>0.50166666666666704</v>
      </c>
      <c r="AU21" s="157">
        <v>0.51</v>
      </c>
      <c r="AV21" s="157">
        <v>0.51833333333333298</v>
      </c>
      <c r="AW21" s="157">
        <v>0.52666666666666595</v>
      </c>
      <c r="AX21" s="157">
        <v>0.53499999999999903</v>
      </c>
      <c r="AY21" s="157">
        <v>0.543333333333332</v>
      </c>
      <c r="AZ21" s="157">
        <v>0.55166666666666497</v>
      </c>
      <c r="BA21" s="157">
        <v>0.55999999999999805</v>
      </c>
      <c r="BB21" s="157">
        <v>0.56833333333333103</v>
      </c>
      <c r="BC21" s="157">
        <v>0.6</v>
      </c>
      <c r="BD21" s="157">
        <v>0.63</v>
      </c>
      <c r="BE21" s="157">
        <v>0.66</v>
      </c>
      <c r="BF21" s="157">
        <v>0.69</v>
      </c>
      <c r="BG21" s="157">
        <v>0.72</v>
      </c>
      <c r="BH21" s="157">
        <v>0.75</v>
      </c>
      <c r="BI21" s="157">
        <v>0.78</v>
      </c>
      <c r="BJ21" s="157">
        <v>0.81</v>
      </c>
      <c r="BK21" s="157">
        <v>0.84</v>
      </c>
      <c r="BL21" s="157">
        <v>0.87</v>
      </c>
      <c r="BM21" s="157">
        <v>0.9</v>
      </c>
      <c r="BN21" s="157">
        <v>0.93</v>
      </c>
      <c r="BO21" s="157">
        <v>0.96</v>
      </c>
      <c r="BP21" s="157">
        <v>0.99</v>
      </c>
      <c r="BQ21" s="157">
        <v>1</v>
      </c>
      <c r="BR21" s="157">
        <v>1</v>
      </c>
      <c r="BS21" s="157">
        <v>1</v>
      </c>
      <c r="BT21" s="157">
        <v>1</v>
      </c>
      <c r="BU21" s="157">
        <v>1</v>
      </c>
      <c r="BV21" s="157">
        <v>1</v>
      </c>
      <c r="BW21" s="157">
        <v>1</v>
      </c>
      <c r="BX21" s="157">
        <v>1</v>
      </c>
      <c r="BY21" s="157">
        <v>1</v>
      </c>
      <c r="BZ21" s="157">
        <v>1</v>
      </c>
      <c r="CA21" s="157">
        <v>1</v>
      </c>
      <c r="CB21" s="157">
        <v>1</v>
      </c>
      <c r="CC21" s="157">
        <v>1</v>
      </c>
      <c r="CD21" s="157">
        <v>1</v>
      </c>
      <c r="CE21" s="157">
        <v>1</v>
      </c>
      <c r="CF21" s="157">
        <v>1</v>
      </c>
      <c r="CG21" s="157">
        <v>1</v>
      </c>
      <c r="CH21" s="157">
        <v>1</v>
      </c>
      <c r="CI21" s="157">
        <v>1</v>
      </c>
      <c r="CJ21" s="157">
        <v>1</v>
      </c>
      <c r="CK21" s="157">
        <v>1</v>
      </c>
      <c r="CL21" s="157">
        <v>1</v>
      </c>
      <c r="CM21" s="157">
        <v>1</v>
      </c>
      <c r="CN21" s="157">
        <v>1</v>
      </c>
      <c r="CO21" s="157">
        <v>1</v>
      </c>
      <c r="CP21" s="157">
        <v>1</v>
      </c>
      <c r="CQ21" s="157">
        <v>1</v>
      </c>
      <c r="CR21" s="157">
        <v>1</v>
      </c>
      <c r="CS21" s="157">
        <v>1</v>
      </c>
      <c r="CT21" s="157">
        <v>1</v>
      </c>
      <c r="CU21" s="157">
        <v>1</v>
      </c>
      <c r="CV21" s="157">
        <v>1</v>
      </c>
      <c r="CW21" s="157">
        <v>1</v>
      </c>
      <c r="CX21" s="157">
        <v>1</v>
      </c>
      <c r="CY21" s="157">
        <v>1</v>
      </c>
      <c r="CZ21" s="157">
        <v>1</v>
      </c>
      <c r="DA21" s="157">
        <v>1</v>
      </c>
      <c r="DB21" s="157">
        <v>1</v>
      </c>
      <c r="DC21" s="157">
        <v>1</v>
      </c>
      <c r="DD21" s="157">
        <v>1</v>
      </c>
      <c r="DE21" s="158">
        <v>1</v>
      </c>
      <c r="DF21" s="152"/>
      <c r="DG21" s="225">
        <v>0.05</v>
      </c>
      <c r="DH21" s="162">
        <v>0.08</v>
      </c>
      <c r="DI21" s="162">
        <v>0.1</v>
      </c>
      <c r="DJ21" s="162">
        <v>0.12666666666666701</v>
      </c>
      <c r="DK21" s="162">
        <v>0.151666666666667</v>
      </c>
      <c r="DL21" s="162">
        <v>0.176666666666667</v>
      </c>
      <c r="DM21" s="162">
        <v>0.20166666666666699</v>
      </c>
      <c r="DN21" s="162">
        <v>0.22666666666666699</v>
      </c>
      <c r="DO21" s="162">
        <v>0.25166666666666698</v>
      </c>
      <c r="DP21" s="162">
        <v>0.276666666666667</v>
      </c>
      <c r="DQ21" s="162">
        <v>0.30166666666666703</v>
      </c>
      <c r="DR21" s="162">
        <v>0.32666666666666699</v>
      </c>
      <c r="DS21" s="162">
        <v>0.35166666666666702</v>
      </c>
      <c r="DT21" s="162">
        <v>0.37666666666666698</v>
      </c>
      <c r="DU21" s="162">
        <v>0.401666666666667</v>
      </c>
      <c r="DV21" s="162">
        <v>0.42666666666666703</v>
      </c>
      <c r="DW21" s="162">
        <v>0.45166666666666699</v>
      </c>
      <c r="DX21" s="162">
        <v>0.47666666666666702</v>
      </c>
      <c r="DY21" s="162">
        <v>0.50166666666666704</v>
      </c>
      <c r="DZ21" s="162">
        <v>0.50166666666666704</v>
      </c>
      <c r="EA21" s="162">
        <v>0.50166666666666704</v>
      </c>
      <c r="EB21" s="162">
        <v>0.50166666666666704</v>
      </c>
      <c r="EC21" s="162">
        <v>0.50166666666666704</v>
      </c>
      <c r="ED21" s="162">
        <v>0.50166666666666704</v>
      </c>
      <c r="EE21" s="162">
        <v>0.50166666666666704</v>
      </c>
      <c r="EF21" s="162">
        <v>0.50166666666666704</v>
      </c>
      <c r="EG21" s="162">
        <v>0.50166666666666704</v>
      </c>
      <c r="EH21" s="162">
        <v>0.50166666666666704</v>
      </c>
      <c r="EI21" s="162">
        <v>0.51</v>
      </c>
      <c r="EJ21" s="162">
        <v>0.51833333333333298</v>
      </c>
      <c r="EK21" s="162">
        <v>0.52666666666666595</v>
      </c>
      <c r="EL21" s="162">
        <v>0.53499999999999903</v>
      </c>
      <c r="EM21" s="162">
        <v>0.543333333333332</v>
      </c>
      <c r="EN21" s="162">
        <v>0.55166666666666497</v>
      </c>
      <c r="EO21" s="162">
        <v>0.55999999999999805</v>
      </c>
      <c r="EP21" s="162">
        <v>0.56833333333333103</v>
      </c>
      <c r="EQ21" s="162">
        <v>0.6</v>
      </c>
      <c r="ER21" s="162">
        <v>0.63</v>
      </c>
      <c r="ES21" s="162">
        <v>0.66</v>
      </c>
      <c r="ET21" s="162">
        <v>0.69</v>
      </c>
      <c r="EU21" s="162">
        <v>0.72</v>
      </c>
      <c r="EV21" s="162">
        <v>0.75</v>
      </c>
      <c r="EW21" s="162">
        <v>0.78</v>
      </c>
      <c r="EX21" s="162">
        <v>0.81</v>
      </c>
      <c r="EY21" s="162">
        <v>0.84</v>
      </c>
      <c r="EZ21" s="162">
        <v>0.87</v>
      </c>
      <c r="FA21" s="162">
        <v>0.9</v>
      </c>
      <c r="FB21" s="162">
        <v>0.93</v>
      </c>
      <c r="FC21" s="162">
        <v>0.96</v>
      </c>
      <c r="FD21" s="162">
        <v>0.99</v>
      </c>
      <c r="FE21" s="162">
        <v>1</v>
      </c>
      <c r="FF21" s="162">
        <v>1</v>
      </c>
      <c r="FG21" s="162">
        <v>1</v>
      </c>
      <c r="FH21" s="162">
        <v>1</v>
      </c>
      <c r="FI21" s="162">
        <v>1</v>
      </c>
      <c r="FJ21" s="162">
        <v>1</v>
      </c>
      <c r="FK21" s="162">
        <v>1</v>
      </c>
      <c r="FL21" s="162">
        <v>1</v>
      </c>
      <c r="FM21" s="162">
        <v>1</v>
      </c>
      <c r="FN21" s="162">
        <v>1</v>
      </c>
      <c r="FO21" s="162">
        <v>1</v>
      </c>
      <c r="FP21" s="162">
        <v>1</v>
      </c>
      <c r="FQ21" s="162">
        <v>1</v>
      </c>
      <c r="FR21" s="162">
        <v>1</v>
      </c>
      <c r="FS21" s="162">
        <v>1</v>
      </c>
      <c r="FT21" s="162">
        <v>1</v>
      </c>
      <c r="FU21" s="162">
        <v>1</v>
      </c>
      <c r="FV21" s="162">
        <v>1</v>
      </c>
      <c r="FW21" s="162">
        <v>1</v>
      </c>
      <c r="FX21" s="162">
        <v>1</v>
      </c>
      <c r="FY21" s="162">
        <v>1</v>
      </c>
      <c r="FZ21" s="162">
        <v>1</v>
      </c>
      <c r="GA21" s="162">
        <v>1</v>
      </c>
      <c r="GB21" s="162">
        <v>1</v>
      </c>
      <c r="GC21" s="162">
        <v>1</v>
      </c>
      <c r="GD21" s="162">
        <v>1</v>
      </c>
      <c r="GE21" s="162">
        <v>1</v>
      </c>
      <c r="GF21" s="162">
        <v>1</v>
      </c>
      <c r="GG21" s="162">
        <v>1</v>
      </c>
      <c r="GH21" s="162">
        <v>1</v>
      </c>
      <c r="GI21" s="162">
        <v>1</v>
      </c>
      <c r="GJ21" s="162">
        <v>1</v>
      </c>
      <c r="GK21" s="162">
        <v>1</v>
      </c>
      <c r="GL21" s="162">
        <v>1</v>
      </c>
      <c r="GM21" s="162">
        <v>1</v>
      </c>
      <c r="GN21" s="162">
        <v>1</v>
      </c>
      <c r="GO21" s="162">
        <v>1</v>
      </c>
      <c r="GP21" s="162">
        <v>1</v>
      </c>
      <c r="GQ21" s="162">
        <v>1</v>
      </c>
      <c r="GR21" s="162">
        <v>1</v>
      </c>
      <c r="GS21" s="218">
        <v>1</v>
      </c>
      <c r="GT21" s="31"/>
      <c r="GU21" s="219">
        <f t="shared" si="13"/>
        <v>1</v>
      </c>
      <c r="GV21" s="220">
        <f t="shared" si="14"/>
        <v>1</v>
      </c>
      <c r="GW21" s="220">
        <f t="shared" si="15"/>
        <v>1</v>
      </c>
      <c r="GX21" s="220">
        <f t="shared" si="16"/>
        <v>1</v>
      </c>
      <c r="GY21" s="220">
        <f t="shared" si="17"/>
        <v>1</v>
      </c>
      <c r="GZ21" s="220">
        <f t="shared" si="18"/>
        <v>1</v>
      </c>
      <c r="HA21" s="220">
        <f t="shared" si="19"/>
        <v>1</v>
      </c>
      <c r="HB21" s="220">
        <f t="shared" si="20"/>
        <v>1</v>
      </c>
      <c r="HC21" s="220">
        <f t="shared" si="21"/>
        <v>1</v>
      </c>
      <c r="HD21" s="220">
        <f t="shared" si="22"/>
        <v>1</v>
      </c>
      <c r="HE21" s="220">
        <f t="shared" si="23"/>
        <v>1</v>
      </c>
      <c r="HF21" s="220">
        <f t="shared" si="24"/>
        <v>1</v>
      </c>
      <c r="HG21" s="220">
        <f t="shared" si="25"/>
        <v>1</v>
      </c>
      <c r="HH21" s="220">
        <f t="shared" si="26"/>
        <v>1</v>
      </c>
      <c r="HI21" s="220">
        <f t="shared" si="27"/>
        <v>1</v>
      </c>
      <c r="HJ21" s="220">
        <f t="shared" si="28"/>
        <v>1</v>
      </c>
      <c r="HK21" s="220">
        <f t="shared" si="29"/>
        <v>1</v>
      </c>
      <c r="HL21" s="220">
        <f t="shared" si="30"/>
        <v>1</v>
      </c>
      <c r="HM21" s="220">
        <f t="shared" si="31"/>
        <v>1</v>
      </c>
      <c r="HN21" s="220">
        <f t="shared" si="32"/>
        <v>1</v>
      </c>
      <c r="HO21" s="220">
        <f t="shared" si="33"/>
        <v>1</v>
      </c>
      <c r="HP21" s="220">
        <f t="shared" si="34"/>
        <v>1</v>
      </c>
      <c r="HQ21" s="220">
        <f t="shared" si="35"/>
        <v>1</v>
      </c>
      <c r="HR21" s="220">
        <f t="shared" si="36"/>
        <v>1</v>
      </c>
      <c r="HS21" s="220">
        <f t="shared" si="37"/>
        <v>1</v>
      </c>
      <c r="HT21" s="220">
        <f t="shared" si="38"/>
        <v>1</v>
      </c>
      <c r="HU21" s="220">
        <f t="shared" si="39"/>
        <v>1</v>
      </c>
      <c r="HV21" s="220">
        <f t="shared" si="40"/>
        <v>1</v>
      </c>
      <c r="HW21" s="220">
        <f t="shared" si="41"/>
        <v>1</v>
      </c>
      <c r="HX21" s="220">
        <f t="shared" si="42"/>
        <v>1</v>
      </c>
      <c r="HY21" s="220">
        <f t="shared" si="43"/>
        <v>1</v>
      </c>
      <c r="HZ21" s="220">
        <f t="shared" si="44"/>
        <v>1</v>
      </c>
      <c r="IA21" s="220">
        <f t="shared" si="45"/>
        <v>1</v>
      </c>
      <c r="IB21" s="220">
        <f t="shared" si="46"/>
        <v>1</v>
      </c>
      <c r="IC21" s="220">
        <f t="shared" si="47"/>
        <v>1</v>
      </c>
      <c r="ID21" s="220">
        <f t="shared" si="48"/>
        <v>1</v>
      </c>
      <c r="IE21" s="220">
        <f t="shared" si="49"/>
        <v>1</v>
      </c>
      <c r="IF21" s="220">
        <f t="shared" si="50"/>
        <v>1</v>
      </c>
      <c r="IG21" s="220">
        <f t="shared" si="51"/>
        <v>1</v>
      </c>
      <c r="IH21" s="220">
        <f t="shared" si="52"/>
        <v>1</v>
      </c>
      <c r="II21" s="220">
        <f t="shared" si="53"/>
        <v>1</v>
      </c>
      <c r="IJ21" s="220">
        <f t="shared" si="54"/>
        <v>1</v>
      </c>
      <c r="IK21" s="220">
        <f t="shared" si="55"/>
        <v>1</v>
      </c>
      <c r="IL21" s="220">
        <f t="shared" si="56"/>
        <v>1</v>
      </c>
      <c r="IM21" s="220">
        <f t="shared" si="57"/>
        <v>1</v>
      </c>
      <c r="IN21" s="220">
        <f t="shared" si="58"/>
        <v>1</v>
      </c>
      <c r="IO21" s="220">
        <f t="shared" si="59"/>
        <v>1</v>
      </c>
      <c r="IP21" s="220">
        <f t="shared" si="60"/>
        <v>1</v>
      </c>
      <c r="IQ21" s="220">
        <f t="shared" si="61"/>
        <v>1</v>
      </c>
      <c r="IR21" s="220">
        <f t="shared" si="62"/>
        <v>1</v>
      </c>
      <c r="IS21" s="220">
        <f t="shared" si="63"/>
        <v>1</v>
      </c>
      <c r="IT21" s="220">
        <f t="shared" si="64"/>
        <v>1</v>
      </c>
      <c r="IU21" s="220">
        <f t="shared" si="65"/>
        <v>1</v>
      </c>
      <c r="IV21" s="220">
        <f t="shared" si="66"/>
        <v>1</v>
      </c>
      <c r="IW21" s="220">
        <f t="shared" si="67"/>
        <v>1</v>
      </c>
      <c r="IX21" s="220">
        <f t="shared" si="68"/>
        <v>1</v>
      </c>
      <c r="IY21" s="220">
        <f t="shared" si="69"/>
        <v>1</v>
      </c>
      <c r="IZ21" s="220">
        <f t="shared" si="70"/>
        <v>1</v>
      </c>
      <c r="JA21" s="220">
        <f t="shared" si="71"/>
        <v>1</v>
      </c>
      <c r="JB21" s="220">
        <f t="shared" si="72"/>
        <v>1</v>
      </c>
      <c r="JC21" s="220">
        <f t="shared" si="73"/>
        <v>1</v>
      </c>
      <c r="JD21" s="220">
        <f t="shared" si="74"/>
        <v>1</v>
      </c>
      <c r="JE21" s="220">
        <f t="shared" si="75"/>
        <v>1</v>
      </c>
      <c r="JF21" s="220">
        <f t="shared" si="76"/>
        <v>1</v>
      </c>
      <c r="JG21" s="220">
        <f t="shared" si="77"/>
        <v>1</v>
      </c>
      <c r="JH21" s="220">
        <f t="shared" si="78"/>
        <v>1</v>
      </c>
      <c r="JI21" s="220">
        <f t="shared" si="79"/>
        <v>1</v>
      </c>
      <c r="JJ21" s="220">
        <f t="shared" si="80"/>
        <v>1</v>
      </c>
      <c r="JK21" s="220">
        <f t="shared" si="81"/>
        <v>1</v>
      </c>
      <c r="JL21" s="220">
        <f t="shared" si="82"/>
        <v>1</v>
      </c>
      <c r="JM21" s="220">
        <f t="shared" si="83"/>
        <v>1</v>
      </c>
      <c r="JN21" s="220">
        <f t="shared" si="84"/>
        <v>1</v>
      </c>
      <c r="JO21" s="220">
        <f t="shared" si="85"/>
        <v>1</v>
      </c>
      <c r="JP21" s="220">
        <f t="shared" si="86"/>
        <v>1</v>
      </c>
      <c r="JQ21" s="220">
        <f t="shared" si="87"/>
        <v>1</v>
      </c>
      <c r="JR21" s="220">
        <f t="shared" si="88"/>
        <v>1</v>
      </c>
      <c r="JS21" s="220">
        <f t="shared" si="89"/>
        <v>1</v>
      </c>
      <c r="JT21" s="220">
        <f t="shared" si="90"/>
        <v>1</v>
      </c>
      <c r="JU21" s="220">
        <f t="shared" si="91"/>
        <v>1</v>
      </c>
      <c r="JV21" s="220">
        <f t="shared" si="92"/>
        <v>1</v>
      </c>
      <c r="JW21" s="220">
        <f t="shared" si="93"/>
        <v>1</v>
      </c>
      <c r="JX21" s="220">
        <f t="shared" si="94"/>
        <v>1</v>
      </c>
      <c r="JY21" s="220">
        <f t="shared" si="95"/>
        <v>1</v>
      </c>
      <c r="JZ21" s="220">
        <f t="shared" si="96"/>
        <v>1</v>
      </c>
      <c r="KA21" s="220">
        <f t="shared" si="97"/>
        <v>1</v>
      </c>
      <c r="KB21" s="220">
        <f t="shared" si="98"/>
        <v>1</v>
      </c>
      <c r="KC21" s="220">
        <f t="shared" si="99"/>
        <v>1</v>
      </c>
      <c r="KD21" s="220">
        <f t="shared" si="100"/>
        <v>1</v>
      </c>
      <c r="KE21" s="220">
        <f t="shared" si="101"/>
        <v>1</v>
      </c>
      <c r="KF21" s="220">
        <f t="shared" si="102"/>
        <v>1</v>
      </c>
      <c r="KG21" s="221">
        <f t="shared" si="103"/>
        <v>1</v>
      </c>
      <c r="KH21" s="13"/>
    </row>
    <row r="22" spans="1:294" ht="62.5" customHeight="1" thickBot="1" x14ac:dyDescent="0.4">
      <c r="A22" s="4"/>
      <c r="B22" s="58">
        <v>15</v>
      </c>
      <c r="C22" s="14" t="s">
        <v>33</v>
      </c>
      <c r="D22" s="5" t="s">
        <v>213</v>
      </c>
      <c r="E22" s="6" t="s">
        <v>3</v>
      </c>
      <c r="F22" s="5" t="s">
        <v>214</v>
      </c>
      <c r="G22" s="6" t="s">
        <v>215</v>
      </c>
      <c r="H22" s="22">
        <v>46216</v>
      </c>
      <c r="I22" s="22">
        <v>46255</v>
      </c>
      <c r="J22" s="67">
        <f t="shared" si="104"/>
        <v>40</v>
      </c>
      <c r="K22" s="22"/>
      <c r="L22" s="22"/>
      <c r="M22" s="67" t="str">
        <f>IF(AND(K22=0,L22=0),"No Progress",IF(Tbl_SM[[#This Row],[ACTUAL START]]="",0,IF(L22-K22&lt;0,"On Progress",L22-K22)))</f>
        <v>No Progress</v>
      </c>
      <c r="N22" s="21" t="str">
        <f>IF(Tbl_SM[[#This Row],[PLAN START]]="","",
IF(Tbl_SM[[#This Row],[ACTUAL FINISH]]&lt;&gt;"","CLOSE",
IF(Tbl_SM[[#This Row],[ACTUAL START]]&lt;&gt;"","ON PROGRESS",
"OPEN")))</f>
        <v>OPEN</v>
      </c>
      <c r="O22"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2" s="189">
        <f t="shared" si="12"/>
        <v>0.52666666666666595</v>
      </c>
      <c r="Q22" s="187">
        <f>IF(Tbl_SM[[#This Row],[STATUS]]="CLOSE",1,0)</f>
        <v>0</v>
      </c>
      <c r="S22" s="156">
        <v>0.05</v>
      </c>
      <c r="T22" s="157">
        <v>0.08</v>
      </c>
      <c r="U22" s="157">
        <v>0.1</v>
      </c>
      <c r="V22" s="157">
        <v>0.12666666666666701</v>
      </c>
      <c r="W22" s="157">
        <v>0.151666666666667</v>
      </c>
      <c r="X22" s="157">
        <v>0.176666666666667</v>
      </c>
      <c r="Y22" s="157">
        <v>0.20166666666666699</v>
      </c>
      <c r="Z22" s="157">
        <v>0.22666666666666699</v>
      </c>
      <c r="AA22" s="157">
        <v>0.25166666666666698</v>
      </c>
      <c r="AB22" s="157">
        <v>0.276666666666667</v>
      </c>
      <c r="AC22" s="157">
        <v>0.30166666666666703</v>
      </c>
      <c r="AD22" s="157">
        <v>0.32666666666666699</v>
      </c>
      <c r="AE22" s="157">
        <v>0.35166666666666702</v>
      </c>
      <c r="AF22" s="157">
        <v>0.37666666666666698</v>
      </c>
      <c r="AG22" s="157">
        <v>0.401666666666667</v>
      </c>
      <c r="AH22" s="157">
        <v>0.42666666666666703</v>
      </c>
      <c r="AI22" s="157">
        <v>0.45166666666666699</v>
      </c>
      <c r="AJ22" s="157">
        <v>0.47666666666666702</v>
      </c>
      <c r="AK22" s="157">
        <v>0.50166666666666704</v>
      </c>
      <c r="AL22" s="157">
        <v>0.50166666666666704</v>
      </c>
      <c r="AM22" s="157">
        <v>0.50166666666666704</v>
      </c>
      <c r="AN22" s="157">
        <v>0.50166666666666704</v>
      </c>
      <c r="AO22" s="157">
        <v>0.50166666666666704</v>
      </c>
      <c r="AP22" s="157">
        <v>0.50166666666666704</v>
      </c>
      <c r="AQ22" s="157">
        <v>0.50166666666666704</v>
      </c>
      <c r="AR22" s="157">
        <v>0.50166666666666704</v>
      </c>
      <c r="AS22" s="157">
        <v>0.50166666666666704</v>
      </c>
      <c r="AT22" s="157">
        <v>0.50166666666666704</v>
      </c>
      <c r="AU22" s="157">
        <v>0.51</v>
      </c>
      <c r="AV22" s="157">
        <v>0.51833333333333298</v>
      </c>
      <c r="AW22" s="157">
        <v>0.52666666666666595</v>
      </c>
      <c r="AX22" s="157">
        <v>0.53499999999999903</v>
      </c>
      <c r="AY22" s="157">
        <v>0.543333333333332</v>
      </c>
      <c r="AZ22" s="157">
        <v>0.55166666666666497</v>
      </c>
      <c r="BA22" s="157">
        <v>0.55999999999999805</v>
      </c>
      <c r="BB22" s="157">
        <v>0.56833333333333103</v>
      </c>
      <c r="BC22" s="157">
        <v>0.6</v>
      </c>
      <c r="BD22" s="157">
        <v>0.63</v>
      </c>
      <c r="BE22" s="157">
        <v>0.66</v>
      </c>
      <c r="BF22" s="157">
        <v>0.69</v>
      </c>
      <c r="BG22" s="157">
        <v>0.72</v>
      </c>
      <c r="BH22" s="157">
        <v>0.75</v>
      </c>
      <c r="BI22" s="157">
        <v>0.78</v>
      </c>
      <c r="BJ22" s="157">
        <v>0.81</v>
      </c>
      <c r="BK22" s="157">
        <v>0.84</v>
      </c>
      <c r="BL22" s="157">
        <v>0.87</v>
      </c>
      <c r="BM22" s="157">
        <v>0.9</v>
      </c>
      <c r="BN22" s="157">
        <v>0.93</v>
      </c>
      <c r="BO22" s="157">
        <v>0.96</v>
      </c>
      <c r="BP22" s="157">
        <v>0.99</v>
      </c>
      <c r="BQ22" s="157">
        <v>1</v>
      </c>
      <c r="BR22" s="157">
        <v>1</v>
      </c>
      <c r="BS22" s="157">
        <v>1</v>
      </c>
      <c r="BT22" s="157">
        <v>1</v>
      </c>
      <c r="BU22" s="157">
        <v>1</v>
      </c>
      <c r="BV22" s="157">
        <v>1</v>
      </c>
      <c r="BW22" s="157">
        <v>1</v>
      </c>
      <c r="BX22" s="157">
        <v>1</v>
      </c>
      <c r="BY22" s="157">
        <v>1</v>
      </c>
      <c r="BZ22" s="157">
        <v>1</v>
      </c>
      <c r="CA22" s="157">
        <v>1</v>
      </c>
      <c r="CB22" s="157">
        <v>1</v>
      </c>
      <c r="CC22" s="157">
        <v>1</v>
      </c>
      <c r="CD22" s="157">
        <v>1</v>
      </c>
      <c r="CE22" s="157">
        <v>1</v>
      </c>
      <c r="CF22" s="157">
        <v>1</v>
      </c>
      <c r="CG22" s="157">
        <v>1</v>
      </c>
      <c r="CH22" s="157">
        <v>1</v>
      </c>
      <c r="CI22" s="157">
        <v>1</v>
      </c>
      <c r="CJ22" s="157">
        <v>1</v>
      </c>
      <c r="CK22" s="157">
        <v>1</v>
      </c>
      <c r="CL22" s="157">
        <v>1</v>
      </c>
      <c r="CM22" s="157">
        <v>1</v>
      </c>
      <c r="CN22" s="157">
        <v>1</v>
      </c>
      <c r="CO22" s="157">
        <v>1</v>
      </c>
      <c r="CP22" s="157">
        <v>1</v>
      </c>
      <c r="CQ22" s="157">
        <v>1</v>
      </c>
      <c r="CR22" s="157">
        <v>1</v>
      </c>
      <c r="CS22" s="157">
        <v>1</v>
      </c>
      <c r="CT22" s="157">
        <v>1</v>
      </c>
      <c r="CU22" s="157">
        <v>1</v>
      </c>
      <c r="CV22" s="157">
        <v>1</v>
      </c>
      <c r="CW22" s="157">
        <v>1</v>
      </c>
      <c r="CX22" s="157">
        <v>1</v>
      </c>
      <c r="CY22" s="157">
        <v>1</v>
      </c>
      <c r="CZ22" s="157">
        <v>1</v>
      </c>
      <c r="DA22" s="157">
        <v>1</v>
      </c>
      <c r="DB22" s="157">
        <v>1</v>
      </c>
      <c r="DC22" s="157">
        <v>1</v>
      </c>
      <c r="DD22" s="157">
        <v>1</v>
      </c>
      <c r="DE22" s="158">
        <v>1</v>
      </c>
      <c r="DF22" s="152"/>
      <c r="DG22" s="225">
        <v>0.05</v>
      </c>
      <c r="DH22" s="162">
        <v>0.08</v>
      </c>
      <c r="DI22" s="162">
        <v>0.1</v>
      </c>
      <c r="DJ22" s="162">
        <v>0.12666666666666701</v>
      </c>
      <c r="DK22" s="162">
        <v>0.151666666666667</v>
      </c>
      <c r="DL22" s="162">
        <v>0.176666666666667</v>
      </c>
      <c r="DM22" s="162">
        <v>0.20166666666666699</v>
      </c>
      <c r="DN22" s="162">
        <v>0.22666666666666699</v>
      </c>
      <c r="DO22" s="162">
        <v>0.25166666666666698</v>
      </c>
      <c r="DP22" s="162">
        <v>0.276666666666667</v>
      </c>
      <c r="DQ22" s="162">
        <v>0.30166666666666703</v>
      </c>
      <c r="DR22" s="162">
        <v>0.32666666666666699</v>
      </c>
      <c r="DS22" s="162">
        <v>0.35166666666666702</v>
      </c>
      <c r="DT22" s="162">
        <v>0.37666666666666698</v>
      </c>
      <c r="DU22" s="162">
        <v>0.401666666666667</v>
      </c>
      <c r="DV22" s="162">
        <v>0.42666666666666703</v>
      </c>
      <c r="DW22" s="162">
        <v>0.45166666666666699</v>
      </c>
      <c r="DX22" s="162">
        <v>0.47666666666666702</v>
      </c>
      <c r="DY22" s="162">
        <v>0.50166666666666704</v>
      </c>
      <c r="DZ22" s="162">
        <v>0.50166666666666704</v>
      </c>
      <c r="EA22" s="162">
        <v>0.50166666666666704</v>
      </c>
      <c r="EB22" s="162">
        <v>0.50166666666666704</v>
      </c>
      <c r="EC22" s="162">
        <v>0.50166666666666704</v>
      </c>
      <c r="ED22" s="162">
        <v>0.50166666666666704</v>
      </c>
      <c r="EE22" s="162">
        <v>0.50166666666666704</v>
      </c>
      <c r="EF22" s="162">
        <v>0.50166666666666704</v>
      </c>
      <c r="EG22" s="162">
        <v>0.50166666666666704</v>
      </c>
      <c r="EH22" s="162">
        <v>0.50166666666666704</v>
      </c>
      <c r="EI22" s="162">
        <v>0.51</v>
      </c>
      <c r="EJ22" s="162">
        <v>0.51833333333333298</v>
      </c>
      <c r="EK22" s="162">
        <v>0.52666666666666595</v>
      </c>
      <c r="EL22" s="162">
        <v>0.53499999999999903</v>
      </c>
      <c r="EM22" s="162">
        <v>0.543333333333332</v>
      </c>
      <c r="EN22" s="162">
        <v>0.55166666666666497</v>
      </c>
      <c r="EO22" s="162">
        <v>0.55999999999999805</v>
      </c>
      <c r="EP22" s="162">
        <v>0.56833333333333103</v>
      </c>
      <c r="EQ22" s="162">
        <v>0.6</v>
      </c>
      <c r="ER22" s="162">
        <v>0.63</v>
      </c>
      <c r="ES22" s="162">
        <v>0.66</v>
      </c>
      <c r="ET22" s="162">
        <v>0.69</v>
      </c>
      <c r="EU22" s="162">
        <v>0.72</v>
      </c>
      <c r="EV22" s="162">
        <v>0.75</v>
      </c>
      <c r="EW22" s="162">
        <v>0.78</v>
      </c>
      <c r="EX22" s="162">
        <v>0.81</v>
      </c>
      <c r="EY22" s="162">
        <v>0.84</v>
      </c>
      <c r="EZ22" s="162">
        <v>0.87</v>
      </c>
      <c r="FA22" s="162">
        <v>0.9</v>
      </c>
      <c r="FB22" s="162">
        <v>0.93</v>
      </c>
      <c r="FC22" s="162">
        <v>0.96</v>
      </c>
      <c r="FD22" s="162">
        <v>0.99</v>
      </c>
      <c r="FE22" s="162">
        <v>1</v>
      </c>
      <c r="FF22" s="162">
        <v>1</v>
      </c>
      <c r="FG22" s="162">
        <v>1</v>
      </c>
      <c r="FH22" s="162">
        <v>1</v>
      </c>
      <c r="FI22" s="162">
        <v>1</v>
      </c>
      <c r="FJ22" s="162">
        <v>1</v>
      </c>
      <c r="FK22" s="162">
        <v>1</v>
      </c>
      <c r="FL22" s="162">
        <v>1</v>
      </c>
      <c r="FM22" s="162">
        <v>1</v>
      </c>
      <c r="FN22" s="162">
        <v>1</v>
      </c>
      <c r="FO22" s="162">
        <v>1</v>
      </c>
      <c r="FP22" s="162">
        <v>1</v>
      </c>
      <c r="FQ22" s="162">
        <v>1</v>
      </c>
      <c r="FR22" s="162">
        <v>1</v>
      </c>
      <c r="FS22" s="162">
        <v>1</v>
      </c>
      <c r="FT22" s="162">
        <v>1</v>
      </c>
      <c r="FU22" s="162">
        <v>1</v>
      </c>
      <c r="FV22" s="162">
        <v>1</v>
      </c>
      <c r="FW22" s="162">
        <v>1</v>
      </c>
      <c r="FX22" s="162">
        <v>1</v>
      </c>
      <c r="FY22" s="162">
        <v>1</v>
      </c>
      <c r="FZ22" s="162">
        <v>1</v>
      </c>
      <c r="GA22" s="162">
        <v>1</v>
      </c>
      <c r="GB22" s="162">
        <v>1</v>
      </c>
      <c r="GC22" s="162">
        <v>1</v>
      </c>
      <c r="GD22" s="162">
        <v>1</v>
      </c>
      <c r="GE22" s="162">
        <v>1</v>
      </c>
      <c r="GF22" s="162">
        <v>1</v>
      </c>
      <c r="GG22" s="162">
        <v>1</v>
      </c>
      <c r="GH22" s="162">
        <v>1</v>
      </c>
      <c r="GI22" s="162">
        <v>1</v>
      </c>
      <c r="GJ22" s="162">
        <v>1</v>
      </c>
      <c r="GK22" s="162">
        <v>1</v>
      </c>
      <c r="GL22" s="162">
        <v>1</v>
      </c>
      <c r="GM22" s="162">
        <v>1</v>
      </c>
      <c r="GN22" s="162">
        <v>1</v>
      </c>
      <c r="GO22" s="162">
        <v>1</v>
      </c>
      <c r="GP22" s="162">
        <v>1</v>
      </c>
      <c r="GQ22" s="162">
        <v>1</v>
      </c>
      <c r="GR22" s="162">
        <v>1</v>
      </c>
      <c r="GS22" s="218">
        <v>1</v>
      </c>
      <c r="GT22" s="31"/>
      <c r="GU22" s="219">
        <f t="shared" si="13"/>
        <v>1</v>
      </c>
      <c r="GV22" s="220">
        <f t="shared" si="14"/>
        <v>1</v>
      </c>
      <c r="GW22" s="220">
        <f t="shared" si="15"/>
        <v>1</v>
      </c>
      <c r="GX22" s="220">
        <f t="shared" si="16"/>
        <v>1</v>
      </c>
      <c r="GY22" s="220">
        <f t="shared" si="17"/>
        <v>1</v>
      </c>
      <c r="GZ22" s="220">
        <f t="shared" si="18"/>
        <v>1</v>
      </c>
      <c r="HA22" s="220">
        <f t="shared" si="19"/>
        <v>1</v>
      </c>
      <c r="HB22" s="220">
        <f t="shared" si="20"/>
        <v>1</v>
      </c>
      <c r="HC22" s="220">
        <f t="shared" si="21"/>
        <v>1</v>
      </c>
      <c r="HD22" s="220">
        <f t="shared" si="22"/>
        <v>1</v>
      </c>
      <c r="HE22" s="220">
        <f t="shared" si="23"/>
        <v>1</v>
      </c>
      <c r="HF22" s="220">
        <f t="shared" si="24"/>
        <v>1</v>
      </c>
      <c r="HG22" s="220">
        <f t="shared" si="25"/>
        <v>1</v>
      </c>
      <c r="HH22" s="220">
        <f t="shared" si="26"/>
        <v>1</v>
      </c>
      <c r="HI22" s="220">
        <f t="shared" si="27"/>
        <v>1</v>
      </c>
      <c r="HJ22" s="220">
        <f t="shared" si="28"/>
        <v>1</v>
      </c>
      <c r="HK22" s="220">
        <f t="shared" si="29"/>
        <v>1</v>
      </c>
      <c r="HL22" s="220">
        <f t="shared" si="30"/>
        <v>1</v>
      </c>
      <c r="HM22" s="220">
        <f t="shared" si="31"/>
        <v>1</v>
      </c>
      <c r="HN22" s="220">
        <f t="shared" si="32"/>
        <v>1</v>
      </c>
      <c r="HO22" s="220">
        <f t="shared" si="33"/>
        <v>1</v>
      </c>
      <c r="HP22" s="220">
        <f t="shared" si="34"/>
        <v>1</v>
      </c>
      <c r="HQ22" s="220">
        <f t="shared" si="35"/>
        <v>1</v>
      </c>
      <c r="HR22" s="220">
        <f t="shared" si="36"/>
        <v>1</v>
      </c>
      <c r="HS22" s="220">
        <f t="shared" si="37"/>
        <v>1</v>
      </c>
      <c r="HT22" s="220">
        <f t="shared" si="38"/>
        <v>1</v>
      </c>
      <c r="HU22" s="220">
        <f t="shared" si="39"/>
        <v>1</v>
      </c>
      <c r="HV22" s="220">
        <f t="shared" si="40"/>
        <v>1</v>
      </c>
      <c r="HW22" s="220">
        <f t="shared" si="41"/>
        <v>1</v>
      </c>
      <c r="HX22" s="220">
        <f t="shared" si="42"/>
        <v>1</v>
      </c>
      <c r="HY22" s="220">
        <f t="shared" si="43"/>
        <v>1</v>
      </c>
      <c r="HZ22" s="220">
        <f t="shared" si="44"/>
        <v>1</v>
      </c>
      <c r="IA22" s="220">
        <f t="shared" si="45"/>
        <v>1</v>
      </c>
      <c r="IB22" s="220">
        <f t="shared" si="46"/>
        <v>1</v>
      </c>
      <c r="IC22" s="220">
        <f t="shared" si="47"/>
        <v>1</v>
      </c>
      <c r="ID22" s="220">
        <f t="shared" si="48"/>
        <v>1</v>
      </c>
      <c r="IE22" s="220">
        <f t="shared" si="49"/>
        <v>1</v>
      </c>
      <c r="IF22" s="220">
        <f t="shared" si="50"/>
        <v>1</v>
      </c>
      <c r="IG22" s="220">
        <f t="shared" si="51"/>
        <v>1</v>
      </c>
      <c r="IH22" s="220">
        <f t="shared" si="52"/>
        <v>1</v>
      </c>
      <c r="II22" s="220">
        <f t="shared" si="53"/>
        <v>1</v>
      </c>
      <c r="IJ22" s="220">
        <f t="shared" si="54"/>
        <v>1</v>
      </c>
      <c r="IK22" s="220">
        <f t="shared" si="55"/>
        <v>1</v>
      </c>
      <c r="IL22" s="220">
        <f t="shared" si="56"/>
        <v>1</v>
      </c>
      <c r="IM22" s="220">
        <f t="shared" si="57"/>
        <v>1</v>
      </c>
      <c r="IN22" s="220">
        <f t="shared" si="58"/>
        <v>1</v>
      </c>
      <c r="IO22" s="220">
        <f t="shared" si="59"/>
        <v>1</v>
      </c>
      <c r="IP22" s="220">
        <f t="shared" si="60"/>
        <v>1</v>
      </c>
      <c r="IQ22" s="220">
        <f t="shared" si="61"/>
        <v>1</v>
      </c>
      <c r="IR22" s="220">
        <f t="shared" si="62"/>
        <v>1</v>
      </c>
      <c r="IS22" s="220">
        <f t="shared" si="63"/>
        <v>1</v>
      </c>
      <c r="IT22" s="220">
        <f t="shared" si="64"/>
        <v>1</v>
      </c>
      <c r="IU22" s="220">
        <f t="shared" si="65"/>
        <v>1</v>
      </c>
      <c r="IV22" s="220">
        <f t="shared" si="66"/>
        <v>1</v>
      </c>
      <c r="IW22" s="220">
        <f t="shared" si="67"/>
        <v>1</v>
      </c>
      <c r="IX22" s="220">
        <f t="shared" si="68"/>
        <v>1</v>
      </c>
      <c r="IY22" s="220">
        <f t="shared" si="69"/>
        <v>1</v>
      </c>
      <c r="IZ22" s="220">
        <f t="shared" si="70"/>
        <v>1</v>
      </c>
      <c r="JA22" s="220">
        <f t="shared" si="71"/>
        <v>1</v>
      </c>
      <c r="JB22" s="220">
        <f t="shared" si="72"/>
        <v>1</v>
      </c>
      <c r="JC22" s="220">
        <f t="shared" si="73"/>
        <v>1</v>
      </c>
      <c r="JD22" s="220">
        <f t="shared" si="74"/>
        <v>1</v>
      </c>
      <c r="JE22" s="220">
        <f t="shared" si="75"/>
        <v>1</v>
      </c>
      <c r="JF22" s="220">
        <f t="shared" si="76"/>
        <v>1</v>
      </c>
      <c r="JG22" s="220">
        <f t="shared" si="77"/>
        <v>1</v>
      </c>
      <c r="JH22" s="220">
        <f t="shared" si="78"/>
        <v>1</v>
      </c>
      <c r="JI22" s="220">
        <f t="shared" si="79"/>
        <v>1</v>
      </c>
      <c r="JJ22" s="220">
        <f t="shared" si="80"/>
        <v>1</v>
      </c>
      <c r="JK22" s="220">
        <f t="shared" si="81"/>
        <v>1</v>
      </c>
      <c r="JL22" s="220">
        <f t="shared" si="82"/>
        <v>1</v>
      </c>
      <c r="JM22" s="220">
        <f t="shared" si="83"/>
        <v>1</v>
      </c>
      <c r="JN22" s="220">
        <f t="shared" si="84"/>
        <v>1</v>
      </c>
      <c r="JO22" s="220">
        <f t="shared" si="85"/>
        <v>1</v>
      </c>
      <c r="JP22" s="220">
        <f t="shared" si="86"/>
        <v>1</v>
      </c>
      <c r="JQ22" s="220">
        <f t="shared" si="87"/>
        <v>1</v>
      </c>
      <c r="JR22" s="220">
        <f t="shared" si="88"/>
        <v>1</v>
      </c>
      <c r="JS22" s="220">
        <f t="shared" si="89"/>
        <v>1</v>
      </c>
      <c r="JT22" s="220">
        <f t="shared" si="90"/>
        <v>1</v>
      </c>
      <c r="JU22" s="220">
        <f t="shared" si="91"/>
        <v>1</v>
      </c>
      <c r="JV22" s="220">
        <f t="shared" si="92"/>
        <v>1</v>
      </c>
      <c r="JW22" s="220">
        <f t="shared" si="93"/>
        <v>1</v>
      </c>
      <c r="JX22" s="220">
        <f t="shared" si="94"/>
        <v>1</v>
      </c>
      <c r="JY22" s="220">
        <f t="shared" si="95"/>
        <v>1</v>
      </c>
      <c r="JZ22" s="220">
        <f t="shared" si="96"/>
        <v>1</v>
      </c>
      <c r="KA22" s="220">
        <f t="shared" si="97"/>
        <v>1</v>
      </c>
      <c r="KB22" s="220">
        <f t="shared" si="98"/>
        <v>1</v>
      </c>
      <c r="KC22" s="220">
        <f t="shared" si="99"/>
        <v>1</v>
      </c>
      <c r="KD22" s="220">
        <f t="shared" si="100"/>
        <v>1</v>
      </c>
      <c r="KE22" s="220">
        <f t="shared" si="101"/>
        <v>1</v>
      </c>
      <c r="KF22" s="220">
        <f t="shared" si="102"/>
        <v>1</v>
      </c>
      <c r="KG22" s="221">
        <f t="shared" si="103"/>
        <v>1</v>
      </c>
      <c r="KH22" s="13"/>
    </row>
    <row r="23" spans="1:294" ht="62.5" customHeight="1" thickBot="1" x14ac:dyDescent="0.4">
      <c r="A23" s="4"/>
      <c r="B23" s="58">
        <v>16</v>
      </c>
      <c r="C23" s="14" t="s">
        <v>32</v>
      </c>
      <c r="D23" s="20" t="s">
        <v>216</v>
      </c>
      <c r="E23" s="6" t="s">
        <v>2</v>
      </c>
      <c r="F23" s="5" t="s">
        <v>217</v>
      </c>
      <c r="G23" s="6" t="s">
        <v>172</v>
      </c>
      <c r="H23" s="22">
        <v>46181</v>
      </c>
      <c r="I23" s="22">
        <v>46206</v>
      </c>
      <c r="J23" s="67">
        <f t="shared" si="104"/>
        <v>26</v>
      </c>
      <c r="K23" s="22"/>
      <c r="L23" s="22"/>
      <c r="M23" s="67" t="str">
        <f>IF(AND(K23=0,L23=0),"No Progress",IF(Tbl_SM[[#This Row],[ACTUAL START]]="",0,IF(L23-K23&lt;0,"On Progress",L23-K23)))</f>
        <v>No Progress</v>
      </c>
      <c r="N23" s="21" t="str">
        <f>IF(Tbl_SM[[#This Row],[PLAN START]]="","",
IF(Tbl_SM[[#This Row],[ACTUAL FINISH]]&lt;&gt;"","CLOSE",
IF(Tbl_SM[[#This Row],[ACTUAL START]]&lt;&gt;"","ON PROGRESS",
"OPEN")))</f>
        <v>OPEN</v>
      </c>
      <c r="O23"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3" s="189">
        <f t="shared" si="12"/>
        <v>0.52666666666666595</v>
      </c>
      <c r="Q23" s="187">
        <f>IF(Tbl_SM[[#This Row],[STATUS]]="CLOSE",1,0)</f>
        <v>0</v>
      </c>
      <c r="S23" s="156">
        <v>0.05</v>
      </c>
      <c r="T23" s="157">
        <v>0.08</v>
      </c>
      <c r="U23" s="157">
        <v>0.1</v>
      </c>
      <c r="V23" s="157">
        <v>0.12666666666666701</v>
      </c>
      <c r="W23" s="157">
        <v>0.151666666666667</v>
      </c>
      <c r="X23" s="157">
        <v>0.176666666666667</v>
      </c>
      <c r="Y23" s="157">
        <v>0.20166666666666699</v>
      </c>
      <c r="Z23" s="157">
        <v>0.22666666666666699</v>
      </c>
      <c r="AA23" s="157">
        <v>0.25166666666666698</v>
      </c>
      <c r="AB23" s="157">
        <v>0.276666666666667</v>
      </c>
      <c r="AC23" s="157">
        <v>0.30166666666666703</v>
      </c>
      <c r="AD23" s="157">
        <v>0.32666666666666699</v>
      </c>
      <c r="AE23" s="157">
        <v>0.35166666666666702</v>
      </c>
      <c r="AF23" s="157">
        <v>0.37666666666666698</v>
      </c>
      <c r="AG23" s="157">
        <v>0.401666666666667</v>
      </c>
      <c r="AH23" s="157">
        <v>0.42666666666666703</v>
      </c>
      <c r="AI23" s="157">
        <v>0.45166666666666699</v>
      </c>
      <c r="AJ23" s="157">
        <v>0.47666666666666702</v>
      </c>
      <c r="AK23" s="157">
        <v>0.50166666666666704</v>
      </c>
      <c r="AL23" s="157">
        <v>0.50166666666666704</v>
      </c>
      <c r="AM23" s="157">
        <v>0.50166666666666704</v>
      </c>
      <c r="AN23" s="157">
        <v>0.50166666666666704</v>
      </c>
      <c r="AO23" s="157">
        <v>0.50166666666666704</v>
      </c>
      <c r="AP23" s="157">
        <v>0.50166666666666704</v>
      </c>
      <c r="AQ23" s="157">
        <v>0.50166666666666704</v>
      </c>
      <c r="AR23" s="157">
        <v>0.50166666666666704</v>
      </c>
      <c r="AS23" s="157">
        <v>0.50166666666666704</v>
      </c>
      <c r="AT23" s="157">
        <v>0.50166666666666704</v>
      </c>
      <c r="AU23" s="157">
        <v>0.51</v>
      </c>
      <c r="AV23" s="157">
        <v>0.51833333333333298</v>
      </c>
      <c r="AW23" s="157">
        <v>0.52666666666666595</v>
      </c>
      <c r="AX23" s="157">
        <v>0.53499999999999903</v>
      </c>
      <c r="AY23" s="157">
        <v>0.543333333333332</v>
      </c>
      <c r="AZ23" s="157">
        <v>0.55166666666666497</v>
      </c>
      <c r="BA23" s="157">
        <v>0.55999999999999805</v>
      </c>
      <c r="BB23" s="157">
        <v>0.56833333333333103</v>
      </c>
      <c r="BC23" s="157">
        <v>0.6</v>
      </c>
      <c r="BD23" s="157">
        <v>0.63</v>
      </c>
      <c r="BE23" s="157">
        <v>0.66</v>
      </c>
      <c r="BF23" s="157">
        <v>0.69</v>
      </c>
      <c r="BG23" s="157">
        <v>0.72</v>
      </c>
      <c r="BH23" s="157">
        <v>0.75</v>
      </c>
      <c r="BI23" s="157">
        <v>0.78</v>
      </c>
      <c r="BJ23" s="157">
        <v>0.81</v>
      </c>
      <c r="BK23" s="157">
        <v>0.84</v>
      </c>
      <c r="BL23" s="157">
        <v>0.87</v>
      </c>
      <c r="BM23" s="157">
        <v>0.9</v>
      </c>
      <c r="BN23" s="157">
        <v>0.93</v>
      </c>
      <c r="BO23" s="157">
        <v>0.96</v>
      </c>
      <c r="BP23" s="157">
        <v>0.99</v>
      </c>
      <c r="BQ23" s="157">
        <v>1</v>
      </c>
      <c r="BR23" s="157">
        <v>1</v>
      </c>
      <c r="BS23" s="157">
        <v>1</v>
      </c>
      <c r="BT23" s="157">
        <v>1</v>
      </c>
      <c r="BU23" s="157">
        <v>1</v>
      </c>
      <c r="BV23" s="157">
        <v>1</v>
      </c>
      <c r="BW23" s="157">
        <v>1</v>
      </c>
      <c r="BX23" s="157">
        <v>1</v>
      </c>
      <c r="BY23" s="157">
        <v>1</v>
      </c>
      <c r="BZ23" s="157">
        <v>1</v>
      </c>
      <c r="CA23" s="157">
        <v>1</v>
      </c>
      <c r="CB23" s="157">
        <v>1</v>
      </c>
      <c r="CC23" s="157">
        <v>1</v>
      </c>
      <c r="CD23" s="157">
        <v>1</v>
      </c>
      <c r="CE23" s="157">
        <v>1</v>
      </c>
      <c r="CF23" s="157">
        <v>1</v>
      </c>
      <c r="CG23" s="157">
        <v>1</v>
      </c>
      <c r="CH23" s="157">
        <v>1</v>
      </c>
      <c r="CI23" s="157">
        <v>1</v>
      </c>
      <c r="CJ23" s="157">
        <v>1</v>
      </c>
      <c r="CK23" s="157">
        <v>1</v>
      </c>
      <c r="CL23" s="157">
        <v>1</v>
      </c>
      <c r="CM23" s="157">
        <v>1</v>
      </c>
      <c r="CN23" s="157">
        <v>1</v>
      </c>
      <c r="CO23" s="157">
        <v>1</v>
      </c>
      <c r="CP23" s="157">
        <v>1</v>
      </c>
      <c r="CQ23" s="157">
        <v>1</v>
      </c>
      <c r="CR23" s="157">
        <v>1</v>
      </c>
      <c r="CS23" s="157">
        <v>1</v>
      </c>
      <c r="CT23" s="157">
        <v>1</v>
      </c>
      <c r="CU23" s="157">
        <v>1</v>
      </c>
      <c r="CV23" s="157">
        <v>1</v>
      </c>
      <c r="CW23" s="157">
        <v>1</v>
      </c>
      <c r="CX23" s="157">
        <v>1</v>
      </c>
      <c r="CY23" s="157">
        <v>1</v>
      </c>
      <c r="CZ23" s="157">
        <v>1</v>
      </c>
      <c r="DA23" s="157">
        <v>1</v>
      </c>
      <c r="DB23" s="157">
        <v>1</v>
      </c>
      <c r="DC23" s="157">
        <v>1</v>
      </c>
      <c r="DD23" s="157">
        <v>1</v>
      </c>
      <c r="DE23" s="158">
        <v>1</v>
      </c>
      <c r="DF23" s="152"/>
      <c r="DG23" s="225">
        <v>0.05</v>
      </c>
      <c r="DH23" s="162">
        <v>0.08</v>
      </c>
      <c r="DI23" s="162">
        <v>0.1</v>
      </c>
      <c r="DJ23" s="162">
        <v>0.12666666666666701</v>
      </c>
      <c r="DK23" s="162">
        <v>0.151666666666667</v>
      </c>
      <c r="DL23" s="162">
        <v>0.176666666666667</v>
      </c>
      <c r="DM23" s="162">
        <v>0.20166666666666699</v>
      </c>
      <c r="DN23" s="162">
        <v>0.22666666666666699</v>
      </c>
      <c r="DO23" s="162">
        <v>0.25166666666666698</v>
      </c>
      <c r="DP23" s="162">
        <v>0.276666666666667</v>
      </c>
      <c r="DQ23" s="162">
        <v>0.30166666666666703</v>
      </c>
      <c r="DR23" s="162">
        <v>0.32666666666666699</v>
      </c>
      <c r="DS23" s="162">
        <v>0.35166666666666702</v>
      </c>
      <c r="DT23" s="162">
        <v>0.37666666666666698</v>
      </c>
      <c r="DU23" s="162">
        <v>0.401666666666667</v>
      </c>
      <c r="DV23" s="162">
        <v>0.42666666666666703</v>
      </c>
      <c r="DW23" s="162">
        <v>0.45166666666666699</v>
      </c>
      <c r="DX23" s="162">
        <v>0.47666666666666702</v>
      </c>
      <c r="DY23" s="162">
        <v>0.50166666666666704</v>
      </c>
      <c r="DZ23" s="162">
        <v>0.50166666666666704</v>
      </c>
      <c r="EA23" s="162">
        <v>0.50166666666666704</v>
      </c>
      <c r="EB23" s="162">
        <v>0.50166666666666704</v>
      </c>
      <c r="EC23" s="162">
        <v>0.50166666666666704</v>
      </c>
      <c r="ED23" s="162">
        <v>0.50166666666666704</v>
      </c>
      <c r="EE23" s="162">
        <v>0.50166666666666704</v>
      </c>
      <c r="EF23" s="162">
        <v>0.50166666666666704</v>
      </c>
      <c r="EG23" s="162">
        <v>0.50166666666666704</v>
      </c>
      <c r="EH23" s="162">
        <v>0.50166666666666704</v>
      </c>
      <c r="EI23" s="162">
        <v>0.51</v>
      </c>
      <c r="EJ23" s="162">
        <v>0.51833333333333298</v>
      </c>
      <c r="EK23" s="162">
        <v>0.52666666666666595</v>
      </c>
      <c r="EL23" s="162">
        <v>0.53499999999999903</v>
      </c>
      <c r="EM23" s="162">
        <v>0.543333333333332</v>
      </c>
      <c r="EN23" s="162">
        <v>0.55166666666666497</v>
      </c>
      <c r="EO23" s="162">
        <v>0.55999999999999805</v>
      </c>
      <c r="EP23" s="162">
        <v>0.56833333333333103</v>
      </c>
      <c r="EQ23" s="162">
        <v>0.6</v>
      </c>
      <c r="ER23" s="162">
        <v>0.63</v>
      </c>
      <c r="ES23" s="162">
        <v>0.66</v>
      </c>
      <c r="ET23" s="162">
        <v>0.69</v>
      </c>
      <c r="EU23" s="162">
        <v>0.72</v>
      </c>
      <c r="EV23" s="162">
        <v>0.75</v>
      </c>
      <c r="EW23" s="162">
        <v>0.78</v>
      </c>
      <c r="EX23" s="162">
        <v>0.81</v>
      </c>
      <c r="EY23" s="162">
        <v>0.84</v>
      </c>
      <c r="EZ23" s="162">
        <v>0.87</v>
      </c>
      <c r="FA23" s="162">
        <v>0.9</v>
      </c>
      <c r="FB23" s="162">
        <v>0.93</v>
      </c>
      <c r="FC23" s="162">
        <v>0.96</v>
      </c>
      <c r="FD23" s="162">
        <v>0.99</v>
      </c>
      <c r="FE23" s="162">
        <v>1</v>
      </c>
      <c r="FF23" s="162">
        <v>1</v>
      </c>
      <c r="FG23" s="162">
        <v>1</v>
      </c>
      <c r="FH23" s="162">
        <v>1</v>
      </c>
      <c r="FI23" s="162">
        <v>1</v>
      </c>
      <c r="FJ23" s="162">
        <v>1</v>
      </c>
      <c r="FK23" s="162">
        <v>1</v>
      </c>
      <c r="FL23" s="162">
        <v>1</v>
      </c>
      <c r="FM23" s="162">
        <v>1</v>
      </c>
      <c r="FN23" s="162">
        <v>1</v>
      </c>
      <c r="FO23" s="162">
        <v>1</v>
      </c>
      <c r="FP23" s="162">
        <v>1</v>
      </c>
      <c r="FQ23" s="162">
        <v>1</v>
      </c>
      <c r="FR23" s="162">
        <v>1</v>
      </c>
      <c r="FS23" s="162">
        <v>1</v>
      </c>
      <c r="FT23" s="162">
        <v>1</v>
      </c>
      <c r="FU23" s="162">
        <v>1</v>
      </c>
      <c r="FV23" s="162">
        <v>1</v>
      </c>
      <c r="FW23" s="162">
        <v>1</v>
      </c>
      <c r="FX23" s="162">
        <v>1</v>
      </c>
      <c r="FY23" s="162">
        <v>1</v>
      </c>
      <c r="FZ23" s="162">
        <v>1</v>
      </c>
      <c r="GA23" s="162">
        <v>1</v>
      </c>
      <c r="GB23" s="162">
        <v>1</v>
      </c>
      <c r="GC23" s="162">
        <v>1</v>
      </c>
      <c r="GD23" s="162">
        <v>1</v>
      </c>
      <c r="GE23" s="162">
        <v>1</v>
      </c>
      <c r="GF23" s="162">
        <v>1</v>
      </c>
      <c r="GG23" s="162">
        <v>1</v>
      </c>
      <c r="GH23" s="162">
        <v>1</v>
      </c>
      <c r="GI23" s="162">
        <v>1</v>
      </c>
      <c r="GJ23" s="162">
        <v>1</v>
      </c>
      <c r="GK23" s="162">
        <v>1</v>
      </c>
      <c r="GL23" s="162">
        <v>1</v>
      </c>
      <c r="GM23" s="162">
        <v>1</v>
      </c>
      <c r="GN23" s="162">
        <v>1</v>
      </c>
      <c r="GO23" s="162">
        <v>1</v>
      </c>
      <c r="GP23" s="162">
        <v>1</v>
      </c>
      <c r="GQ23" s="162">
        <v>1</v>
      </c>
      <c r="GR23" s="162">
        <v>1</v>
      </c>
      <c r="GS23" s="218">
        <v>1</v>
      </c>
      <c r="GT23" s="31"/>
      <c r="GU23" s="219">
        <f t="shared" si="13"/>
        <v>1</v>
      </c>
      <c r="GV23" s="220">
        <f t="shared" si="14"/>
        <v>1</v>
      </c>
      <c r="GW23" s="220">
        <f t="shared" si="15"/>
        <v>1</v>
      </c>
      <c r="GX23" s="220">
        <f t="shared" si="16"/>
        <v>1</v>
      </c>
      <c r="GY23" s="220">
        <f t="shared" si="17"/>
        <v>1</v>
      </c>
      <c r="GZ23" s="220">
        <f t="shared" si="18"/>
        <v>1</v>
      </c>
      <c r="HA23" s="220">
        <f t="shared" si="19"/>
        <v>1</v>
      </c>
      <c r="HB23" s="220">
        <f t="shared" si="20"/>
        <v>1</v>
      </c>
      <c r="HC23" s="220">
        <f t="shared" si="21"/>
        <v>1</v>
      </c>
      <c r="HD23" s="220">
        <f t="shared" si="22"/>
        <v>1</v>
      </c>
      <c r="HE23" s="220">
        <f t="shared" si="23"/>
        <v>1</v>
      </c>
      <c r="HF23" s="220">
        <f t="shared" si="24"/>
        <v>1</v>
      </c>
      <c r="HG23" s="220">
        <f t="shared" si="25"/>
        <v>1</v>
      </c>
      <c r="HH23" s="220">
        <f t="shared" si="26"/>
        <v>1</v>
      </c>
      <c r="HI23" s="220">
        <f t="shared" si="27"/>
        <v>1</v>
      </c>
      <c r="HJ23" s="220">
        <f t="shared" si="28"/>
        <v>1</v>
      </c>
      <c r="HK23" s="220">
        <f t="shared" si="29"/>
        <v>1</v>
      </c>
      <c r="HL23" s="220">
        <f t="shared" si="30"/>
        <v>1</v>
      </c>
      <c r="HM23" s="220">
        <f t="shared" si="31"/>
        <v>1</v>
      </c>
      <c r="HN23" s="220">
        <f t="shared" si="32"/>
        <v>1</v>
      </c>
      <c r="HO23" s="220">
        <f t="shared" si="33"/>
        <v>1</v>
      </c>
      <c r="HP23" s="220">
        <f t="shared" si="34"/>
        <v>1</v>
      </c>
      <c r="HQ23" s="220">
        <f t="shared" si="35"/>
        <v>1</v>
      </c>
      <c r="HR23" s="220">
        <f t="shared" si="36"/>
        <v>1</v>
      </c>
      <c r="HS23" s="220">
        <f t="shared" si="37"/>
        <v>1</v>
      </c>
      <c r="HT23" s="220">
        <f t="shared" si="38"/>
        <v>1</v>
      </c>
      <c r="HU23" s="220">
        <f t="shared" si="39"/>
        <v>1</v>
      </c>
      <c r="HV23" s="220">
        <f t="shared" si="40"/>
        <v>1</v>
      </c>
      <c r="HW23" s="220">
        <f t="shared" si="41"/>
        <v>1</v>
      </c>
      <c r="HX23" s="220">
        <f t="shared" si="42"/>
        <v>1</v>
      </c>
      <c r="HY23" s="220">
        <f t="shared" si="43"/>
        <v>1</v>
      </c>
      <c r="HZ23" s="220">
        <f t="shared" si="44"/>
        <v>1</v>
      </c>
      <c r="IA23" s="220">
        <f t="shared" si="45"/>
        <v>1</v>
      </c>
      <c r="IB23" s="220">
        <f t="shared" si="46"/>
        <v>1</v>
      </c>
      <c r="IC23" s="220">
        <f t="shared" si="47"/>
        <v>1</v>
      </c>
      <c r="ID23" s="220">
        <f t="shared" si="48"/>
        <v>1</v>
      </c>
      <c r="IE23" s="220">
        <f t="shared" si="49"/>
        <v>1</v>
      </c>
      <c r="IF23" s="220">
        <f t="shared" si="50"/>
        <v>1</v>
      </c>
      <c r="IG23" s="220">
        <f t="shared" si="51"/>
        <v>1</v>
      </c>
      <c r="IH23" s="220">
        <f t="shared" si="52"/>
        <v>1</v>
      </c>
      <c r="II23" s="220">
        <f t="shared" si="53"/>
        <v>1</v>
      </c>
      <c r="IJ23" s="220">
        <f t="shared" si="54"/>
        <v>1</v>
      </c>
      <c r="IK23" s="220">
        <f t="shared" si="55"/>
        <v>1</v>
      </c>
      <c r="IL23" s="220">
        <f t="shared" si="56"/>
        <v>1</v>
      </c>
      <c r="IM23" s="220">
        <f t="shared" si="57"/>
        <v>1</v>
      </c>
      <c r="IN23" s="220">
        <f t="shared" si="58"/>
        <v>1</v>
      </c>
      <c r="IO23" s="220">
        <f t="shared" si="59"/>
        <v>1</v>
      </c>
      <c r="IP23" s="220">
        <f t="shared" si="60"/>
        <v>1</v>
      </c>
      <c r="IQ23" s="220">
        <f t="shared" si="61"/>
        <v>1</v>
      </c>
      <c r="IR23" s="220">
        <f t="shared" si="62"/>
        <v>1</v>
      </c>
      <c r="IS23" s="220">
        <f t="shared" si="63"/>
        <v>1</v>
      </c>
      <c r="IT23" s="220">
        <f t="shared" si="64"/>
        <v>1</v>
      </c>
      <c r="IU23" s="220">
        <f t="shared" si="65"/>
        <v>1</v>
      </c>
      <c r="IV23" s="220">
        <f t="shared" si="66"/>
        <v>1</v>
      </c>
      <c r="IW23" s="220">
        <f t="shared" si="67"/>
        <v>1</v>
      </c>
      <c r="IX23" s="220">
        <f t="shared" si="68"/>
        <v>1</v>
      </c>
      <c r="IY23" s="220">
        <f t="shared" si="69"/>
        <v>1</v>
      </c>
      <c r="IZ23" s="220">
        <f t="shared" si="70"/>
        <v>1</v>
      </c>
      <c r="JA23" s="220">
        <f t="shared" si="71"/>
        <v>1</v>
      </c>
      <c r="JB23" s="220">
        <f t="shared" si="72"/>
        <v>1</v>
      </c>
      <c r="JC23" s="220">
        <f t="shared" si="73"/>
        <v>1</v>
      </c>
      <c r="JD23" s="220">
        <f t="shared" si="74"/>
        <v>1</v>
      </c>
      <c r="JE23" s="220">
        <f t="shared" si="75"/>
        <v>1</v>
      </c>
      <c r="JF23" s="220">
        <f t="shared" si="76"/>
        <v>1</v>
      </c>
      <c r="JG23" s="220">
        <f t="shared" si="77"/>
        <v>1</v>
      </c>
      <c r="JH23" s="220">
        <f t="shared" si="78"/>
        <v>1</v>
      </c>
      <c r="JI23" s="220">
        <f t="shared" si="79"/>
        <v>1</v>
      </c>
      <c r="JJ23" s="220">
        <f t="shared" si="80"/>
        <v>1</v>
      </c>
      <c r="JK23" s="220">
        <f t="shared" si="81"/>
        <v>1</v>
      </c>
      <c r="JL23" s="220">
        <f t="shared" si="82"/>
        <v>1</v>
      </c>
      <c r="JM23" s="220">
        <f t="shared" si="83"/>
        <v>1</v>
      </c>
      <c r="JN23" s="220">
        <f t="shared" si="84"/>
        <v>1</v>
      </c>
      <c r="JO23" s="220">
        <f t="shared" si="85"/>
        <v>1</v>
      </c>
      <c r="JP23" s="220">
        <f t="shared" si="86"/>
        <v>1</v>
      </c>
      <c r="JQ23" s="220">
        <f t="shared" si="87"/>
        <v>1</v>
      </c>
      <c r="JR23" s="220">
        <f t="shared" si="88"/>
        <v>1</v>
      </c>
      <c r="JS23" s="220">
        <f t="shared" si="89"/>
        <v>1</v>
      </c>
      <c r="JT23" s="220">
        <f t="shared" si="90"/>
        <v>1</v>
      </c>
      <c r="JU23" s="220">
        <f t="shared" si="91"/>
        <v>1</v>
      </c>
      <c r="JV23" s="220">
        <f t="shared" si="92"/>
        <v>1</v>
      </c>
      <c r="JW23" s="220">
        <f t="shared" si="93"/>
        <v>1</v>
      </c>
      <c r="JX23" s="220">
        <f t="shared" si="94"/>
        <v>1</v>
      </c>
      <c r="JY23" s="220">
        <f t="shared" si="95"/>
        <v>1</v>
      </c>
      <c r="JZ23" s="220">
        <f t="shared" si="96"/>
        <v>1</v>
      </c>
      <c r="KA23" s="220">
        <f t="shared" si="97"/>
        <v>1</v>
      </c>
      <c r="KB23" s="220">
        <f t="shared" si="98"/>
        <v>1</v>
      </c>
      <c r="KC23" s="220">
        <f t="shared" si="99"/>
        <v>1</v>
      </c>
      <c r="KD23" s="220">
        <f t="shared" si="100"/>
        <v>1</v>
      </c>
      <c r="KE23" s="220">
        <f t="shared" si="101"/>
        <v>1</v>
      </c>
      <c r="KF23" s="220">
        <f t="shared" si="102"/>
        <v>1</v>
      </c>
      <c r="KG23" s="221">
        <f t="shared" si="103"/>
        <v>1</v>
      </c>
      <c r="KH23" s="13"/>
    </row>
    <row r="24" spans="1:294" ht="62.5" customHeight="1" thickBot="1" x14ac:dyDescent="0.4">
      <c r="A24" s="4"/>
      <c r="B24" s="58">
        <v>17</v>
      </c>
      <c r="C24" s="14" t="s">
        <v>32</v>
      </c>
      <c r="D24" s="20" t="s">
        <v>218</v>
      </c>
      <c r="E24" s="6" t="s">
        <v>2</v>
      </c>
      <c r="F24" s="5" t="s">
        <v>219</v>
      </c>
      <c r="G24" s="6" t="s">
        <v>220</v>
      </c>
      <c r="H24" s="22">
        <v>46195</v>
      </c>
      <c r="I24" s="22">
        <v>46227</v>
      </c>
      <c r="J24" s="67">
        <f t="shared" si="104"/>
        <v>33</v>
      </c>
      <c r="K24" s="22"/>
      <c r="L24" s="22"/>
      <c r="M24" s="67" t="str">
        <f>IF(AND(K24=0,L24=0),"No Progress",IF(Tbl_SM[[#This Row],[ACTUAL START]]="",0,IF(L24-K24&lt;0,"On Progress",L24-K24)))</f>
        <v>No Progress</v>
      </c>
      <c r="N24" s="21" t="str">
        <f>IF(Tbl_SM[[#This Row],[PLAN START]]="","",
IF(Tbl_SM[[#This Row],[ACTUAL FINISH]]&lt;&gt;"","CLOSE",
IF(Tbl_SM[[#This Row],[ACTUAL START]]&lt;&gt;"","ON PROGRESS",
"OPEN")))</f>
        <v>OPEN</v>
      </c>
      <c r="O24"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4" s="189">
        <f t="shared" si="12"/>
        <v>0.52666666666666595</v>
      </c>
      <c r="Q24" s="187">
        <f>IF(Tbl_SM[[#This Row],[STATUS]]="CLOSE",1,0)</f>
        <v>0</v>
      </c>
      <c r="S24" s="156">
        <v>0.05</v>
      </c>
      <c r="T24" s="157">
        <v>0.08</v>
      </c>
      <c r="U24" s="157">
        <v>0.1</v>
      </c>
      <c r="V24" s="157">
        <v>0.12666666666666701</v>
      </c>
      <c r="W24" s="157">
        <v>0.151666666666667</v>
      </c>
      <c r="X24" s="157">
        <v>0.176666666666667</v>
      </c>
      <c r="Y24" s="157">
        <v>0.20166666666666699</v>
      </c>
      <c r="Z24" s="157">
        <v>0.22666666666666699</v>
      </c>
      <c r="AA24" s="157">
        <v>0.25166666666666698</v>
      </c>
      <c r="AB24" s="157">
        <v>0.276666666666667</v>
      </c>
      <c r="AC24" s="157">
        <v>0.30166666666666703</v>
      </c>
      <c r="AD24" s="157">
        <v>0.32666666666666699</v>
      </c>
      <c r="AE24" s="157">
        <v>0.35166666666666702</v>
      </c>
      <c r="AF24" s="157">
        <v>0.37666666666666698</v>
      </c>
      <c r="AG24" s="157">
        <v>0.401666666666667</v>
      </c>
      <c r="AH24" s="157">
        <v>0.42666666666666703</v>
      </c>
      <c r="AI24" s="157">
        <v>0.45166666666666699</v>
      </c>
      <c r="AJ24" s="157">
        <v>0.47666666666666702</v>
      </c>
      <c r="AK24" s="157">
        <v>0.50166666666666704</v>
      </c>
      <c r="AL24" s="157">
        <v>0.50166666666666704</v>
      </c>
      <c r="AM24" s="157">
        <v>0.50166666666666704</v>
      </c>
      <c r="AN24" s="157">
        <v>0.50166666666666704</v>
      </c>
      <c r="AO24" s="157">
        <v>0.50166666666666704</v>
      </c>
      <c r="AP24" s="157">
        <v>0.50166666666666704</v>
      </c>
      <c r="AQ24" s="157">
        <v>0.50166666666666704</v>
      </c>
      <c r="AR24" s="157">
        <v>0.50166666666666704</v>
      </c>
      <c r="AS24" s="157">
        <v>0.50166666666666704</v>
      </c>
      <c r="AT24" s="157">
        <v>0.50166666666666704</v>
      </c>
      <c r="AU24" s="157">
        <v>0.51</v>
      </c>
      <c r="AV24" s="157">
        <v>0.51833333333333298</v>
      </c>
      <c r="AW24" s="157">
        <v>0.52666666666666595</v>
      </c>
      <c r="AX24" s="157">
        <v>0.53499999999999903</v>
      </c>
      <c r="AY24" s="157">
        <v>0.543333333333332</v>
      </c>
      <c r="AZ24" s="157">
        <v>0.55166666666666497</v>
      </c>
      <c r="BA24" s="157">
        <v>0.55999999999999805</v>
      </c>
      <c r="BB24" s="157">
        <v>0.56833333333333103</v>
      </c>
      <c r="BC24" s="157">
        <v>0.6</v>
      </c>
      <c r="BD24" s="157">
        <v>0.63</v>
      </c>
      <c r="BE24" s="157">
        <v>0.66</v>
      </c>
      <c r="BF24" s="157">
        <v>0.69</v>
      </c>
      <c r="BG24" s="157">
        <v>0.72</v>
      </c>
      <c r="BH24" s="157">
        <v>0.75</v>
      </c>
      <c r="BI24" s="157">
        <v>0.78</v>
      </c>
      <c r="BJ24" s="157">
        <v>0.81</v>
      </c>
      <c r="BK24" s="157">
        <v>0.84</v>
      </c>
      <c r="BL24" s="157">
        <v>0.87</v>
      </c>
      <c r="BM24" s="157">
        <v>0.9</v>
      </c>
      <c r="BN24" s="157">
        <v>0.93</v>
      </c>
      <c r="BO24" s="157">
        <v>0.96</v>
      </c>
      <c r="BP24" s="157">
        <v>0.99</v>
      </c>
      <c r="BQ24" s="157">
        <v>1</v>
      </c>
      <c r="BR24" s="157">
        <v>1</v>
      </c>
      <c r="BS24" s="157">
        <v>1</v>
      </c>
      <c r="BT24" s="157">
        <v>1</v>
      </c>
      <c r="BU24" s="157">
        <v>1</v>
      </c>
      <c r="BV24" s="157">
        <v>1</v>
      </c>
      <c r="BW24" s="157">
        <v>1</v>
      </c>
      <c r="BX24" s="157">
        <v>1</v>
      </c>
      <c r="BY24" s="157">
        <v>1</v>
      </c>
      <c r="BZ24" s="157">
        <v>1</v>
      </c>
      <c r="CA24" s="157">
        <v>1</v>
      </c>
      <c r="CB24" s="157">
        <v>1</v>
      </c>
      <c r="CC24" s="157">
        <v>1</v>
      </c>
      <c r="CD24" s="157">
        <v>1</v>
      </c>
      <c r="CE24" s="157">
        <v>1</v>
      </c>
      <c r="CF24" s="157">
        <v>1</v>
      </c>
      <c r="CG24" s="157">
        <v>1</v>
      </c>
      <c r="CH24" s="157">
        <v>1</v>
      </c>
      <c r="CI24" s="157">
        <v>1</v>
      </c>
      <c r="CJ24" s="157">
        <v>1</v>
      </c>
      <c r="CK24" s="157">
        <v>1</v>
      </c>
      <c r="CL24" s="157">
        <v>1</v>
      </c>
      <c r="CM24" s="157">
        <v>1</v>
      </c>
      <c r="CN24" s="157">
        <v>1</v>
      </c>
      <c r="CO24" s="157">
        <v>1</v>
      </c>
      <c r="CP24" s="157">
        <v>1</v>
      </c>
      <c r="CQ24" s="157">
        <v>1</v>
      </c>
      <c r="CR24" s="157">
        <v>1</v>
      </c>
      <c r="CS24" s="157">
        <v>1</v>
      </c>
      <c r="CT24" s="157">
        <v>1</v>
      </c>
      <c r="CU24" s="157">
        <v>1</v>
      </c>
      <c r="CV24" s="157">
        <v>1</v>
      </c>
      <c r="CW24" s="157">
        <v>1</v>
      </c>
      <c r="CX24" s="157">
        <v>1</v>
      </c>
      <c r="CY24" s="157">
        <v>1</v>
      </c>
      <c r="CZ24" s="157">
        <v>1</v>
      </c>
      <c r="DA24" s="157">
        <v>1</v>
      </c>
      <c r="DB24" s="157">
        <v>1</v>
      </c>
      <c r="DC24" s="157">
        <v>1</v>
      </c>
      <c r="DD24" s="157">
        <v>1</v>
      </c>
      <c r="DE24" s="158">
        <v>1</v>
      </c>
      <c r="DF24" s="152"/>
      <c r="DG24" s="225">
        <v>0.05</v>
      </c>
      <c r="DH24" s="162">
        <v>0.08</v>
      </c>
      <c r="DI24" s="162">
        <v>0.1</v>
      </c>
      <c r="DJ24" s="162">
        <v>0.12666666666666701</v>
      </c>
      <c r="DK24" s="162">
        <v>0.151666666666667</v>
      </c>
      <c r="DL24" s="162">
        <v>0.176666666666667</v>
      </c>
      <c r="DM24" s="162">
        <v>0.20166666666666699</v>
      </c>
      <c r="DN24" s="162">
        <v>0.22666666666666699</v>
      </c>
      <c r="DO24" s="162">
        <v>0.25166666666666698</v>
      </c>
      <c r="DP24" s="162">
        <v>0.276666666666667</v>
      </c>
      <c r="DQ24" s="162">
        <v>0.30166666666666703</v>
      </c>
      <c r="DR24" s="162">
        <v>0.32666666666666699</v>
      </c>
      <c r="DS24" s="162">
        <v>0.35166666666666702</v>
      </c>
      <c r="DT24" s="162">
        <v>0.37666666666666698</v>
      </c>
      <c r="DU24" s="162">
        <v>0.401666666666667</v>
      </c>
      <c r="DV24" s="162">
        <v>0.42666666666666703</v>
      </c>
      <c r="DW24" s="162">
        <v>0.45166666666666699</v>
      </c>
      <c r="DX24" s="162">
        <v>0.47666666666666702</v>
      </c>
      <c r="DY24" s="162">
        <v>0.50166666666666704</v>
      </c>
      <c r="DZ24" s="162">
        <v>0.50166666666666704</v>
      </c>
      <c r="EA24" s="162">
        <v>0.50166666666666704</v>
      </c>
      <c r="EB24" s="162">
        <v>0.50166666666666704</v>
      </c>
      <c r="EC24" s="162">
        <v>0.50166666666666704</v>
      </c>
      <c r="ED24" s="162">
        <v>0.50166666666666704</v>
      </c>
      <c r="EE24" s="162">
        <v>0.50166666666666704</v>
      </c>
      <c r="EF24" s="162">
        <v>0.50166666666666704</v>
      </c>
      <c r="EG24" s="162">
        <v>0.50166666666666704</v>
      </c>
      <c r="EH24" s="162">
        <v>0.50166666666666704</v>
      </c>
      <c r="EI24" s="162">
        <v>0.51</v>
      </c>
      <c r="EJ24" s="162">
        <v>0.51833333333333298</v>
      </c>
      <c r="EK24" s="162">
        <v>0.52666666666666595</v>
      </c>
      <c r="EL24" s="162">
        <v>0.53499999999999903</v>
      </c>
      <c r="EM24" s="162">
        <v>0.543333333333332</v>
      </c>
      <c r="EN24" s="162">
        <v>0.55166666666666497</v>
      </c>
      <c r="EO24" s="162">
        <v>0.55999999999999805</v>
      </c>
      <c r="EP24" s="162">
        <v>0.56833333333333103</v>
      </c>
      <c r="EQ24" s="162">
        <v>0.6</v>
      </c>
      <c r="ER24" s="162">
        <v>0.63</v>
      </c>
      <c r="ES24" s="162">
        <v>0.66</v>
      </c>
      <c r="ET24" s="162">
        <v>0.69</v>
      </c>
      <c r="EU24" s="162">
        <v>0.72</v>
      </c>
      <c r="EV24" s="162">
        <v>0.75</v>
      </c>
      <c r="EW24" s="162">
        <v>0.78</v>
      </c>
      <c r="EX24" s="162">
        <v>0.81</v>
      </c>
      <c r="EY24" s="162">
        <v>0.84</v>
      </c>
      <c r="EZ24" s="162">
        <v>0.87</v>
      </c>
      <c r="FA24" s="162">
        <v>0.9</v>
      </c>
      <c r="FB24" s="162">
        <v>0.93</v>
      </c>
      <c r="FC24" s="162">
        <v>0.96</v>
      </c>
      <c r="FD24" s="162">
        <v>0.99</v>
      </c>
      <c r="FE24" s="162">
        <v>1</v>
      </c>
      <c r="FF24" s="162">
        <v>1</v>
      </c>
      <c r="FG24" s="162">
        <v>1</v>
      </c>
      <c r="FH24" s="162">
        <v>1</v>
      </c>
      <c r="FI24" s="162">
        <v>1</v>
      </c>
      <c r="FJ24" s="162">
        <v>1</v>
      </c>
      <c r="FK24" s="162">
        <v>1</v>
      </c>
      <c r="FL24" s="162">
        <v>1</v>
      </c>
      <c r="FM24" s="162">
        <v>1</v>
      </c>
      <c r="FN24" s="162">
        <v>1</v>
      </c>
      <c r="FO24" s="162">
        <v>1</v>
      </c>
      <c r="FP24" s="162">
        <v>1</v>
      </c>
      <c r="FQ24" s="162">
        <v>1</v>
      </c>
      <c r="FR24" s="162">
        <v>1</v>
      </c>
      <c r="FS24" s="162">
        <v>1</v>
      </c>
      <c r="FT24" s="162">
        <v>1</v>
      </c>
      <c r="FU24" s="162">
        <v>1</v>
      </c>
      <c r="FV24" s="162">
        <v>1</v>
      </c>
      <c r="FW24" s="162">
        <v>1</v>
      </c>
      <c r="FX24" s="162">
        <v>1</v>
      </c>
      <c r="FY24" s="162">
        <v>1</v>
      </c>
      <c r="FZ24" s="162">
        <v>1</v>
      </c>
      <c r="GA24" s="162">
        <v>1</v>
      </c>
      <c r="GB24" s="162">
        <v>1</v>
      </c>
      <c r="GC24" s="162">
        <v>1</v>
      </c>
      <c r="GD24" s="162">
        <v>1</v>
      </c>
      <c r="GE24" s="162">
        <v>1</v>
      </c>
      <c r="GF24" s="162">
        <v>1</v>
      </c>
      <c r="GG24" s="162">
        <v>1</v>
      </c>
      <c r="GH24" s="162">
        <v>1</v>
      </c>
      <c r="GI24" s="162">
        <v>1</v>
      </c>
      <c r="GJ24" s="162">
        <v>1</v>
      </c>
      <c r="GK24" s="162">
        <v>1</v>
      </c>
      <c r="GL24" s="162">
        <v>1</v>
      </c>
      <c r="GM24" s="162">
        <v>1</v>
      </c>
      <c r="GN24" s="162">
        <v>1</v>
      </c>
      <c r="GO24" s="162">
        <v>1</v>
      </c>
      <c r="GP24" s="162">
        <v>1</v>
      </c>
      <c r="GQ24" s="162">
        <v>1</v>
      </c>
      <c r="GR24" s="162">
        <v>1</v>
      </c>
      <c r="GS24" s="218">
        <v>1</v>
      </c>
      <c r="GT24" s="31"/>
      <c r="GU24" s="219">
        <f t="shared" si="13"/>
        <v>1</v>
      </c>
      <c r="GV24" s="220">
        <f t="shared" si="14"/>
        <v>1</v>
      </c>
      <c r="GW24" s="220">
        <f t="shared" si="15"/>
        <v>1</v>
      </c>
      <c r="GX24" s="220">
        <f t="shared" si="16"/>
        <v>1</v>
      </c>
      <c r="GY24" s="220">
        <f t="shared" si="17"/>
        <v>1</v>
      </c>
      <c r="GZ24" s="220">
        <f t="shared" si="18"/>
        <v>1</v>
      </c>
      <c r="HA24" s="220">
        <f t="shared" si="19"/>
        <v>1</v>
      </c>
      <c r="HB24" s="220">
        <f t="shared" si="20"/>
        <v>1</v>
      </c>
      <c r="HC24" s="220">
        <f t="shared" si="21"/>
        <v>1</v>
      </c>
      <c r="HD24" s="220">
        <f t="shared" si="22"/>
        <v>1</v>
      </c>
      <c r="HE24" s="220">
        <f t="shared" si="23"/>
        <v>1</v>
      </c>
      <c r="HF24" s="220">
        <f t="shared" si="24"/>
        <v>1</v>
      </c>
      <c r="HG24" s="220">
        <f t="shared" si="25"/>
        <v>1</v>
      </c>
      <c r="HH24" s="220">
        <f t="shared" si="26"/>
        <v>1</v>
      </c>
      <c r="HI24" s="220">
        <f t="shared" si="27"/>
        <v>1</v>
      </c>
      <c r="HJ24" s="220">
        <f t="shared" si="28"/>
        <v>1</v>
      </c>
      <c r="HK24" s="220">
        <f t="shared" si="29"/>
        <v>1</v>
      </c>
      <c r="HL24" s="220">
        <f t="shared" si="30"/>
        <v>1</v>
      </c>
      <c r="HM24" s="220">
        <f t="shared" si="31"/>
        <v>1</v>
      </c>
      <c r="HN24" s="220">
        <f t="shared" si="32"/>
        <v>1</v>
      </c>
      <c r="HO24" s="220">
        <f t="shared" si="33"/>
        <v>1</v>
      </c>
      <c r="HP24" s="220">
        <f t="shared" si="34"/>
        <v>1</v>
      </c>
      <c r="HQ24" s="220">
        <f t="shared" si="35"/>
        <v>1</v>
      </c>
      <c r="HR24" s="220">
        <f t="shared" si="36"/>
        <v>1</v>
      </c>
      <c r="HS24" s="220">
        <f t="shared" si="37"/>
        <v>1</v>
      </c>
      <c r="HT24" s="220">
        <f t="shared" si="38"/>
        <v>1</v>
      </c>
      <c r="HU24" s="220">
        <f t="shared" si="39"/>
        <v>1</v>
      </c>
      <c r="HV24" s="220">
        <f t="shared" si="40"/>
        <v>1</v>
      </c>
      <c r="HW24" s="220">
        <f t="shared" si="41"/>
        <v>1</v>
      </c>
      <c r="HX24" s="220">
        <f t="shared" si="42"/>
        <v>1</v>
      </c>
      <c r="HY24" s="220">
        <f t="shared" si="43"/>
        <v>1</v>
      </c>
      <c r="HZ24" s="220">
        <f t="shared" si="44"/>
        <v>1</v>
      </c>
      <c r="IA24" s="220">
        <f t="shared" si="45"/>
        <v>1</v>
      </c>
      <c r="IB24" s="220">
        <f t="shared" si="46"/>
        <v>1</v>
      </c>
      <c r="IC24" s="220">
        <f t="shared" si="47"/>
        <v>1</v>
      </c>
      <c r="ID24" s="220">
        <f t="shared" si="48"/>
        <v>1</v>
      </c>
      <c r="IE24" s="220">
        <f t="shared" si="49"/>
        <v>1</v>
      </c>
      <c r="IF24" s="220">
        <f t="shared" si="50"/>
        <v>1</v>
      </c>
      <c r="IG24" s="220">
        <f t="shared" si="51"/>
        <v>1</v>
      </c>
      <c r="IH24" s="220">
        <f t="shared" si="52"/>
        <v>1</v>
      </c>
      <c r="II24" s="220">
        <f t="shared" si="53"/>
        <v>1</v>
      </c>
      <c r="IJ24" s="220">
        <f t="shared" si="54"/>
        <v>1</v>
      </c>
      <c r="IK24" s="220">
        <f t="shared" si="55"/>
        <v>1</v>
      </c>
      <c r="IL24" s="220">
        <f t="shared" si="56"/>
        <v>1</v>
      </c>
      <c r="IM24" s="220">
        <f t="shared" si="57"/>
        <v>1</v>
      </c>
      <c r="IN24" s="220">
        <f t="shared" si="58"/>
        <v>1</v>
      </c>
      <c r="IO24" s="220">
        <f t="shared" si="59"/>
        <v>1</v>
      </c>
      <c r="IP24" s="220">
        <f t="shared" si="60"/>
        <v>1</v>
      </c>
      <c r="IQ24" s="220">
        <f t="shared" si="61"/>
        <v>1</v>
      </c>
      <c r="IR24" s="220">
        <f t="shared" si="62"/>
        <v>1</v>
      </c>
      <c r="IS24" s="220">
        <f t="shared" si="63"/>
        <v>1</v>
      </c>
      <c r="IT24" s="220">
        <f t="shared" si="64"/>
        <v>1</v>
      </c>
      <c r="IU24" s="220">
        <f t="shared" si="65"/>
        <v>1</v>
      </c>
      <c r="IV24" s="220">
        <f t="shared" si="66"/>
        <v>1</v>
      </c>
      <c r="IW24" s="220">
        <f t="shared" si="67"/>
        <v>1</v>
      </c>
      <c r="IX24" s="220">
        <f t="shared" si="68"/>
        <v>1</v>
      </c>
      <c r="IY24" s="220">
        <f t="shared" si="69"/>
        <v>1</v>
      </c>
      <c r="IZ24" s="220">
        <f t="shared" si="70"/>
        <v>1</v>
      </c>
      <c r="JA24" s="220">
        <f t="shared" si="71"/>
        <v>1</v>
      </c>
      <c r="JB24" s="220">
        <f t="shared" si="72"/>
        <v>1</v>
      </c>
      <c r="JC24" s="220">
        <f t="shared" si="73"/>
        <v>1</v>
      </c>
      <c r="JD24" s="220">
        <f t="shared" si="74"/>
        <v>1</v>
      </c>
      <c r="JE24" s="220">
        <f t="shared" si="75"/>
        <v>1</v>
      </c>
      <c r="JF24" s="220">
        <f t="shared" si="76"/>
        <v>1</v>
      </c>
      <c r="JG24" s="220">
        <f t="shared" si="77"/>
        <v>1</v>
      </c>
      <c r="JH24" s="220">
        <f t="shared" si="78"/>
        <v>1</v>
      </c>
      <c r="JI24" s="220">
        <f t="shared" si="79"/>
        <v>1</v>
      </c>
      <c r="JJ24" s="220">
        <f t="shared" si="80"/>
        <v>1</v>
      </c>
      <c r="JK24" s="220">
        <f t="shared" si="81"/>
        <v>1</v>
      </c>
      <c r="JL24" s="220">
        <f t="shared" si="82"/>
        <v>1</v>
      </c>
      <c r="JM24" s="220">
        <f t="shared" si="83"/>
        <v>1</v>
      </c>
      <c r="JN24" s="220">
        <f t="shared" si="84"/>
        <v>1</v>
      </c>
      <c r="JO24" s="220">
        <f t="shared" si="85"/>
        <v>1</v>
      </c>
      <c r="JP24" s="220">
        <f t="shared" si="86"/>
        <v>1</v>
      </c>
      <c r="JQ24" s="220">
        <f t="shared" si="87"/>
        <v>1</v>
      </c>
      <c r="JR24" s="220">
        <f t="shared" si="88"/>
        <v>1</v>
      </c>
      <c r="JS24" s="220">
        <f t="shared" si="89"/>
        <v>1</v>
      </c>
      <c r="JT24" s="220">
        <f t="shared" si="90"/>
        <v>1</v>
      </c>
      <c r="JU24" s="220">
        <f t="shared" si="91"/>
        <v>1</v>
      </c>
      <c r="JV24" s="220">
        <f t="shared" si="92"/>
        <v>1</v>
      </c>
      <c r="JW24" s="220">
        <f t="shared" si="93"/>
        <v>1</v>
      </c>
      <c r="JX24" s="220">
        <f t="shared" si="94"/>
        <v>1</v>
      </c>
      <c r="JY24" s="220">
        <f t="shared" si="95"/>
        <v>1</v>
      </c>
      <c r="JZ24" s="220">
        <f t="shared" si="96"/>
        <v>1</v>
      </c>
      <c r="KA24" s="220">
        <f t="shared" si="97"/>
        <v>1</v>
      </c>
      <c r="KB24" s="220">
        <f t="shared" si="98"/>
        <v>1</v>
      </c>
      <c r="KC24" s="220">
        <f t="shared" si="99"/>
        <v>1</v>
      </c>
      <c r="KD24" s="220">
        <f t="shared" si="100"/>
        <v>1</v>
      </c>
      <c r="KE24" s="220">
        <f t="shared" si="101"/>
        <v>1</v>
      </c>
      <c r="KF24" s="220">
        <f t="shared" si="102"/>
        <v>1</v>
      </c>
      <c r="KG24" s="221">
        <f t="shared" si="103"/>
        <v>1</v>
      </c>
      <c r="KH24" s="13"/>
    </row>
    <row r="25" spans="1:294" ht="62.5" customHeight="1" thickBot="1" x14ac:dyDescent="0.4">
      <c r="A25" s="4"/>
      <c r="B25" s="58">
        <v>18</v>
      </c>
      <c r="C25" s="14" t="s">
        <v>32</v>
      </c>
      <c r="D25" s="5" t="s">
        <v>221</v>
      </c>
      <c r="E25" s="6" t="s">
        <v>3</v>
      </c>
      <c r="F25" s="5" t="s">
        <v>222</v>
      </c>
      <c r="G25" s="6" t="s">
        <v>223</v>
      </c>
      <c r="H25" s="22">
        <v>46204</v>
      </c>
      <c r="I25" s="22">
        <v>46241</v>
      </c>
      <c r="J25" s="67">
        <f t="shared" si="104"/>
        <v>38</v>
      </c>
      <c r="K25" s="22"/>
      <c r="L25" s="22"/>
      <c r="M25" s="67" t="str">
        <f>IF(AND(K25=0,L25=0),"No Progress",IF(Tbl_SM[[#This Row],[ACTUAL START]]="",0,IF(L25-K25&lt;0,"On Progress",L25-K25)))</f>
        <v>No Progress</v>
      </c>
      <c r="N25" s="21" t="str">
        <f>IF(Tbl_SM[[#This Row],[PLAN START]]="","",
IF(Tbl_SM[[#This Row],[ACTUAL FINISH]]&lt;&gt;"","CLOSE",
IF(Tbl_SM[[#This Row],[ACTUAL START]]&lt;&gt;"","ON PROGRESS",
"OPEN")))</f>
        <v>OPEN</v>
      </c>
      <c r="O25"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5" s="189">
        <f t="shared" si="12"/>
        <v>0.52666666666666595</v>
      </c>
      <c r="Q25" s="187">
        <f>IF(Tbl_SM[[#This Row],[STATUS]]="CLOSE",1,0)</f>
        <v>0</v>
      </c>
      <c r="S25" s="156">
        <v>0.05</v>
      </c>
      <c r="T25" s="157">
        <v>0.08</v>
      </c>
      <c r="U25" s="157">
        <v>0.1</v>
      </c>
      <c r="V25" s="157">
        <v>0.12666666666666701</v>
      </c>
      <c r="W25" s="157">
        <v>0.151666666666667</v>
      </c>
      <c r="X25" s="157">
        <v>0.176666666666667</v>
      </c>
      <c r="Y25" s="157">
        <v>0.20166666666666699</v>
      </c>
      <c r="Z25" s="157">
        <v>0.22666666666666699</v>
      </c>
      <c r="AA25" s="157">
        <v>0.25166666666666698</v>
      </c>
      <c r="AB25" s="157">
        <v>0.276666666666667</v>
      </c>
      <c r="AC25" s="157">
        <v>0.30166666666666703</v>
      </c>
      <c r="AD25" s="157">
        <v>0.32666666666666699</v>
      </c>
      <c r="AE25" s="157">
        <v>0.35166666666666702</v>
      </c>
      <c r="AF25" s="157">
        <v>0.37666666666666698</v>
      </c>
      <c r="AG25" s="157">
        <v>0.401666666666667</v>
      </c>
      <c r="AH25" s="157">
        <v>0.42666666666666703</v>
      </c>
      <c r="AI25" s="157">
        <v>0.45166666666666699</v>
      </c>
      <c r="AJ25" s="157">
        <v>0.47666666666666702</v>
      </c>
      <c r="AK25" s="157">
        <v>0.50166666666666704</v>
      </c>
      <c r="AL25" s="157">
        <v>0.50166666666666704</v>
      </c>
      <c r="AM25" s="157">
        <v>0.50166666666666704</v>
      </c>
      <c r="AN25" s="157">
        <v>0.50166666666666704</v>
      </c>
      <c r="AO25" s="157">
        <v>0.50166666666666704</v>
      </c>
      <c r="AP25" s="157">
        <v>0.50166666666666704</v>
      </c>
      <c r="AQ25" s="157">
        <v>0.50166666666666704</v>
      </c>
      <c r="AR25" s="157">
        <v>0.50166666666666704</v>
      </c>
      <c r="AS25" s="157">
        <v>0.50166666666666704</v>
      </c>
      <c r="AT25" s="157">
        <v>0.50166666666666704</v>
      </c>
      <c r="AU25" s="157">
        <v>0.51</v>
      </c>
      <c r="AV25" s="157">
        <v>0.51833333333333298</v>
      </c>
      <c r="AW25" s="157">
        <v>0.52666666666666595</v>
      </c>
      <c r="AX25" s="157">
        <v>0.53499999999999903</v>
      </c>
      <c r="AY25" s="157">
        <v>0.543333333333332</v>
      </c>
      <c r="AZ25" s="157">
        <v>0.55166666666666497</v>
      </c>
      <c r="BA25" s="157">
        <v>0.55999999999999805</v>
      </c>
      <c r="BB25" s="157">
        <v>0.56833333333333103</v>
      </c>
      <c r="BC25" s="157">
        <v>0.6</v>
      </c>
      <c r="BD25" s="157">
        <v>0.63</v>
      </c>
      <c r="BE25" s="157">
        <v>0.66</v>
      </c>
      <c r="BF25" s="157">
        <v>0.69</v>
      </c>
      <c r="BG25" s="157">
        <v>0.72</v>
      </c>
      <c r="BH25" s="157">
        <v>0.75</v>
      </c>
      <c r="BI25" s="157">
        <v>0.78</v>
      </c>
      <c r="BJ25" s="157">
        <v>0.81</v>
      </c>
      <c r="BK25" s="157">
        <v>0.84</v>
      </c>
      <c r="BL25" s="157">
        <v>0.87</v>
      </c>
      <c r="BM25" s="157">
        <v>0.9</v>
      </c>
      <c r="BN25" s="157">
        <v>0.93</v>
      </c>
      <c r="BO25" s="157">
        <v>0.96</v>
      </c>
      <c r="BP25" s="157">
        <v>0.99</v>
      </c>
      <c r="BQ25" s="157">
        <v>1</v>
      </c>
      <c r="BR25" s="157">
        <v>1</v>
      </c>
      <c r="BS25" s="157">
        <v>1</v>
      </c>
      <c r="BT25" s="157">
        <v>1</v>
      </c>
      <c r="BU25" s="157">
        <v>1</v>
      </c>
      <c r="BV25" s="157">
        <v>1</v>
      </c>
      <c r="BW25" s="157">
        <v>1</v>
      </c>
      <c r="BX25" s="157">
        <v>1</v>
      </c>
      <c r="BY25" s="157">
        <v>1</v>
      </c>
      <c r="BZ25" s="157">
        <v>1</v>
      </c>
      <c r="CA25" s="157">
        <v>1</v>
      </c>
      <c r="CB25" s="157">
        <v>1</v>
      </c>
      <c r="CC25" s="157">
        <v>1</v>
      </c>
      <c r="CD25" s="157">
        <v>1</v>
      </c>
      <c r="CE25" s="157">
        <v>1</v>
      </c>
      <c r="CF25" s="157">
        <v>1</v>
      </c>
      <c r="CG25" s="157">
        <v>1</v>
      </c>
      <c r="CH25" s="157">
        <v>1</v>
      </c>
      <c r="CI25" s="157">
        <v>1</v>
      </c>
      <c r="CJ25" s="157">
        <v>1</v>
      </c>
      <c r="CK25" s="157">
        <v>1</v>
      </c>
      <c r="CL25" s="157">
        <v>1</v>
      </c>
      <c r="CM25" s="157">
        <v>1</v>
      </c>
      <c r="CN25" s="157">
        <v>1</v>
      </c>
      <c r="CO25" s="157">
        <v>1</v>
      </c>
      <c r="CP25" s="157">
        <v>1</v>
      </c>
      <c r="CQ25" s="157">
        <v>1</v>
      </c>
      <c r="CR25" s="157">
        <v>1</v>
      </c>
      <c r="CS25" s="157">
        <v>1</v>
      </c>
      <c r="CT25" s="157">
        <v>1</v>
      </c>
      <c r="CU25" s="157">
        <v>1</v>
      </c>
      <c r="CV25" s="157">
        <v>1</v>
      </c>
      <c r="CW25" s="157">
        <v>1</v>
      </c>
      <c r="CX25" s="157">
        <v>1</v>
      </c>
      <c r="CY25" s="157">
        <v>1</v>
      </c>
      <c r="CZ25" s="157">
        <v>1</v>
      </c>
      <c r="DA25" s="157">
        <v>1</v>
      </c>
      <c r="DB25" s="157">
        <v>1</v>
      </c>
      <c r="DC25" s="157">
        <v>1</v>
      </c>
      <c r="DD25" s="157">
        <v>1</v>
      </c>
      <c r="DE25" s="158">
        <v>1</v>
      </c>
      <c r="DF25" s="152"/>
      <c r="DG25" s="225">
        <v>0.05</v>
      </c>
      <c r="DH25" s="162">
        <v>0.08</v>
      </c>
      <c r="DI25" s="162">
        <v>0.1</v>
      </c>
      <c r="DJ25" s="162">
        <v>0.12666666666666701</v>
      </c>
      <c r="DK25" s="162">
        <v>0.151666666666667</v>
      </c>
      <c r="DL25" s="162">
        <v>0.176666666666667</v>
      </c>
      <c r="DM25" s="162">
        <v>0.20166666666666699</v>
      </c>
      <c r="DN25" s="162">
        <v>0.22666666666666699</v>
      </c>
      <c r="DO25" s="162">
        <v>0.25166666666666698</v>
      </c>
      <c r="DP25" s="162">
        <v>0.276666666666667</v>
      </c>
      <c r="DQ25" s="162">
        <v>0.30166666666666703</v>
      </c>
      <c r="DR25" s="162">
        <v>0.32666666666666699</v>
      </c>
      <c r="DS25" s="162">
        <v>0.35166666666666702</v>
      </c>
      <c r="DT25" s="162">
        <v>0.37666666666666698</v>
      </c>
      <c r="DU25" s="162">
        <v>0.401666666666667</v>
      </c>
      <c r="DV25" s="162">
        <v>0.42666666666666703</v>
      </c>
      <c r="DW25" s="162">
        <v>0.45166666666666699</v>
      </c>
      <c r="DX25" s="162">
        <v>0.47666666666666702</v>
      </c>
      <c r="DY25" s="162">
        <v>0.50166666666666704</v>
      </c>
      <c r="DZ25" s="162">
        <v>0.50166666666666704</v>
      </c>
      <c r="EA25" s="162">
        <v>0.50166666666666704</v>
      </c>
      <c r="EB25" s="162">
        <v>0.50166666666666704</v>
      </c>
      <c r="EC25" s="162">
        <v>0.50166666666666704</v>
      </c>
      <c r="ED25" s="162">
        <v>0.50166666666666704</v>
      </c>
      <c r="EE25" s="162">
        <v>0.50166666666666704</v>
      </c>
      <c r="EF25" s="162">
        <v>0.50166666666666704</v>
      </c>
      <c r="EG25" s="162">
        <v>0.50166666666666704</v>
      </c>
      <c r="EH25" s="162">
        <v>0.50166666666666704</v>
      </c>
      <c r="EI25" s="162">
        <v>0.51</v>
      </c>
      <c r="EJ25" s="162">
        <v>0.51833333333333298</v>
      </c>
      <c r="EK25" s="162">
        <v>0.52666666666666595</v>
      </c>
      <c r="EL25" s="162">
        <v>0.53499999999999903</v>
      </c>
      <c r="EM25" s="162">
        <v>0.543333333333332</v>
      </c>
      <c r="EN25" s="162">
        <v>0.55166666666666497</v>
      </c>
      <c r="EO25" s="162">
        <v>0.55999999999999805</v>
      </c>
      <c r="EP25" s="162">
        <v>0.56833333333333103</v>
      </c>
      <c r="EQ25" s="162">
        <v>0.6</v>
      </c>
      <c r="ER25" s="162">
        <v>0.63</v>
      </c>
      <c r="ES25" s="162">
        <v>0.66</v>
      </c>
      <c r="ET25" s="162">
        <v>0.69</v>
      </c>
      <c r="EU25" s="162">
        <v>0.72</v>
      </c>
      <c r="EV25" s="162">
        <v>0.75</v>
      </c>
      <c r="EW25" s="162">
        <v>0.78</v>
      </c>
      <c r="EX25" s="162">
        <v>0.81</v>
      </c>
      <c r="EY25" s="162">
        <v>0.84</v>
      </c>
      <c r="EZ25" s="162">
        <v>0.87</v>
      </c>
      <c r="FA25" s="162">
        <v>0.9</v>
      </c>
      <c r="FB25" s="162">
        <v>0.93</v>
      </c>
      <c r="FC25" s="162">
        <v>0.96</v>
      </c>
      <c r="FD25" s="162">
        <v>0.99</v>
      </c>
      <c r="FE25" s="162">
        <v>1</v>
      </c>
      <c r="FF25" s="162">
        <v>1</v>
      </c>
      <c r="FG25" s="162">
        <v>1</v>
      </c>
      <c r="FH25" s="162">
        <v>1</v>
      </c>
      <c r="FI25" s="162">
        <v>1</v>
      </c>
      <c r="FJ25" s="162">
        <v>1</v>
      </c>
      <c r="FK25" s="162">
        <v>1</v>
      </c>
      <c r="FL25" s="162">
        <v>1</v>
      </c>
      <c r="FM25" s="162">
        <v>1</v>
      </c>
      <c r="FN25" s="162">
        <v>1</v>
      </c>
      <c r="FO25" s="162">
        <v>1</v>
      </c>
      <c r="FP25" s="162">
        <v>1</v>
      </c>
      <c r="FQ25" s="162">
        <v>1</v>
      </c>
      <c r="FR25" s="162">
        <v>1</v>
      </c>
      <c r="FS25" s="162">
        <v>1</v>
      </c>
      <c r="FT25" s="162">
        <v>1</v>
      </c>
      <c r="FU25" s="162">
        <v>1</v>
      </c>
      <c r="FV25" s="162">
        <v>1</v>
      </c>
      <c r="FW25" s="162">
        <v>1</v>
      </c>
      <c r="FX25" s="162">
        <v>1</v>
      </c>
      <c r="FY25" s="162">
        <v>1</v>
      </c>
      <c r="FZ25" s="162">
        <v>1</v>
      </c>
      <c r="GA25" s="162">
        <v>1</v>
      </c>
      <c r="GB25" s="162">
        <v>1</v>
      </c>
      <c r="GC25" s="162">
        <v>1</v>
      </c>
      <c r="GD25" s="162">
        <v>1</v>
      </c>
      <c r="GE25" s="162">
        <v>1</v>
      </c>
      <c r="GF25" s="162">
        <v>1</v>
      </c>
      <c r="GG25" s="162">
        <v>1</v>
      </c>
      <c r="GH25" s="162">
        <v>1</v>
      </c>
      <c r="GI25" s="162">
        <v>1</v>
      </c>
      <c r="GJ25" s="162">
        <v>1</v>
      </c>
      <c r="GK25" s="162">
        <v>1</v>
      </c>
      <c r="GL25" s="162">
        <v>1</v>
      </c>
      <c r="GM25" s="162">
        <v>1</v>
      </c>
      <c r="GN25" s="162">
        <v>1</v>
      </c>
      <c r="GO25" s="162">
        <v>1</v>
      </c>
      <c r="GP25" s="162">
        <v>1</v>
      </c>
      <c r="GQ25" s="162">
        <v>1</v>
      </c>
      <c r="GR25" s="162">
        <v>1</v>
      </c>
      <c r="GS25" s="218">
        <v>1</v>
      </c>
      <c r="GT25" s="31"/>
      <c r="GU25" s="219">
        <f t="shared" si="13"/>
        <v>1</v>
      </c>
      <c r="GV25" s="220">
        <f t="shared" si="14"/>
        <v>1</v>
      </c>
      <c r="GW25" s="220">
        <f t="shared" si="15"/>
        <v>1</v>
      </c>
      <c r="GX25" s="220">
        <f t="shared" si="16"/>
        <v>1</v>
      </c>
      <c r="GY25" s="220">
        <f t="shared" si="17"/>
        <v>1</v>
      </c>
      <c r="GZ25" s="220">
        <f t="shared" si="18"/>
        <v>1</v>
      </c>
      <c r="HA25" s="220">
        <f t="shared" si="19"/>
        <v>1</v>
      </c>
      <c r="HB25" s="220">
        <f t="shared" si="20"/>
        <v>1</v>
      </c>
      <c r="HC25" s="220">
        <f t="shared" si="21"/>
        <v>1</v>
      </c>
      <c r="HD25" s="220">
        <f t="shared" si="22"/>
        <v>1</v>
      </c>
      <c r="HE25" s="220">
        <f t="shared" si="23"/>
        <v>1</v>
      </c>
      <c r="HF25" s="220">
        <f t="shared" si="24"/>
        <v>1</v>
      </c>
      <c r="HG25" s="220">
        <f t="shared" si="25"/>
        <v>1</v>
      </c>
      <c r="HH25" s="220">
        <f t="shared" si="26"/>
        <v>1</v>
      </c>
      <c r="HI25" s="220">
        <f t="shared" si="27"/>
        <v>1</v>
      </c>
      <c r="HJ25" s="220">
        <f t="shared" si="28"/>
        <v>1</v>
      </c>
      <c r="HK25" s="220">
        <f t="shared" si="29"/>
        <v>1</v>
      </c>
      <c r="HL25" s="220">
        <f t="shared" si="30"/>
        <v>1</v>
      </c>
      <c r="HM25" s="220">
        <f t="shared" si="31"/>
        <v>1</v>
      </c>
      <c r="HN25" s="220">
        <f t="shared" si="32"/>
        <v>1</v>
      </c>
      <c r="HO25" s="220">
        <f t="shared" si="33"/>
        <v>1</v>
      </c>
      <c r="HP25" s="220">
        <f t="shared" si="34"/>
        <v>1</v>
      </c>
      <c r="HQ25" s="220">
        <f t="shared" si="35"/>
        <v>1</v>
      </c>
      <c r="HR25" s="220">
        <f t="shared" si="36"/>
        <v>1</v>
      </c>
      <c r="HS25" s="220">
        <f t="shared" si="37"/>
        <v>1</v>
      </c>
      <c r="HT25" s="220">
        <f t="shared" si="38"/>
        <v>1</v>
      </c>
      <c r="HU25" s="220">
        <f t="shared" si="39"/>
        <v>1</v>
      </c>
      <c r="HV25" s="220">
        <f t="shared" si="40"/>
        <v>1</v>
      </c>
      <c r="HW25" s="220">
        <f t="shared" si="41"/>
        <v>1</v>
      </c>
      <c r="HX25" s="220">
        <f t="shared" si="42"/>
        <v>1</v>
      </c>
      <c r="HY25" s="220">
        <f t="shared" si="43"/>
        <v>1</v>
      </c>
      <c r="HZ25" s="220">
        <f t="shared" si="44"/>
        <v>1</v>
      </c>
      <c r="IA25" s="220">
        <f t="shared" si="45"/>
        <v>1</v>
      </c>
      <c r="IB25" s="220">
        <f t="shared" si="46"/>
        <v>1</v>
      </c>
      <c r="IC25" s="220">
        <f t="shared" si="47"/>
        <v>1</v>
      </c>
      <c r="ID25" s="220">
        <f t="shared" si="48"/>
        <v>1</v>
      </c>
      <c r="IE25" s="220">
        <f t="shared" si="49"/>
        <v>1</v>
      </c>
      <c r="IF25" s="220">
        <f t="shared" si="50"/>
        <v>1</v>
      </c>
      <c r="IG25" s="220">
        <f t="shared" si="51"/>
        <v>1</v>
      </c>
      <c r="IH25" s="220">
        <f t="shared" si="52"/>
        <v>1</v>
      </c>
      <c r="II25" s="220">
        <f t="shared" si="53"/>
        <v>1</v>
      </c>
      <c r="IJ25" s="220">
        <f t="shared" si="54"/>
        <v>1</v>
      </c>
      <c r="IK25" s="220">
        <f t="shared" si="55"/>
        <v>1</v>
      </c>
      <c r="IL25" s="220">
        <f t="shared" si="56"/>
        <v>1</v>
      </c>
      <c r="IM25" s="220">
        <f t="shared" si="57"/>
        <v>1</v>
      </c>
      <c r="IN25" s="220">
        <f t="shared" si="58"/>
        <v>1</v>
      </c>
      <c r="IO25" s="220">
        <f t="shared" si="59"/>
        <v>1</v>
      </c>
      <c r="IP25" s="220">
        <f t="shared" si="60"/>
        <v>1</v>
      </c>
      <c r="IQ25" s="220">
        <f t="shared" si="61"/>
        <v>1</v>
      </c>
      <c r="IR25" s="220">
        <f t="shared" si="62"/>
        <v>1</v>
      </c>
      <c r="IS25" s="220">
        <f t="shared" si="63"/>
        <v>1</v>
      </c>
      <c r="IT25" s="220">
        <f t="shared" si="64"/>
        <v>1</v>
      </c>
      <c r="IU25" s="220">
        <f t="shared" si="65"/>
        <v>1</v>
      </c>
      <c r="IV25" s="220">
        <f t="shared" si="66"/>
        <v>1</v>
      </c>
      <c r="IW25" s="220">
        <f t="shared" si="67"/>
        <v>1</v>
      </c>
      <c r="IX25" s="220">
        <f t="shared" si="68"/>
        <v>1</v>
      </c>
      <c r="IY25" s="220">
        <f t="shared" si="69"/>
        <v>1</v>
      </c>
      <c r="IZ25" s="220">
        <f t="shared" si="70"/>
        <v>1</v>
      </c>
      <c r="JA25" s="220">
        <f t="shared" si="71"/>
        <v>1</v>
      </c>
      <c r="JB25" s="220">
        <f t="shared" si="72"/>
        <v>1</v>
      </c>
      <c r="JC25" s="220">
        <f t="shared" si="73"/>
        <v>1</v>
      </c>
      <c r="JD25" s="220">
        <f t="shared" si="74"/>
        <v>1</v>
      </c>
      <c r="JE25" s="220">
        <f t="shared" si="75"/>
        <v>1</v>
      </c>
      <c r="JF25" s="220">
        <f t="shared" si="76"/>
        <v>1</v>
      </c>
      <c r="JG25" s="220">
        <f t="shared" si="77"/>
        <v>1</v>
      </c>
      <c r="JH25" s="220">
        <f t="shared" si="78"/>
        <v>1</v>
      </c>
      <c r="JI25" s="220">
        <f t="shared" si="79"/>
        <v>1</v>
      </c>
      <c r="JJ25" s="220">
        <f t="shared" si="80"/>
        <v>1</v>
      </c>
      <c r="JK25" s="220">
        <f t="shared" si="81"/>
        <v>1</v>
      </c>
      <c r="JL25" s="220">
        <f t="shared" si="82"/>
        <v>1</v>
      </c>
      <c r="JM25" s="220">
        <f t="shared" si="83"/>
        <v>1</v>
      </c>
      <c r="JN25" s="220">
        <f t="shared" si="84"/>
        <v>1</v>
      </c>
      <c r="JO25" s="220">
        <f t="shared" si="85"/>
        <v>1</v>
      </c>
      <c r="JP25" s="220">
        <f t="shared" si="86"/>
        <v>1</v>
      </c>
      <c r="JQ25" s="220">
        <f t="shared" si="87"/>
        <v>1</v>
      </c>
      <c r="JR25" s="220">
        <f t="shared" si="88"/>
        <v>1</v>
      </c>
      <c r="JS25" s="220">
        <f t="shared" si="89"/>
        <v>1</v>
      </c>
      <c r="JT25" s="220">
        <f t="shared" si="90"/>
        <v>1</v>
      </c>
      <c r="JU25" s="220">
        <f t="shared" si="91"/>
        <v>1</v>
      </c>
      <c r="JV25" s="220">
        <f t="shared" si="92"/>
        <v>1</v>
      </c>
      <c r="JW25" s="220">
        <f t="shared" si="93"/>
        <v>1</v>
      </c>
      <c r="JX25" s="220">
        <f t="shared" si="94"/>
        <v>1</v>
      </c>
      <c r="JY25" s="220">
        <f t="shared" si="95"/>
        <v>1</v>
      </c>
      <c r="JZ25" s="220">
        <f t="shared" si="96"/>
        <v>1</v>
      </c>
      <c r="KA25" s="220">
        <f t="shared" si="97"/>
        <v>1</v>
      </c>
      <c r="KB25" s="220">
        <f t="shared" si="98"/>
        <v>1</v>
      </c>
      <c r="KC25" s="220">
        <f t="shared" si="99"/>
        <v>1</v>
      </c>
      <c r="KD25" s="220">
        <f t="shared" si="100"/>
        <v>1</v>
      </c>
      <c r="KE25" s="220">
        <f t="shared" si="101"/>
        <v>1</v>
      </c>
      <c r="KF25" s="220">
        <f t="shared" si="102"/>
        <v>1</v>
      </c>
      <c r="KG25" s="221">
        <f t="shared" si="103"/>
        <v>1</v>
      </c>
      <c r="KH25" s="13"/>
    </row>
    <row r="26" spans="1:294" ht="62.5" customHeight="1" thickBot="1" x14ac:dyDescent="0.4">
      <c r="A26" s="4"/>
      <c r="B26" s="58">
        <v>19</v>
      </c>
      <c r="C26" s="14" t="s">
        <v>32</v>
      </c>
      <c r="D26" s="5" t="s">
        <v>224</v>
      </c>
      <c r="E26" s="6" t="s">
        <v>2</v>
      </c>
      <c r="F26" s="5" t="s">
        <v>225</v>
      </c>
      <c r="G26" s="6" t="s">
        <v>172</v>
      </c>
      <c r="H26" s="22">
        <v>46202</v>
      </c>
      <c r="I26" s="22">
        <v>46220</v>
      </c>
      <c r="J26" s="67">
        <f t="shared" si="104"/>
        <v>19</v>
      </c>
      <c r="K26" s="22"/>
      <c r="L26" s="22"/>
      <c r="M26" s="67" t="str">
        <f>IF(AND(K26=0,L26=0),"No Progress",IF(Tbl_SM[[#This Row],[ACTUAL START]]="",0,IF(L26-K26&lt;0,"On Progress",L26-K26)))</f>
        <v>No Progress</v>
      </c>
      <c r="N26" s="21" t="str">
        <f>IF(Tbl_SM[[#This Row],[PLAN START]]="","",
IF(Tbl_SM[[#This Row],[ACTUAL FINISH]]&lt;&gt;"","CLOSE",
IF(Tbl_SM[[#This Row],[ACTUAL START]]&lt;&gt;"","ON PROGRESS",
"OPEN")))</f>
        <v>OPEN</v>
      </c>
      <c r="O26"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6" s="189">
        <f t="shared" si="12"/>
        <v>0.52666666666666595</v>
      </c>
      <c r="Q26" s="187">
        <f>IF(Tbl_SM[[#This Row],[STATUS]]="CLOSE",1,0)</f>
        <v>0</v>
      </c>
      <c r="S26" s="156">
        <v>0.05</v>
      </c>
      <c r="T26" s="157">
        <v>0.08</v>
      </c>
      <c r="U26" s="157">
        <v>0.1</v>
      </c>
      <c r="V26" s="157">
        <v>0.12666666666666701</v>
      </c>
      <c r="W26" s="157">
        <v>0.151666666666667</v>
      </c>
      <c r="X26" s="157">
        <v>0.176666666666667</v>
      </c>
      <c r="Y26" s="157">
        <v>0.20166666666666699</v>
      </c>
      <c r="Z26" s="157">
        <v>0.22666666666666699</v>
      </c>
      <c r="AA26" s="157">
        <v>0.25166666666666698</v>
      </c>
      <c r="AB26" s="157">
        <v>0.276666666666667</v>
      </c>
      <c r="AC26" s="157">
        <v>0.30166666666666703</v>
      </c>
      <c r="AD26" s="157">
        <v>0.32666666666666699</v>
      </c>
      <c r="AE26" s="157">
        <v>0.35166666666666702</v>
      </c>
      <c r="AF26" s="157">
        <v>0.37666666666666698</v>
      </c>
      <c r="AG26" s="157">
        <v>0.401666666666667</v>
      </c>
      <c r="AH26" s="157">
        <v>0.42666666666666703</v>
      </c>
      <c r="AI26" s="157">
        <v>0.45166666666666699</v>
      </c>
      <c r="AJ26" s="157">
        <v>0.47666666666666702</v>
      </c>
      <c r="AK26" s="157">
        <v>0.50166666666666704</v>
      </c>
      <c r="AL26" s="157">
        <v>0.50166666666666704</v>
      </c>
      <c r="AM26" s="157">
        <v>0.50166666666666704</v>
      </c>
      <c r="AN26" s="157">
        <v>0.50166666666666704</v>
      </c>
      <c r="AO26" s="157">
        <v>0.50166666666666704</v>
      </c>
      <c r="AP26" s="157">
        <v>0.50166666666666704</v>
      </c>
      <c r="AQ26" s="157">
        <v>0.50166666666666704</v>
      </c>
      <c r="AR26" s="157">
        <v>0.50166666666666704</v>
      </c>
      <c r="AS26" s="157">
        <v>0.50166666666666704</v>
      </c>
      <c r="AT26" s="157">
        <v>0.50166666666666704</v>
      </c>
      <c r="AU26" s="157">
        <v>0.51</v>
      </c>
      <c r="AV26" s="157">
        <v>0.51833333333333298</v>
      </c>
      <c r="AW26" s="157">
        <v>0.52666666666666595</v>
      </c>
      <c r="AX26" s="157">
        <v>0.53499999999999903</v>
      </c>
      <c r="AY26" s="157">
        <v>0.543333333333332</v>
      </c>
      <c r="AZ26" s="157">
        <v>0.55166666666666497</v>
      </c>
      <c r="BA26" s="157">
        <v>0.55999999999999805</v>
      </c>
      <c r="BB26" s="157">
        <v>0.56833333333333103</v>
      </c>
      <c r="BC26" s="157">
        <v>0.6</v>
      </c>
      <c r="BD26" s="157">
        <v>0.63</v>
      </c>
      <c r="BE26" s="157">
        <v>0.66</v>
      </c>
      <c r="BF26" s="157">
        <v>0.69</v>
      </c>
      <c r="BG26" s="157">
        <v>0.72</v>
      </c>
      <c r="BH26" s="157">
        <v>0.75</v>
      </c>
      <c r="BI26" s="157">
        <v>0.78</v>
      </c>
      <c r="BJ26" s="157">
        <v>0.81</v>
      </c>
      <c r="BK26" s="157">
        <v>0.84</v>
      </c>
      <c r="BL26" s="157">
        <v>0.87</v>
      </c>
      <c r="BM26" s="157">
        <v>0.9</v>
      </c>
      <c r="BN26" s="157">
        <v>0.93</v>
      </c>
      <c r="BO26" s="157">
        <v>0.96</v>
      </c>
      <c r="BP26" s="157">
        <v>0.99</v>
      </c>
      <c r="BQ26" s="157">
        <v>1</v>
      </c>
      <c r="BR26" s="157">
        <v>1</v>
      </c>
      <c r="BS26" s="157">
        <v>1</v>
      </c>
      <c r="BT26" s="157">
        <v>1</v>
      </c>
      <c r="BU26" s="157">
        <v>1</v>
      </c>
      <c r="BV26" s="157">
        <v>1</v>
      </c>
      <c r="BW26" s="157">
        <v>1</v>
      </c>
      <c r="BX26" s="157">
        <v>1</v>
      </c>
      <c r="BY26" s="157">
        <v>1</v>
      </c>
      <c r="BZ26" s="157">
        <v>1</v>
      </c>
      <c r="CA26" s="157">
        <v>1</v>
      </c>
      <c r="CB26" s="157">
        <v>1</v>
      </c>
      <c r="CC26" s="157">
        <v>1</v>
      </c>
      <c r="CD26" s="157">
        <v>1</v>
      </c>
      <c r="CE26" s="157">
        <v>1</v>
      </c>
      <c r="CF26" s="157">
        <v>1</v>
      </c>
      <c r="CG26" s="157">
        <v>1</v>
      </c>
      <c r="CH26" s="157">
        <v>1</v>
      </c>
      <c r="CI26" s="157">
        <v>1</v>
      </c>
      <c r="CJ26" s="157">
        <v>1</v>
      </c>
      <c r="CK26" s="157">
        <v>1</v>
      </c>
      <c r="CL26" s="157">
        <v>1</v>
      </c>
      <c r="CM26" s="157">
        <v>1</v>
      </c>
      <c r="CN26" s="157">
        <v>1</v>
      </c>
      <c r="CO26" s="157">
        <v>1</v>
      </c>
      <c r="CP26" s="157">
        <v>1</v>
      </c>
      <c r="CQ26" s="157">
        <v>1</v>
      </c>
      <c r="CR26" s="157">
        <v>1</v>
      </c>
      <c r="CS26" s="157">
        <v>1</v>
      </c>
      <c r="CT26" s="157">
        <v>1</v>
      </c>
      <c r="CU26" s="157">
        <v>1</v>
      </c>
      <c r="CV26" s="157">
        <v>1</v>
      </c>
      <c r="CW26" s="157">
        <v>1</v>
      </c>
      <c r="CX26" s="157">
        <v>1</v>
      </c>
      <c r="CY26" s="157">
        <v>1</v>
      </c>
      <c r="CZ26" s="157">
        <v>1</v>
      </c>
      <c r="DA26" s="157">
        <v>1</v>
      </c>
      <c r="DB26" s="157">
        <v>1</v>
      </c>
      <c r="DC26" s="157">
        <v>1</v>
      </c>
      <c r="DD26" s="157">
        <v>1</v>
      </c>
      <c r="DE26" s="158">
        <v>1</v>
      </c>
      <c r="DF26" s="152"/>
      <c r="DG26" s="225">
        <v>0.05</v>
      </c>
      <c r="DH26" s="162">
        <v>0.08</v>
      </c>
      <c r="DI26" s="162">
        <v>0.1</v>
      </c>
      <c r="DJ26" s="162">
        <v>0.12666666666666701</v>
      </c>
      <c r="DK26" s="162">
        <v>0.151666666666667</v>
      </c>
      <c r="DL26" s="162">
        <v>0.176666666666667</v>
      </c>
      <c r="DM26" s="162">
        <v>0.20166666666666699</v>
      </c>
      <c r="DN26" s="162">
        <v>0.22666666666666699</v>
      </c>
      <c r="DO26" s="162">
        <v>0.25166666666666698</v>
      </c>
      <c r="DP26" s="162">
        <v>0.276666666666667</v>
      </c>
      <c r="DQ26" s="162">
        <v>0.30166666666666703</v>
      </c>
      <c r="DR26" s="162">
        <v>0.32666666666666699</v>
      </c>
      <c r="DS26" s="162">
        <v>0.35166666666666702</v>
      </c>
      <c r="DT26" s="162">
        <v>0.37666666666666698</v>
      </c>
      <c r="DU26" s="162">
        <v>0.401666666666667</v>
      </c>
      <c r="DV26" s="162">
        <v>0.42666666666666703</v>
      </c>
      <c r="DW26" s="162">
        <v>0.45166666666666699</v>
      </c>
      <c r="DX26" s="162">
        <v>0.47666666666666702</v>
      </c>
      <c r="DY26" s="162">
        <v>0.50166666666666704</v>
      </c>
      <c r="DZ26" s="162">
        <v>0.50166666666666704</v>
      </c>
      <c r="EA26" s="162">
        <v>0.50166666666666704</v>
      </c>
      <c r="EB26" s="162">
        <v>0.50166666666666704</v>
      </c>
      <c r="EC26" s="162">
        <v>0.50166666666666704</v>
      </c>
      <c r="ED26" s="162">
        <v>0.50166666666666704</v>
      </c>
      <c r="EE26" s="162">
        <v>0.50166666666666704</v>
      </c>
      <c r="EF26" s="162">
        <v>0.50166666666666704</v>
      </c>
      <c r="EG26" s="162">
        <v>0.50166666666666704</v>
      </c>
      <c r="EH26" s="162">
        <v>0.50166666666666704</v>
      </c>
      <c r="EI26" s="162">
        <v>0.51</v>
      </c>
      <c r="EJ26" s="162">
        <v>0.51833333333333298</v>
      </c>
      <c r="EK26" s="162">
        <v>0.52666666666666595</v>
      </c>
      <c r="EL26" s="162">
        <v>0.53499999999999903</v>
      </c>
      <c r="EM26" s="162">
        <v>0.543333333333332</v>
      </c>
      <c r="EN26" s="162">
        <v>0.55166666666666497</v>
      </c>
      <c r="EO26" s="162">
        <v>0.55999999999999805</v>
      </c>
      <c r="EP26" s="162">
        <v>0.56833333333333103</v>
      </c>
      <c r="EQ26" s="162">
        <v>0.6</v>
      </c>
      <c r="ER26" s="162">
        <v>0.63</v>
      </c>
      <c r="ES26" s="162">
        <v>0.66</v>
      </c>
      <c r="ET26" s="162">
        <v>0.69</v>
      </c>
      <c r="EU26" s="162">
        <v>0.72</v>
      </c>
      <c r="EV26" s="162">
        <v>0.75</v>
      </c>
      <c r="EW26" s="162">
        <v>0.78</v>
      </c>
      <c r="EX26" s="162">
        <v>0.81</v>
      </c>
      <c r="EY26" s="162">
        <v>0.84</v>
      </c>
      <c r="EZ26" s="162">
        <v>0.87</v>
      </c>
      <c r="FA26" s="162">
        <v>0.9</v>
      </c>
      <c r="FB26" s="162">
        <v>0.93</v>
      </c>
      <c r="FC26" s="162">
        <v>0.96</v>
      </c>
      <c r="FD26" s="162">
        <v>0.99</v>
      </c>
      <c r="FE26" s="162">
        <v>1</v>
      </c>
      <c r="FF26" s="162">
        <v>1</v>
      </c>
      <c r="FG26" s="162">
        <v>1</v>
      </c>
      <c r="FH26" s="162">
        <v>1</v>
      </c>
      <c r="FI26" s="162">
        <v>1</v>
      </c>
      <c r="FJ26" s="162">
        <v>1</v>
      </c>
      <c r="FK26" s="162">
        <v>1</v>
      </c>
      <c r="FL26" s="162">
        <v>1</v>
      </c>
      <c r="FM26" s="162">
        <v>1</v>
      </c>
      <c r="FN26" s="162">
        <v>1</v>
      </c>
      <c r="FO26" s="162">
        <v>1</v>
      </c>
      <c r="FP26" s="162">
        <v>1</v>
      </c>
      <c r="FQ26" s="162">
        <v>1</v>
      </c>
      <c r="FR26" s="162">
        <v>1</v>
      </c>
      <c r="FS26" s="162">
        <v>1</v>
      </c>
      <c r="FT26" s="162">
        <v>1</v>
      </c>
      <c r="FU26" s="162">
        <v>1</v>
      </c>
      <c r="FV26" s="162">
        <v>1</v>
      </c>
      <c r="FW26" s="162">
        <v>1</v>
      </c>
      <c r="FX26" s="162">
        <v>1</v>
      </c>
      <c r="FY26" s="162">
        <v>1</v>
      </c>
      <c r="FZ26" s="162">
        <v>1</v>
      </c>
      <c r="GA26" s="162">
        <v>1</v>
      </c>
      <c r="GB26" s="162">
        <v>1</v>
      </c>
      <c r="GC26" s="162">
        <v>1</v>
      </c>
      <c r="GD26" s="162">
        <v>1</v>
      </c>
      <c r="GE26" s="162">
        <v>1</v>
      </c>
      <c r="GF26" s="162">
        <v>1</v>
      </c>
      <c r="GG26" s="162">
        <v>1</v>
      </c>
      <c r="GH26" s="162">
        <v>1</v>
      </c>
      <c r="GI26" s="162">
        <v>1</v>
      </c>
      <c r="GJ26" s="162">
        <v>1</v>
      </c>
      <c r="GK26" s="162">
        <v>1</v>
      </c>
      <c r="GL26" s="162">
        <v>1</v>
      </c>
      <c r="GM26" s="162">
        <v>1</v>
      </c>
      <c r="GN26" s="162">
        <v>1</v>
      </c>
      <c r="GO26" s="162">
        <v>1</v>
      </c>
      <c r="GP26" s="162">
        <v>1</v>
      </c>
      <c r="GQ26" s="162">
        <v>1</v>
      </c>
      <c r="GR26" s="162">
        <v>1</v>
      </c>
      <c r="GS26" s="218">
        <v>1</v>
      </c>
      <c r="GT26" s="31"/>
      <c r="GU26" s="219">
        <f t="shared" si="13"/>
        <v>1</v>
      </c>
      <c r="GV26" s="220">
        <f t="shared" si="14"/>
        <v>1</v>
      </c>
      <c r="GW26" s="220">
        <f t="shared" si="15"/>
        <v>1</v>
      </c>
      <c r="GX26" s="220">
        <f t="shared" si="16"/>
        <v>1</v>
      </c>
      <c r="GY26" s="220">
        <f t="shared" si="17"/>
        <v>1</v>
      </c>
      <c r="GZ26" s="220">
        <f t="shared" si="18"/>
        <v>1</v>
      </c>
      <c r="HA26" s="220">
        <f t="shared" si="19"/>
        <v>1</v>
      </c>
      <c r="HB26" s="220">
        <f t="shared" si="20"/>
        <v>1</v>
      </c>
      <c r="HC26" s="220">
        <f t="shared" si="21"/>
        <v>1</v>
      </c>
      <c r="HD26" s="220">
        <f t="shared" si="22"/>
        <v>1</v>
      </c>
      <c r="HE26" s="220">
        <f t="shared" si="23"/>
        <v>1</v>
      </c>
      <c r="HF26" s="220">
        <f t="shared" si="24"/>
        <v>1</v>
      </c>
      <c r="HG26" s="220">
        <f t="shared" si="25"/>
        <v>1</v>
      </c>
      <c r="HH26" s="220">
        <f t="shared" si="26"/>
        <v>1</v>
      </c>
      <c r="HI26" s="220">
        <f t="shared" si="27"/>
        <v>1</v>
      </c>
      <c r="HJ26" s="220">
        <f t="shared" si="28"/>
        <v>1</v>
      </c>
      <c r="HK26" s="220">
        <f t="shared" si="29"/>
        <v>1</v>
      </c>
      <c r="HL26" s="220">
        <f t="shared" si="30"/>
        <v>1</v>
      </c>
      <c r="HM26" s="220">
        <f t="shared" si="31"/>
        <v>1</v>
      </c>
      <c r="HN26" s="220">
        <f t="shared" si="32"/>
        <v>1</v>
      </c>
      <c r="HO26" s="220">
        <f t="shared" si="33"/>
        <v>1</v>
      </c>
      <c r="HP26" s="220">
        <f t="shared" si="34"/>
        <v>1</v>
      </c>
      <c r="HQ26" s="220">
        <f t="shared" si="35"/>
        <v>1</v>
      </c>
      <c r="HR26" s="220">
        <f t="shared" si="36"/>
        <v>1</v>
      </c>
      <c r="HS26" s="220">
        <f t="shared" si="37"/>
        <v>1</v>
      </c>
      <c r="HT26" s="220">
        <f t="shared" si="38"/>
        <v>1</v>
      </c>
      <c r="HU26" s="220">
        <f t="shared" si="39"/>
        <v>1</v>
      </c>
      <c r="HV26" s="220">
        <f t="shared" si="40"/>
        <v>1</v>
      </c>
      <c r="HW26" s="220">
        <f t="shared" si="41"/>
        <v>1</v>
      </c>
      <c r="HX26" s="220">
        <f t="shared" si="42"/>
        <v>1</v>
      </c>
      <c r="HY26" s="220">
        <f t="shared" si="43"/>
        <v>1</v>
      </c>
      <c r="HZ26" s="220">
        <f t="shared" si="44"/>
        <v>1</v>
      </c>
      <c r="IA26" s="220">
        <f t="shared" si="45"/>
        <v>1</v>
      </c>
      <c r="IB26" s="220">
        <f t="shared" si="46"/>
        <v>1</v>
      </c>
      <c r="IC26" s="220">
        <f t="shared" si="47"/>
        <v>1</v>
      </c>
      <c r="ID26" s="220">
        <f t="shared" si="48"/>
        <v>1</v>
      </c>
      <c r="IE26" s="220">
        <f t="shared" si="49"/>
        <v>1</v>
      </c>
      <c r="IF26" s="220">
        <f t="shared" si="50"/>
        <v>1</v>
      </c>
      <c r="IG26" s="220">
        <f t="shared" si="51"/>
        <v>1</v>
      </c>
      <c r="IH26" s="220">
        <f t="shared" si="52"/>
        <v>1</v>
      </c>
      <c r="II26" s="220">
        <f t="shared" si="53"/>
        <v>1</v>
      </c>
      <c r="IJ26" s="220">
        <f t="shared" si="54"/>
        <v>1</v>
      </c>
      <c r="IK26" s="220">
        <f t="shared" si="55"/>
        <v>1</v>
      </c>
      <c r="IL26" s="220">
        <f t="shared" si="56"/>
        <v>1</v>
      </c>
      <c r="IM26" s="220">
        <f t="shared" si="57"/>
        <v>1</v>
      </c>
      <c r="IN26" s="220">
        <f t="shared" si="58"/>
        <v>1</v>
      </c>
      <c r="IO26" s="220">
        <f t="shared" si="59"/>
        <v>1</v>
      </c>
      <c r="IP26" s="220">
        <f t="shared" si="60"/>
        <v>1</v>
      </c>
      <c r="IQ26" s="220">
        <f t="shared" si="61"/>
        <v>1</v>
      </c>
      <c r="IR26" s="220">
        <f t="shared" si="62"/>
        <v>1</v>
      </c>
      <c r="IS26" s="220">
        <f t="shared" si="63"/>
        <v>1</v>
      </c>
      <c r="IT26" s="220">
        <f t="shared" si="64"/>
        <v>1</v>
      </c>
      <c r="IU26" s="220">
        <f t="shared" si="65"/>
        <v>1</v>
      </c>
      <c r="IV26" s="220">
        <f t="shared" si="66"/>
        <v>1</v>
      </c>
      <c r="IW26" s="220">
        <f t="shared" si="67"/>
        <v>1</v>
      </c>
      <c r="IX26" s="220">
        <f t="shared" si="68"/>
        <v>1</v>
      </c>
      <c r="IY26" s="220">
        <f t="shared" si="69"/>
        <v>1</v>
      </c>
      <c r="IZ26" s="220">
        <f t="shared" si="70"/>
        <v>1</v>
      </c>
      <c r="JA26" s="220">
        <f t="shared" si="71"/>
        <v>1</v>
      </c>
      <c r="JB26" s="220">
        <f t="shared" si="72"/>
        <v>1</v>
      </c>
      <c r="JC26" s="220">
        <f t="shared" si="73"/>
        <v>1</v>
      </c>
      <c r="JD26" s="220">
        <f t="shared" si="74"/>
        <v>1</v>
      </c>
      <c r="JE26" s="220">
        <f t="shared" si="75"/>
        <v>1</v>
      </c>
      <c r="JF26" s="220">
        <f t="shared" si="76"/>
        <v>1</v>
      </c>
      <c r="JG26" s="220">
        <f t="shared" si="77"/>
        <v>1</v>
      </c>
      <c r="JH26" s="220">
        <f t="shared" si="78"/>
        <v>1</v>
      </c>
      <c r="JI26" s="220">
        <f t="shared" si="79"/>
        <v>1</v>
      </c>
      <c r="JJ26" s="220">
        <f t="shared" si="80"/>
        <v>1</v>
      </c>
      <c r="JK26" s="220">
        <f t="shared" si="81"/>
        <v>1</v>
      </c>
      <c r="JL26" s="220">
        <f t="shared" si="82"/>
        <v>1</v>
      </c>
      <c r="JM26" s="220">
        <f t="shared" si="83"/>
        <v>1</v>
      </c>
      <c r="JN26" s="220">
        <f t="shared" si="84"/>
        <v>1</v>
      </c>
      <c r="JO26" s="220">
        <f t="shared" si="85"/>
        <v>1</v>
      </c>
      <c r="JP26" s="220">
        <f t="shared" si="86"/>
        <v>1</v>
      </c>
      <c r="JQ26" s="220">
        <f t="shared" si="87"/>
        <v>1</v>
      </c>
      <c r="JR26" s="220">
        <f t="shared" si="88"/>
        <v>1</v>
      </c>
      <c r="JS26" s="220">
        <f t="shared" si="89"/>
        <v>1</v>
      </c>
      <c r="JT26" s="220">
        <f t="shared" si="90"/>
        <v>1</v>
      </c>
      <c r="JU26" s="220">
        <f t="shared" si="91"/>
        <v>1</v>
      </c>
      <c r="JV26" s="220">
        <f t="shared" si="92"/>
        <v>1</v>
      </c>
      <c r="JW26" s="220">
        <f t="shared" si="93"/>
        <v>1</v>
      </c>
      <c r="JX26" s="220">
        <f t="shared" si="94"/>
        <v>1</v>
      </c>
      <c r="JY26" s="220">
        <f t="shared" si="95"/>
        <v>1</v>
      </c>
      <c r="JZ26" s="220">
        <f t="shared" si="96"/>
        <v>1</v>
      </c>
      <c r="KA26" s="220">
        <f t="shared" si="97"/>
        <v>1</v>
      </c>
      <c r="KB26" s="220">
        <f t="shared" si="98"/>
        <v>1</v>
      </c>
      <c r="KC26" s="220">
        <f t="shared" si="99"/>
        <v>1</v>
      </c>
      <c r="KD26" s="220">
        <f t="shared" si="100"/>
        <v>1</v>
      </c>
      <c r="KE26" s="220">
        <f t="shared" si="101"/>
        <v>1</v>
      </c>
      <c r="KF26" s="220">
        <f t="shared" si="102"/>
        <v>1</v>
      </c>
      <c r="KG26" s="221">
        <f t="shared" si="103"/>
        <v>1</v>
      </c>
      <c r="KH26" s="13"/>
    </row>
    <row r="27" spans="1:294" ht="62.5" customHeight="1" thickBot="1" x14ac:dyDescent="0.4">
      <c r="A27" s="4"/>
      <c r="B27" s="58">
        <v>20</v>
      </c>
      <c r="C27" s="14" t="s">
        <v>173</v>
      </c>
      <c r="D27" s="5" t="s">
        <v>226</v>
      </c>
      <c r="E27" s="6" t="s">
        <v>2</v>
      </c>
      <c r="F27" s="5" t="s">
        <v>227</v>
      </c>
      <c r="G27" s="6" t="s">
        <v>171</v>
      </c>
      <c r="H27" s="22">
        <v>46181</v>
      </c>
      <c r="I27" s="22">
        <v>46199</v>
      </c>
      <c r="J27" s="67">
        <f t="shared" si="104"/>
        <v>19</v>
      </c>
      <c r="K27" s="22"/>
      <c r="L27" s="22"/>
      <c r="M27" s="67" t="str">
        <f>IF(AND(K27=0,L27=0),"No Progress",IF(Tbl_SM[[#This Row],[ACTUAL START]]="",0,IF(L27-K27&lt;0,"On Progress",L27-K27)))</f>
        <v>No Progress</v>
      </c>
      <c r="N27" s="21" t="str">
        <f>IF(Tbl_SM[[#This Row],[PLAN START]]="","",
IF(Tbl_SM[[#This Row],[ACTUAL FINISH]]&lt;&gt;"","CLOSE",
IF(Tbl_SM[[#This Row],[ACTUAL START]]&lt;&gt;"","ON PROGRESS",
"OPEN")))</f>
        <v>OPEN</v>
      </c>
      <c r="O27"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7" s="189">
        <f t="shared" si="12"/>
        <v>0.52666666666666595</v>
      </c>
      <c r="Q27" s="187">
        <f>IF(Tbl_SM[[#This Row],[STATUS]]="CLOSE",1,0)</f>
        <v>0</v>
      </c>
      <c r="S27" s="156">
        <v>0.05</v>
      </c>
      <c r="T27" s="157">
        <v>0.08</v>
      </c>
      <c r="U27" s="157">
        <v>0.1</v>
      </c>
      <c r="V27" s="157">
        <v>0.12666666666666701</v>
      </c>
      <c r="W27" s="157">
        <v>0.151666666666667</v>
      </c>
      <c r="X27" s="157">
        <v>0.176666666666667</v>
      </c>
      <c r="Y27" s="157">
        <v>0.20166666666666699</v>
      </c>
      <c r="Z27" s="157">
        <v>0.22666666666666699</v>
      </c>
      <c r="AA27" s="157">
        <v>0.25166666666666698</v>
      </c>
      <c r="AB27" s="157">
        <v>0.276666666666667</v>
      </c>
      <c r="AC27" s="157">
        <v>0.30166666666666703</v>
      </c>
      <c r="AD27" s="157">
        <v>0.32666666666666699</v>
      </c>
      <c r="AE27" s="157">
        <v>0.35166666666666702</v>
      </c>
      <c r="AF27" s="157">
        <v>0.37666666666666698</v>
      </c>
      <c r="AG27" s="157">
        <v>0.401666666666667</v>
      </c>
      <c r="AH27" s="157">
        <v>0.42666666666666703</v>
      </c>
      <c r="AI27" s="157">
        <v>0.45166666666666699</v>
      </c>
      <c r="AJ27" s="157">
        <v>0.47666666666666702</v>
      </c>
      <c r="AK27" s="157">
        <v>0.50166666666666704</v>
      </c>
      <c r="AL27" s="157">
        <v>0.50166666666666704</v>
      </c>
      <c r="AM27" s="157">
        <v>0.50166666666666704</v>
      </c>
      <c r="AN27" s="157">
        <v>0.50166666666666704</v>
      </c>
      <c r="AO27" s="157">
        <v>0.50166666666666704</v>
      </c>
      <c r="AP27" s="157">
        <v>0.50166666666666704</v>
      </c>
      <c r="AQ27" s="157">
        <v>0.50166666666666704</v>
      </c>
      <c r="AR27" s="157">
        <v>0.50166666666666704</v>
      </c>
      <c r="AS27" s="157">
        <v>0.50166666666666704</v>
      </c>
      <c r="AT27" s="157">
        <v>0.50166666666666704</v>
      </c>
      <c r="AU27" s="157">
        <v>0.51</v>
      </c>
      <c r="AV27" s="157">
        <v>0.51833333333333298</v>
      </c>
      <c r="AW27" s="157">
        <v>0.52666666666666595</v>
      </c>
      <c r="AX27" s="157">
        <v>0.53499999999999903</v>
      </c>
      <c r="AY27" s="157">
        <v>0.543333333333332</v>
      </c>
      <c r="AZ27" s="157">
        <v>0.55166666666666497</v>
      </c>
      <c r="BA27" s="157">
        <v>0.55999999999999805</v>
      </c>
      <c r="BB27" s="157">
        <v>0.56833333333333103</v>
      </c>
      <c r="BC27" s="157">
        <v>0.6</v>
      </c>
      <c r="BD27" s="157">
        <v>0.63</v>
      </c>
      <c r="BE27" s="157">
        <v>0.66</v>
      </c>
      <c r="BF27" s="157">
        <v>0.69</v>
      </c>
      <c r="BG27" s="157">
        <v>0.72</v>
      </c>
      <c r="BH27" s="157">
        <v>0.75</v>
      </c>
      <c r="BI27" s="157">
        <v>0.78</v>
      </c>
      <c r="BJ27" s="157">
        <v>0.81</v>
      </c>
      <c r="BK27" s="157">
        <v>0.84</v>
      </c>
      <c r="BL27" s="157">
        <v>0.87</v>
      </c>
      <c r="BM27" s="157">
        <v>0.9</v>
      </c>
      <c r="BN27" s="157">
        <v>0.93</v>
      </c>
      <c r="BO27" s="157">
        <v>0.96</v>
      </c>
      <c r="BP27" s="157">
        <v>0.99</v>
      </c>
      <c r="BQ27" s="157">
        <v>1</v>
      </c>
      <c r="BR27" s="157">
        <v>1</v>
      </c>
      <c r="BS27" s="157">
        <v>1</v>
      </c>
      <c r="BT27" s="157">
        <v>1</v>
      </c>
      <c r="BU27" s="157">
        <v>1</v>
      </c>
      <c r="BV27" s="157">
        <v>1</v>
      </c>
      <c r="BW27" s="157">
        <v>1</v>
      </c>
      <c r="BX27" s="157">
        <v>1</v>
      </c>
      <c r="BY27" s="157">
        <v>1</v>
      </c>
      <c r="BZ27" s="157">
        <v>1</v>
      </c>
      <c r="CA27" s="157">
        <v>1</v>
      </c>
      <c r="CB27" s="157">
        <v>1</v>
      </c>
      <c r="CC27" s="157">
        <v>1</v>
      </c>
      <c r="CD27" s="157">
        <v>1</v>
      </c>
      <c r="CE27" s="157">
        <v>1</v>
      </c>
      <c r="CF27" s="157">
        <v>1</v>
      </c>
      <c r="CG27" s="157">
        <v>1</v>
      </c>
      <c r="CH27" s="157">
        <v>1</v>
      </c>
      <c r="CI27" s="157">
        <v>1</v>
      </c>
      <c r="CJ27" s="157">
        <v>1</v>
      </c>
      <c r="CK27" s="157">
        <v>1</v>
      </c>
      <c r="CL27" s="157">
        <v>1</v>
      </c>
      <c r="CM27" s="157">
        <v>1</v>
      </c>
      <c r="CN27" s="157">
        <v>1</v>
      </c>
      <c r="CO27" s="157">
        <v>1</v>
      </c>
      <c r="CP27" s="157">
        <v>1</v>
      </c>
      <c r="CQ27" s="157">
        <v>1</v>
      </c>
      <c r="CR27" s="157">
        <v>1</v>
      </c>
      <c r="CS27" s="157">
        <v>1</v>
      </c>
      <c r="CT27" s="157">
        <v>1</v>
      </c>
      <c r="CU27" s="157">
        <v>1</v>
      </c>
      <c r="CV27" s="157">
        <v>1</v>
      </c>
      <c r="CW27" s="157">
        <v>1</v>
      </c>
      <c r="CX27" s="157">
        <v>1</v>
      </c>
      <c r="CY27" s="157">
        <v>1</v>
      </c>
      <c r="CZ27" s="157">
        <v>1</v>
      </c>
      <c r="DA27" s="157">
        <v>1</v>
      </c>
      <c r="DB27" s="157">
        <v>1</v>
      </c>
      <c r="DC27" s="157">
        <v>1</v>
      </c>
      <c r="DD27" s="157">
        <v>1</v>
      </c>
      <c r="DE27" s="158">
        <v>1</v>
      </c>
      <c r="DF27" s="152"/>
      <c r="DG27" s="225">
        <v>0.05</v>
      </c>
      <c r="DH27" s="162">
        <v>0.08</v>
      </c>
      <c r="DI27" s="162">
        <v>0.1</v>
      </c>
      <c r="DJ27" s="162">
        <v>0.12666666666666701</v>
      </c>
      <c r="DK27" s="162">
        <v>0.151666666666667</v>
      </c>
      <c r="DL27" s="162">
        <v>0.176666666666667</v>
      </c>
      <c r="DM27" s="162">
        <v>0.20166666666666699</v>
      </c>
      <c r="DN27" s="162">
        <v>0.22666666666666699</v>
      </c>
      <c r="DO27" s="162">
        <v>0.25166666666666698</v>
      </c>
      <c r="DP27" s="162">
        <v>0.276666666666667</v>
      </c>
      <c r="DQ27" s="162">
        <v>0.30166666666666703</v>
      </c>
      <c r="DR27" s="162">
        <v>0.32666666666666699</v>
      </c>
      <c r="DS27" s="162">
        <v>0.35166666666666702</v>
      </c>
      <c r="DT27" s="162">
        <v>0.37666666666666698</v>
      </c>
      <c r="DU27" s="162">
        <v>0.401666666666667</v>
      </c>
      <c r="DV27" s="162">
        <v>0.42666666666666703</v>
      </c>
      <c r="DW27" s="162">
        <v>0.45166666666666699</v>
      </c>
      <c r="DX27" s="162">
        <v>0.47666666666666702</v>
      </c>
      <c r="DY27" s="162">
        <v>0.50166666666666704</v>
      </c>
      <c r="DZ27" s="162">
        <v>0.50166666666666704</v>
      </c>
      <c r="EA27" s="162">
        <v>0.50166666666666704</v>
      </c>
      <c r="EB27" s="162">
        <v>0.50166666666666704</v>
      </c>
      <c r="EC27" s="162">
        <v>0.50166666666666704</v>
      </c>
      <c r="ED27" s="162">
        <v>0.50166666666666704</v>
      </c>
      <c r="EE27" s="162">
        <v>0.50166666666666704</v>
      </c>
      <c r="EF27" s="162">
        <v>0.50166666666666704</v>
      </c>
      <c r="EG27" s="162">
        <v>0.50166666666666704</v>
      </c>
      <c r="EH27" s="162">
        <v>0.50166666666666704</v>
      </c>
      <c r="EI27" s="162">
        <v>0.51</v>
      </c>
      <c r="EJ27" s="162">
        <v>0.51833333333333298</v>
      </c>
      <c r="EK27" s="162">
        <v>0.52666666666666595</v>
      </c>
      <c r="EL27" s="162">
        <v>0.53499999999999903</v>
      </c>
      <c r="EM27" s="162">
        <v>0.543333333333332</v>
      </c>
      <c r="EN27" s="162">
        <v>0.55166666666666497</v>
      </c>
      <c r="EO27" s="162">
        <v>0.55999999999999805</v>
      </c>
      <c r="EP27" s="162">
        <v>0.56833333333333103</v>
      </c>
      <c r="EQ27" s="162">
        <v>0.6</v>
      </c>
      <c r="ER27" s="162">
        <v>0.63</v>
      </c>
      <c r="ES27" s="162">
        <v>0.66</v>
      </c>
      <c r="ET27" s="162">
        <v>0.69</v>
      </c>
      <c r="EU27" s="162">
        <v>0.72</v>
      </c>
      <c r="EV27" s="162">
        <v>0.75</v>
      </c>
      <c r="EW27" s="162">
        <v>0.78</v>
      </c>
      <c r="EX27" s="162">
        <v>0.81</v>
      </c>
      <c r="EY27" s="162">
        <v>0.84</v>
      </c>
      <c r="EZ27" s="162">
        <v>0.87</v>
      </c>
      <c r="FA27" s="162">
        <v>0.9</v>
      </c>
      <c r="FB27" s="162">
        <v>0.93</v>
      </c>
      <c r="FC27" s="162">
        <v>0.96</v>
      </c>
      <c r="FD27" s="162">
        <v>0.99</v>
      </c>
      <c r="FE27" s="162">
        <v>1</v>
      </c>
      <c r="FF27" s="162">
        <v>1</v>
      </c>
      <c r="FG27" s="162">
        <v>1</v>
      </c>
      <c r="FH27" s="162">
        <v>1</v>
      </c>
      <c r="FI27" s="162">
        <v>1</v>
      </c>
      <c r="FJ27" s="162">
        <v>1</v>
      </c>
      <c r="FK27" s="162">
        <v>1</v>
      </c>
      <c r="FL27" s="162">
        <v>1</v>
      </c>
      <c r="FM27" s="162">
        <v>1</v>
      </c>
      <c r="FN27" s="162">
        <v>1</v>
      </c>
      <c r="FO27" s="162">
        <v>1</v>
      </c>
      <c r="FP27" s="162">
        <v>1</v>
      </c>
      <c r="FQ27" s="162">
        <v>1</v>
      </c>
      <c r="FR27" s="162">
        <v>1</v>
      </c>
      <c r="FS27" s="162">
        <v>1</v>
      </c>
      <c r="FT27" s="162">
        <v>1</v>
      </c>
      <c r="FU27" s="162">
        <v>1</v>
      </c>
      <c r="FV27" s="162">
        <v>1</v>
      </c>
      <c r="FW27" s="162">
        <v>1</v>
      </c>
      <c r="FX27" s="162">
        <v>1</v>
      </c>
      <c r="FY27" s="162">
        <v>1</v>
      </c>
      <c r="FZ27" s="162">
        <v>1</v>
      </c>
      <c r="GA27" s="162">
        <v>1</v>
      </c>
      <c r="GB27" s="162">
        <v>1</v>
      </c>
      <c r="GC27" s="162">
        <v>1</v>
      </c>
      <c r="GD27" s="162">
        <v>1</v>
      </c>
      <c r="GE27" s="162">
        <v>1</v>
      </c>
      <c r="GF27" s="162">
        <v>1</v>
      </c>
      <c r="GG27" s="162">
        <v>1</v>
      </c>
      <c r="GH27" s="162">
        <v>1</v>
      </c>
      <c r="GI27" s="162">
        <v>1</v>
      </c>
      <c r="GJ27" s="162">
        <v>1</v>
      </c>
      <c r="GK27" s="162">
        <v>1</v>
      </c>
      <c r="GL27" s="162">
        <v>1</v>
      </c>
      <c r="GM27" s="162">
        <v>1</v>
      </c>
      <c r="GN27" s="162">
        <v>1</v>
      </c>
      <c r="GO27" s="162">
        <v>1</v>
      </c>
      <c r="GP27" s="162">
        <v>1</v>
      </c>
      <c r="GQ27" s="162">
        <v>1</v>
      </c>
      <c r="GR27" s="162">
        <v>1</v>
      </c>
      <c r="GS27" s="218">
        <v>1</v>
      </c>
      <c r="GT27" s="31"/>
      <c r="GU27" s="219">
        <f t="shared" si="13"/>
        <v>1</v>
      </c>
      <c r="GV27" s="220">
        <f t="shared" si="14"/>
        <v>1</v>
      </c>
      <c r="GW27" s="220">
        <f t="shared" si="15"/>
        <v>1</v>
      </c>
      <c r="GX27" s="220">
        <f t="shared" si="16"/>
        <v>1</v>
      </c>
      <c r="GY27" s="220">
        <f t="shared" si="17"/>
        <v>1</v>
      </c>
      <c r="GZ27" s="220">
        <f t="shared" si="18"/>
        <v>1</v>
      </c>
      <c r="HA27" s="220">
        <f t="shared" si="19"/>
        <v>1</v>
      </c>
      <c r="HB27" s="220">
        <f t="shared" si="20"/>
        <v>1</v>
      </c>
      <c r="HC27" s="220">
        <f t="shared" si="21"/>
        <v>1</v>
      </c>
      <c r="HD27" s="220">
        <f t="shared" si="22"/>
        <v>1</v>
      </c>
      <c r="HE27" s="220">
        <f t="shared" si="23"/>
        <v>1</v>
      </c>
      <c r="HF27" s="220">
        <f t="shared" si="24"/>
        <v>1</v>
      </c>
      <c r="HG27" s="220">
        <f t="shared" si="25"/>
        <v>1</v>
      </c>
      <c r="HH27" s="220">
        <f t="shared" si="26"/>
        <v>1</v>
      </c>
      <c r="HI27" s="220">
        <f t="shared" si="27"/>
        <v>1</v>
      </c>
      <c r="HJ27" s="220">
        <f t="shared" si="28"/>
        <v>1</v>
      </c>
      <c r="HK27" s="220">
        <f t="shared" si="29"/>
        <v>1</v>
      </c>
      <c r="HL27" s="220">
        <f t="shared" si="30"/>
        <v>1</v>
      </c>
      <c r="HM27" s="220">
        <f t="shared" si="31"/>
        <v>1</v>
      </c>
      <c r="HN27" s="220">
        <f t="shared" si="32"/>
        <v>1</v>
      </c>
      <c r="HO27" s="220">
        <f t="shared" si="33"/>
        <v>1</v>
      </c>
      <c r="HP27" s="220">
        <f t="shared" si="34"/>
        <v>1</v>
      </c>
      <c r="HQ27" s="220">
        <f t="shared" si="35"/>
        <v>1</v>
      </c>
      <c r="HR27" s="220">
        <f t="shared" si="36"/>
        <v>1</v>
      </c>
      <c r="HS27" s="220">
        <f t="shared" si="37"/>
        <v>1</v>
      </c>
      <c r="HT27" s="220">
        <f t="shared" si="38"/>
        <v>1</v>
      </c>
      <c r="HU27" s="220">
        <f t="shared" si="39"/>
        <v>1</v>
      </c>
      <c r="HV27" s="220">
        <f t="shared" si="40"/>
        <v>1</v>
      </c>
      <c r="HW27" s="220">
        <f t="shared" si="41"/>
        <v>1</v>
      </c>
      <c r="HX27" s="220">
        <f t="shared" si="42"/>
        <v>1</v>
      </c>
      <c r="HY27" s="220">
        <f t="shared" si="43"/>
        <v>1</v>
      </c>
      <c r="HZ27" s="220">
        <f t="shared" si="44"/>
        <v>1</v>
      </c>
      <c r="IA27" s="220">
        <f t="shared" si="45"/>
        <v>1</v>
      </c>
      <c r="IB27" s="220">
        <f t="shared" si="46"/>
        <v>1</v>
      </c>
      <c r="IC27" s="220">
        <f t="shared" si="47"/>
        <v>1</v>
      </c>
      <c r="ID27" s="220">
        <f t="shared" si="48"/>
        <v>1</v>
      </c>
      <c r="IE27" s="220">
        <f t="shared" si="49"/>
        <v>1</v>
      </c>
      <c r="IF27" s="220">
        <f t="shared" si="50"/>
        <v>1</v>
      </c>
      <c r="IG27" s="220">
        <f t="shared" si="51"/>
        <v>1</v>
      </c>
      <c r="IH27" s="220">
        <f t="shared" si="52"/>
        <v>1</v>
      </c>
      <c r="II27" s="220">
        <f t="shared" si="53"/>
        <v>1</v>
      </c>
      <c r="IJ27" s="220">
        <f t="shared" si="54"/>
        <v>1</v>
      </c>
      <c r="IK27" s="220">
        <f t="shared" si="55"/>
        <v>1</v>
      </c>
      <c r="IL27" s="220">
        <f t="shared" si="56"/>
        <v>1</v>
      </c>
      <c r="IM27" s="220">
        <f t="shared" si="57"/>
        <v>1</v>
      </c>
      <c r="IN27" s="220">
        <f t="shared" si="58"/>
        <v>1</v>
      </c>
      <c r="IO27" s="220">
        <f t="shared" si="59"/>
        <v>1</v>
      </c>
      <c r="IP27" s="220">
        <f t="shared" si="60"/>
        <v>1</v>
      </c>
      <c r="IQ27" s="220">
        <f t="shared" si="61"/>
        <v>1</v>
      </c>
      <c r="IR27" s="220">
        <f t="shared" si="62"/>
        <v>1</v>
      </c>
      <c r="IS27" s="220">
        <f t="shared" si="63"/>
        <v>1</v>
      </c>
      <c r="IT27" s="220">
        <f t="shared" si="64"/>
        <v>1</v>
      </c>
      <c r="IU27" s="220">
        <f t="shared" si="65"/>
        <v>1</v>
      </c>
      <c r="IV27" s="220">
        <f t="shared" si="66"/>
        <v>1</v>
      </c>
      <c r="IW27" s="220">
        <f t="shared" si="67"/>
        <v>1</v>
      </c>
      <c r="IX27" s="220">
        <f t="shared" si="68"/>
        <v>1</v>
      </c>
      <c r="IY27" s="220">
        <f t="shared" si="69"/>
        <v>1</v>
      </c>
      <c r="IZ27" s="220">
        <f t="shared" si="70"/>
        <v>1</v>
      </c>
      <c r="JA27" s="220">
        <f t="shared" si="71"/>
        <v>1</v>
      </c>
      <c r="JB27" s="220">
        <f t="shared" si="72"/>
        <v>1</v>
      </c>
      <c r="JC27" s="220">
        <f t="shared" si="73"/>
        <v>1</v>
      </c>
      <c r="JD27" s="220">
        <f t="shared" si="74"/>
        <v>1</v>
      </c>
      <c r="JE27" s="220">
        <f t="shared" si="75"/>
        <v>1</v>
      </c>
      <c r="JF27" s="220">
        <f t="shared" si="76"/>
        <v>1</v>
      </c>
      <c r="JG27" s="220">
        <f t="shared" si="77"/>
        <v>1</v>
      </c>
      <c r="JH27" s="220">
        <f t="shared" si="78"/>
        <v>1</v>
      </c>
      <c r="JI27" s="220">
        <f t="shared" si="79"/>
        <v>1</v>
      </c>
      <c r="JJ27" s="220">
        <f t="shared" si="80"/>
        <v>1</v>
      </c>
      <c r="JK27" s="220">
        <f t="shared" si="81"/>
        <v>1</v>
      </c>
      <c r="JL27" s="220">
        <f t="shared" si="82"/>
        <v>1</v>
      </c>
      <c r="JM27" s="220">
        <f t="shared" si="83"/>
        <v>1</v>
      </c>
      <c r="JN27" s="220">
        <f t="shared" si="84"/>
        <v>1</v>
      </c>
      <c r="JO27" s="220">
        <f t="shared" si="85"/>
        <v>1</v>
      </c>
      <c r="JP27" s="220">
        <f t="shared" si="86"/>
        <v>1</v>
      </c>
      <c r="JQ27" s="220">
        <f t="shared" si="87"/>
        <v>1</v>
      </c>
      <c r="JR27" s="220">
        <f t="shared" si="88"/>
        <v>1</v>
      </c>
      <c r="JS27" s="220">
        <f t="shared" si="89"/>
        <v>1</v>
      </c>
      <c r="JT27" s="220">
        <f t="shared" si="90"/>
        <v>1</v>
      </c>
      <c r="JU27" s="220">
        <f t="shared" si="91"/>
        <v>1</v>
      </c>
      <c r="JV27" s="220">
        <f t="shared" si="92"/>
        <v>1</v>
      </c>
      <c r="JW27" s="220">
        <f t="shared" si="93"/>
        <v>1</v>
      </c>
      <c r="JX27" s="220">
        <f t="shared" si="94"/>
        <v>1</v>
      </c>
      <c r="JY27" s="220">
        <f t="shared" si="95"/>
        <v>1</v>
      </c>
      <c r="JZ27" s="220">
        <f t="shared" si="96"/>
        <v>1</v>
      </c>
      <c r="KA27" s="220">
        <f t="shared" si="97"/>
        <v>1</v>
      </c>
      <c r="KB27" s="220">
        <f t="shared" si="98"/>
        <v>1</v>
      </c>
      <c r="KC27" s="220">
        <f t="shared" si="99"/>
        <v>1</v>
      </c>
      <c r="KD27" s="220">
        <f t="shared" si="100"/>
        <v>1</v>
      </c>
      <c r="KE27" s="220">
        <f t="shared" si="101"/>
        <v>1</v>
      </c>
      <c r="KF27" s="220">
        <f t="shared" si="102"/>
        <v>1</v>
      </c>
      <c r="KG27" s="221">
        <f t="shared" si="103"/>
        <v>1</v>
      </c>
      <c r="KH27" s="13"/>
    </row>
    <row r="28" spans="1:294" ht="62.5" customHeight="1" thickBot="1" x14ac:dyDescent="0.4">
      <c r="A28" s="4"/>
      <c r="B28" s="58">
        <v>21</v>
      </c>
      <c r="C28" s="14" t="s">
        <v>173</v>
      </c>
      <c r="D28" s="5" t="s">
        <v>228</v>
      </c>
      <c r="E28" s="6" t="s">
        <v>3</v>
      </c>
      <c r="F28" s="5" t="s">
        <v>229</v>
      </c>
      <c r="G28" s="6" t="s">
        <v>202</v>
      </c>
      <c r="H28" s="22">
        <v>46204</v>
      </c>
      <c r="I28" s="22">
        <v>46262</v>
      </c>
      <c r="J28" s="67">
        <f t="shared" si="104"/>
        <v>59</v>
      </c>
      <c r="K28" s="22"/>
      <c r="L28" s="22"/>
      <c r="M28" s="67" t="str">
        <f>IF(AND(K28=0,L28=0),"No Progress",IF(Tbl_SM[[#This Row],[ACTUAL START]]="",0,IF(L28-K28&lt;0,"On Progress",L28-K28)))</f>
        <v>No Progress</v>
      </c>
      <c r="N28" s="21" t="str">
        <f>IF(Tbl_SM[[#This Row],[PLAN START]]="","",
IF(Tbl_SM[[#This Row],[ACTUAL FINISH]]&lt;&gt;"","CLOSE",
IF(Tbl_SM[[#This Row],[ACTUAL START]]&lt;&gt;"","ON PROGRESS",
"OPEN")))</f>
        <v>OPEN</v>
      </c>
      <c r="O28"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8" s="189">
        <f t="shared" si="12"/>
        <v>0.52666666666666595</v>
      </c>
      <c r="Q28" s="187">
        <f>IF(Tbl_SM[[#This Row],[STATUS]]="CLOSE",1,0)</f>
        <v>0</v>
      </c>
      <c r="S28" s="156">
        <v>0.05</v>
      </c>
      <c r="T28" s="157">
        <v>0.08</v>
      </c>
      <c r="U28" s="157">
        <v>0.1</v>
      </c>
      <c r="V28" s="157">
        <v>0.12666666666666701</v>
      </c>
      <c r="W28" s="157">
        <v>0.151666666666667</v>
      </c>
      <c r="X28" s="157">
        <v>0.176666666666667</v>
      </c>
      <c r="Y28" s="157">
        <v>0.20166666666666699</v>
      </c>
      <c r="Z28" s="157">
        <v>0.22666666666666699</v>
      </c>
      <c r="AA28" s="157">
        <v>0.25166666666666698</v>
      </c>
      <c r="AB28" s="157">
        <v>0.276666666666667</v>
      </c>
      <c r="AC28" s="157">
        <v>0.30166666666666703</v>
      </c>
      <c r="AD28" s="157">
        <v>0.32666666666666699</v>
      </c>
      <c r="AE28" s="157">
        <v>0.35166666666666702</v>
      </c>
      <c r="AF28" s="157">
        <v>0.37666666666666698</v>
      </c>
      <c r="AG28" s="157">
        <v>0.401666666666667</v>
      </c>
      <c r="AH28" s="157">
        <v>0.42666666666666703</v>
      </c>
      <c r="AI28" s="157">
        <v>0.45166666666666699</v>
      </c>
      <c r="AJ28" s="157">
        <v>0.47666666666666702</v>
      </c>
      <c r="AK28" s="157">
        <v>0.50166666666666704</v>
      </c>
      <c r="AL28" s="157">
        <v>0.50166666666666704</v>
      </c>
      <c r="AM28" s="157">
        <v>0.50166666666666704</v>
      </c>
      <c r="AN28" s="157">
        <v>0.50166666666666704</v>
      </c>
      <c r="AO28" s="157">
        <v>0.50166666666666704</v>
      </c>
      <c r="AP28" s="157">
        <v>0.50166666666666704</v>
      </c>
      <c r="AQ28" s="157">
        <v>0.50166666666666704</v>
      </c>
      <c r="AR28" s="157">
        <v>0.50166666666666704</v>
      </c>
      <c r="AS28" s="157">
        <v>0.50166666666666704</v>
      </c>
      <c r="AT28" s="157">
        <v>0.50166666666666704</v>
      </c>
      <c r="AU28" s="157">
        <v>0.51</v>
      </c>
      <c r="AV28" s="157">
        <v>0.51833333333333298</v>
      </c>
      <c r="AW28" s="157">
        <v>0.52666666666666595</v>
      </c>
      <c r="AX28" s="157">
        <v>0.53499999999999903</v>
      </c>
      <c r="AY28" s="157">
        <v>0.543333333333332</v>
      </c>
      <c r="AZ28" s="157">
        <v>0.55166666666666497</v>
      </c>
      <c r="BA28" s="157">
        <v>0.55999999999999805</v>
      </c>
      <c r="BB28" s="157">
        <v>0.56833333333333103</v>
      </c>
      <c r="BC28" s="157">
        <v>0.6</v>
      </c>
      <c r="BD28" s="157">
        <v>0.63</v>
      </c>
      <c r="BE28" s="157">
        <v>0.66</v>
      </c>
      <c r="BF28" s="157">
        <v>0.69</v>
      </c>
      <c r="BG28" s="157">
        <v>0.72</v>
      </c>
      <c r="BH28" s="157">
        <v>0.75</v>
      </c>
      <c r="BI28" s="157">
        <v>0.78</v>
      </c>
      <c r="BJ28" s="157">
        <v>0.81</v>
      </c>
      <c r="BK28" s="157">
        <v>0.84</v>
      </c>
      <c r="BL28" s="157">
        <v>0.87</v>
      </c>
      <c r="BM28" s="157">
        <v>0.9</v>
      </c>
      <c r="BN28" s="157">
        <v>0.93</v>
      </c>
      <c r="BO28" s="157">
        <v>0.96</v>
      </c>
      <c r="BP28" s="157">
        <v>0.99</v>
      </c>
      <c r="BQ28" s="157">
        <v>1</v>
      </c>
      <c r="BR28" s="157">
        <v>1</v>
      </c>
      <c r="BS28" s="157">
        <v>1</v>
      </c>
      <c r="BT28" s="157">
        <v>1</v>
      </c>
      <c r="BU28" s="157">
        <v>1</v>
      </c>
      <c r="BV28" s="157">
        <v>1</v>
      </c>
      <c r="BW28" s="157">
        <v>1</v>
      </c>
      <c r="BX28" s="157">
        <v>1</v>
      </c>
      <c r="BY28" s="157">
        <v>1</v>
      </c>
      <c r="BZ28" s="157">
        <v>1</v>
      </c>
      <c r="CA28" s="157">
        <v>1</v>
      </c>
      <c r="CB28" s="157">
        <v>1</v>
      </c>
      <c r="CC28" s="157">
        <v>1</v>
      </c>
      <c r="CD28" s="157">
        <v>1</v>
      </c>
      <c r="CE28" s="157">
        <v>1</v>
      </c>
      <c r="CF28" s="157">
        <v>1</v>
      </c>
      <c r="CG28" s="157">
        <v>1</v>
      </c>
      <c r="CH28" s="157">
        <v>1</v>
      </c>
      <c r="CI28" s="157">
        <v>1</v>
      </c>
      <c r="CJ28" s="157">
        <v>1</v>
      </c>
      <c r="CK28" s="157">
        <v>1</v>
      </c>
      <c r="CL28" s="157">
        <v>1</v>
      </c>
      <c r="CM28" s="157">
        <v>1</v>
      </c>
      <c r="CN28" s="157">
        <v>1</v>
      </c>
      <c r="CO28" s="157">
        <v>1</v>
      </c>
      <c r="CP28" s="157">
        <v>1</v>
      </c>
      <c r="CQ28" s="157">
        <v>1</v>
      </c>
      <c r="CR28" s="157">
        <v>1</v>
      </c>
      <c r="CS28" s="157">
        <v>1</v>
      </c>
      <c r="CT28" s="157">
        <v>1</v>
      </c>
      <c r="CU28" s="157">
        <v>1</v>
      </c>
      <c r="CV28" s="157">
        <v>1</v>
      </c>
      <c r="CW28" s="157">
        <v>1</v>
      </c>
      <c r="CX28" s="157">
        <v>1</v>
      </c>
      <c r="CY28" s="157">
        <v>1</v>
      </c>
      <c r="CZ28" s="157">
        <v>1</v>
      </c>
      <c r="DA28" s="157">
        <v>1</v>
      </c>
      <c r="DB28" s="157">
        <v>1</v>
      </c>
      <c r="DC28" s="157">
        <v>1</v>
      </c>
      <c r="DD28" s="157">
        <v>1</v>
      </c>
      <c r="DE28" s="158">
        <v>1</v>
      </c>
      <c r="DF28" s="152"/>
      <c r="DG28" s="225">
        <v>0.05</v>
      </c>
      <c r="DH28" s="162">
        <v>0.08</v>
      </c>
      <c r="DI28" s="162">
        <v>0.1</v>
      </c>
      <c r="DJ28" s="162">
        <v>0.12666666666666701</v>
      </c>
      <c r="DK28" s="162">
        <v>0.151666666666667</v>
      </c>
      <c r="DL28" s="162">
        <v>0.176666666666667</v>
      </c>
      <c r="DM28" s="162">
        <v>0.20166666666666699</v>
      </c>
      <c r="DN28" s="162">
        <v>0.22666666666666699</v>
      </c>
      <c r="DO28" s="162">
        <v>0.25166666666666698</v>
      </c>
      <c r="DP28" s="162">
        <v>0.276666666666667</v>
      </c>
      <c r="DQ28" s="162">
        <v>0.30166666666666703</v>
      </c>
      <c r="DR28" s="162">
        <v>0.32666666666666699</v>
      </c>
      <c r="DS28" s="162">
        <v>0.35166666666666702</v>
      </c>
      <c r="DT28" s="162">
        <v>0.37666666666666698</v>
      </c>
      <c r="DU28" s="162">
        <v>0.401666666666667</v>
      </c>
      <c r="DV28" s="162">
        <v>0.42666666666666703</v>
      </c>
      <c r="DW28" s="162">
        <v>0.45166666666666699</v>
      </c>
      <c r="DX28" s="162">
        <v>0.47666666666666702</v>
      </c>
      <c r="DY28" s="162">
        <v>0.50166666666666704</v>
      </c>
      <c r="DZ28" s="162">
        <v>0.50166666666666704</v>
      </c>
      <c r="EA28" s="162">
        <v>0.50166666666666704</v>
      </c>
      <c r="EB28" s="162">
        <v>0.50166666666666704</v>
      </c>
      <c r="EC28" s="162">
        <v>0.50166666666666704</v>
      </c>
      <c r="ED28" s="162">
        <v>0.50166666666666704</v>
      </c>
      <c r="EE28" s="162">
        <v>0.50166666666666704</v>
      </c>
      <c r="EF28" s="162">
        <v>0.50166666666666704</v>
      </c>
      <c r="EG28" s="162">
        <v>0.50166666666666704</v>
      </c>
      <c r="EH28" s="162">
        <v>0.50166666666666704</v>
      </c>
      <c r="EI28" s="162">
        <v>0.51</v>
      </c>
      <c r="EJ28" s="162">
        <v>0.51833333333333298</v>
      </c>
      <c r="EK28" s="162">
        <v>0.52666666666666595</v>
      </c>
      <c r="EL28" s="162">
        <v>0.53499999999999903</v>
      </c>
      <c r="EM28" s="162">
        <v>0.543333333333332</v>
      </c>
      <c r="EN28" s="162">
        <v>0.55166666666666497</v>
      </c>
      <c r="EO28" s="162">
        <v>0.55999999999999805</v>
      </c>
      <c r="EP28" s="162">
        <v>0.56833333333333103</v>
      </c>
      <c r="EQ28" s="162">
        <v>0.6</v>
      </c>
      <c r="ER28" s="162">
        <v>0.63</v>
      </c>
      <c r="ES28" s="162">
        <v>0.66</v>
      </c>
      <c r="ET28" s="162">
        <v>0.69</v>
      </c>
      <c r="EU28" s="162">
        <v>0.72</v>
      </c>
      <c r="EV28" s="162">
        <v>0.75</v>
      </c>
      <c r="EW28" s="162">
        <v>0.78</v>
      </c>
      <c r="EX28" s="162">
        <v>0.81</v>
      </c>
      <c r="EY28" s="162">
        <v>0.84</v>
      </c>
      <c r="EZ28" s="162">
        <v>0.87</v>
      </c>
      <c r="FA28" s="162">
        <v>0.9</v>
      </c>
      <c r="FB28" s="162">
        <v>0.93</v>
      </c>
      <c r="FC28" s="162">
        <v>0.96</v>
      </c>
      <c r="FD28" s="162">
        <v>0.99</v>
      </c>
      <c r="FE28" s="162">
        <v>1</v>
      </c>
      <c r="FF28" s="162">
        <v>1</v>
      </c>
      <c r="FG28" s="162">
        <v>1</v>
      </c>
      <c r="FH28" s="162">
        <v>1</v>
      </c>
      <c r="FI28" s="162">
        <v>1</v>
      </c>
      <c r="FJ28" s="162">
        <v>1</v>
      </c>
      <c r="FK28" s="162">
        <v>1</v>
      </c>
      <c r="FL28" s="162">
        <v>1</v>
      </c>
      <c r="FM28" s="162">
        <v>1</v>
      </c>
      <c r="FN28" s="162">
        <v>1</v>
      </c>
      <c r="FO28" s="162">
        <v>1</v>
      </c>
      <c r="FP28" s="162">
        <v>1</v>
      </c>
      <c r="FQ28" s="162">
        <v>1</v>
      </c>
      <c r="FR28" s="162">
        <v>1</v>
      </c>
      <c r="FS28" s="162">
        <v>1</v>
      </c>
      <c r="FT28" s="162">
        <v>1</v>
      </c>
      <c r="FU28" s="162">
        <v>1</v>
      </c>
      <c r="FV28" s="162">
        <v>1</v>
      </c>
      <c r="FW28" s="162">
        <v>1</v>
      </c>
      <c r="FX28" s="162">
        <v>1</v>
      </c>
      <c r="FY28" s="162">
        <v>1</v>
      </c>
      <c r="FZ28" s="162">
        <v>1</v>
      </c>
      <c r="GA28" s="162">
        <v>1</v>
      </c>
      <c r="GB28" s="162">
        <v>1</v>
      </c>
      <c r="GC28" s="162">
        <v>1</v>
      </c>
      <c r="GD28" s="162">
        <v>1</v>
      </c>
      <c r="GE28" s="162">
        <v>1</v>
      </c>
      <c r="GF28" s="162">
        <v>1</v>
      </c>
      <c r="GG28" s="162">
        <v>1</v>
      </c>
      <c r="GH28" s="162">
        <v>1</v>
      </c>
      <c r="GI28" s="162">
        <v>1</v>
      </c>
      <c r="GJ28" s="162">
        <v>1</v>
      </c>
      <c r="GK28" s="162">
        <v>1</v>
      </c>
      <c r="GL28" s="162">
        <v>1</v>
      </c>
      <c r="GM28" s="162">
        <v>1</v>
      </c>
      <c r="GN28" s="162">
        <v>1</v>
      </c>
      <c r="GO28" s="162">
        <v>1</v>
      </c>
      <c r="GP28" s="162">
        <v>1</v>
      </c>
      <c r="GQ28" s="162">
        <v>1</v>
      </c>
      <c r="GR28" s="162">
        <v>1</v>
      </c>
      <c r="GS28" s="218">
        <v>1</v>
      </c>
      <c r="GT28" s="31"/>
      <c r="GU28" s="219">
        <f t="shared" si="13"/>
        <v>1</v>
      </c>
      <c r="GV28" s="220">
        <f t="shared" si="14"/>
        <v>1</v>
      </c>
      <c r="GW28" s="220">
        <f t="shared" si="15"/>
        <v>1</v>
      </c>
      <c r="GX28" s="220">
        <f t="shared" si="16"/>
        <v>1</v>
      </c>
      <c r="GY28" s="220">
        <f t="shared" si="17"/>
        <v>1</v>
      </c>
      <c r="GZ28" s="220">
        <f t="shared" si="18"/>
        <v>1</v>
      </c>
      <c r="HA28" s="220">
        <f t="shared" si="19"/>
        <v>1</v>
      </c>
      <c r="HB28" s="220">
        <f t="shared" si="20"/>
        <v>1</v>
      </c>
      <c r="HC28" s="220">
        <f t="shared" si="21"/>
        <v>1</v>
      </c>
      <c r="HD28" s="220">
        <f t="shared" si="22"/>
        <v>1</v>
      </c>
      <c r="HE28" s="220">
        <f t="shared" si="23"/>
        <v>1</v>
      </c>
      <c r="HF28" s="220">
        <f t="shared" si="24"/>
        <v>1</v>
      </c>
      <c r="HG28" s="220">
        <f t="shared" si="25"/>
        <v>1</v>
      </c>
      <c r="HH28" s="220">
        <f t="shared" si="26"/>
        <v>1</v>
      </c>
      <c r="HI28" s="220">
        <f t="shared" si="27"/>
        <v>1</v>
      </c>
      <c r="HJ28" s="220">
        <f t="shared" si="28"/>
        <v>1</v>
      </c>
      <c r="HK28" s="220">
        <f t="shared" si="29"/>
        <v>1</v>
      </c>
      <c r="HL28" s="220">
        <f t="shared" si="30"/>
        <v>1</v>
      </c>
      <c r="HM28" s="220">
        <f t="shared" si="31"/>
        <v>1</v>
      </c>
      <c r="HN28" s="220">
        <f t="shared" si="32"/>
        <v>1</v>
      </c>
      <c r="HO28" s="220">
        <f t="shared" si="33"/>
        <v>1</v>
      </c>
      <c r="HP28" s="220">
        <f t="shared" si="34"/>
        <v>1</v>
      </c>
      <c r="HQ28" s="220">
        <f t="shared" si="35"/>
        <v>1</v>
      </c>
      <c r="HR28" s="220">
        <f t="shared" si="36"/>
        <v>1</v>
      </c>
      <c r="HS28" s="220">
        <f t="shared" si="37"/>
        <v>1</v>
      </c>
      <c r="HT28" s="220">
        <f t="shared" si="38"/>
        <v>1</v>
      </c>
      <c r="HU28" s="220">
        <f t="shared" si="39"/>
        <v>1</v>
      </c>
      <c r="HV28" s="220">
        <f t="shared" si="40"/>
        <v>1</v>
      </c>
      <c r="HW28" s="220">
        <f t="shared" si="41"/>
        <v>1</v>
      </c>
      <c r="HX28" s="220">
        <f t="shared" si="42"/>
        <v>1</v>
      </c>
      <c r="HY28" s="220">
        <f t="shared" si="43"/>
        <v>1</v>
      </c>
      <c r="HZ28" s="220">
        <f t="shared" si="44"/>
        <v>1</v>
      </c>
      <c r="IA28" s="220">
        <f t="shared" si="45"/>
        <v>1</v>
      </c>
      <c r="IB28" s="220">
        <f t="shared" si="46"/>
        <v>1</v>
      </c>
      <c r="IC28" s="220">
        <f t="shared" si="47"/>
        <v>1</v>
      </c>
      <c r="ID28" s="220">
        <f t="shared" si="48"/>
        <v>1</v>
      </c>
      <c r="IE28" s="220">
        <f t="shared" si="49"/>
        <v>1</v>
      </c>
      <c r="IF28" s="220">
        <f t="shared" si="50"/>
        <v>1</v>
      </c>
      <c r="IG28" s="220">
        <f t="shared" si="51"/>
        <v>1</v>
      </c>
      <c r="IH28" s="220">
        <f t="shared" si="52"/>
        <v>1</v>
      </c>
      <c r="II28" s="220">
        <f t="shared" si="53"/>
        <v>1</v>
      </c>
      <c r="IJ28" s="220">
        <f t="shared" si="54"/>
        <v>1</v>
      </c>
      <c r="IK28" s="220">
        <f t="shared" si="55"/>
        <v>1</v>
      </c>
      <c r="IL28" s="220">
        <f t="shared" si="56"/>
        <v>1</v>
      </c>
      <c r="IM28" s="220">
        <f t="shared" si="57"/>
        <v>1</v>
      </c>
      <c r="IN28" s="220">
        <f t="shared" si="58"/>
        <v>1</v>
      </c>
      <c r="IO28" s="220">
        <f t="shared" si="59"/>
        <v>1</v>
      </c>
      <c r="IP28" s="220">
        <f t="shared" si="60"/>
        <v>1</v>
      </c>
      <c r="IQ28" s="220">
        <f t="shared" si="61"/>
        <v>1</v>
      </c>
      <c r="IR28" s="220">
        <f t="shared" si="62"/>
        <v>1</v>
      </c>
      <c r="IS28" s="220">
        <f t="shared" si="63"/>
        <v>1</v>
      </c>
      <c r="IT28" s="220">
        <f t="shared" si="64"/>
        <v>1</v>
      </c>
      <c r="IU28" s="220">
        <f t="shared" si="65"/>
        <v>1</v>
      </c>
      <c r="IV28" s="220">
        <f t="shared" si="66"/>
        <v>1</v>
      </c>
      <c r="IW28" s="220">
        <f t="shared" si="67"/>
        <v>1</v>
      </c>
      <c r="IX28" s="220">
        <f t="shared" si="68"/>
        <v>1</v>
      </c>
      <c r="IY28" s="220">
        <f t="shared" si="69"/>
        <v>1</v>
      </c>
      <c r="IZ28" s="220">
        <f t="shared" si="70"/>
        <v>1</v>
      </c>
      <c r="JA28" s="220">
        <f t="shared" si="71"/>
        <v>1</v>
      </c>
      <c r="JB28" s="220">
        <f t="shared" si="72"/>
        <v>1</v>
      </c>
      <c r="JC28" s="220">
        <f t="shared" si="73"/>
        <v>1</v>
      </c>
      <c r="JD28" s="220">
        <f t="shared" si="74"/>
        <v>1</v>
      </c>
      <c r="JE28" s="220">
        <f t="shared" si="75"/>
        <v>1</v>
      </c>
      <c r="JF28" s="220">
        <f t="shared" si="76"/>
        <v>1</v>
      </c>
      <c r="JG28" s="220">
        <f t="shared" si="77"/>
        <v>1</v>
      </c>
      <c r="JH28" s="220">
        <f t="shared" si="78"/>
        <v>1</v>
      </c>
      <c r="JI28" s="220">
        <f t="shared" si="79"/>
        <v>1</v>
      </c>
      <c r="JJ28" s="220">
        <f t="shared" si="80"/>
        <v>1</v>
      </c>
      <c r="JK28" s="220">
        <f t="shared" si="81"/>
        <v>1</v>
      </c>
      <c r="JL28" s="220">
        <f t="shared" si="82"/>
        <v>1</v>
      </c>
      <c r="JM28" s="220">
        <f t="shared" si="83"/>
        <v>1</v>
      </c>
      <c r="JN28" s="220">
        <f t="shared" si="84"/>
        <v>1</v>
      </c>
      <c r="JO28" s="220">
        <f t="shared" si="85"/>
        <v>1</v>
      </c>
      <c r="JP28" s="220">
        <f t="shared" si="86"/>
        <v>1</v>
      </c>
      <c r="JQ28" s="220">
        <f t="shared" si="87"/>
        <v>1</v>
      </c>
      <c r="JR28" s="220">
        <f t="shared" si="88"/>
        <v>1</v>
      </c>
      <c r="JS28" s="220">
        <f t="shared" si="89"/>
        <v>1</v>
      </c>
      <c r="JT28" s="220">
        <f t="shared" si="90"/>
        <v>1</v>
      </c>
      <c r="JU28" s="220">
        <f t="shared" si="91"/>
        <v>1</v>
      </c>
      <c r="JV28" s="220">
        <f t="shared" si="92"/>
        <v>1</v>
      </c>
      <c r="JW28" s="220">
        <f t="shared" si="93"/>
        <v>1</v>
      </c>
      <c r="JX28" s="220">
        <f t="shared" si="94"/>
        <v>1</v>
      </c>
      <c r="JY28" s="220">
        <f t="shared" si="95"/>
        <v>1</v>
      </c>
      <c r="JZ28" s="220">
        <f t="shared" si="96"/>
        <v>1</v>
      </c>
      <c r="KA28" s="220">
        <f t="shared" si="97"/>
        <v>1</v>
      </c>
      <c r="KB28" s="220">
        <f t="shared" si="98"/>
        <v>1</v>
      </c>
      <c r="KC28" s="220">
        <f t="shared" si="99"/>
        <v>1</v>
      </c>
      <c r="KD28" s="220">
        <f t="shared" si="100"/>
        <v>1</v>
      </c>
      <c r="KE28" s="220">
        <f t="shared" si="101"/>
        <v>1</v>
      </c>
      <c r="KF28" s="220">
        <f t="shared" si="102"/>
        <v>1</v>
      </c>
      <c r="KG28" s="221">
        <f t="shared" si="103"/>
        <v>1</v>
      </c>
      <c r="KH28" s="13"/>
    </row>
    <row r="29" spans="1:294" ht="62.5" customHeight="1" thickBot="1" x14ac:dyDescent="0.4">
      <c r="A29" s="4"/>
      <c r="B29" s="58">
        <v>22</v>
      </c>
      <c r="C29" s="14" t="s">
        <v>35</v>
      </c>
      <c r="D29" s="9" t="s">
        <v>230</v>
      </c>
      <c r="E29" s="6" t="s">
        <v>3</v>
      </c>
      <c r="F29" s="5" t="s">
        <v>231</v>
      </c>
      <c r="G29" s="6" t="s">
        <v>232</v>
      </c>
      <c r="H29" s="22">
        <v>46204</v>
      </c>
      <c r="I29" s="22">
        <v>46248</v>
      </c>
      <c r="J29" s="67">
        <f t="shared" si="104"/>
        <v>45</v>
      </c>
      <c r="K29" s="22"/>
      <c r="L29" s="22"/>
      <c r="M29" s="67" t="str">
        <f>IF(AND(K29=0,L29=0),"No Progress",IF(Tbl_SM[[#This Row],[ACTUAL START]]="",0,IF(L29-K29&lt;0,"On Progress",L29-K29)))</f>
        <v>No Progress</v>
      </c>
      <c r="N29" s="21" t="str">
        <f>IF(Tbl_SM[[#This Row],[PLAN START]]="","",
IF(Tbl_SM[[#This Row],[ACTUAL FINISH]]&lt;&gt;"","CLOSE",
IF(Tbl_SM[[#This Row],[ACTUAL START]]&lt;&gt;"","ON PROGRESS",
"OPEN")))</f>
        <v>OPEN</v>
      </c>
      <c r="O29" s="97" t="str">
        <f ca="1">IF(Tbl_SM[[#This Row],[PLAN START]]="","",
IF(Tbl_SM[[#This Row],[ACTUAL FINISH]]&lt;&gt;"","CLOSE",
IF(TODAY()&gt;Tbl_SM[[#This Row],[DUE DATA]],"OVERDUE",
IF((Tbl_SM[[#This Row],[DUE DATA]]-TODAY())&lt;=3,"&lt; 3 HARI",
IF((Tbl_SM[[#This Row],[DUE DATA]]-TODAY())&lt;=7,"&lt; 7 HARI",
IF((Tbl_SM[[#This Row],[DUE DATA]]-TODAY())&lt;=14,"&lt; 14 HARI",
"&gt; 14 HARI"))))))</f>
        <v>&gt; 14 HARI</v>
      </c>
      <c r="P29" s="189">
        <f t="shared" si="12"/>
        <v>0.52666666666666595</v>
      </c>
      <c r="Q29" s="187">
        <f>IF(Tbl_SM[[#This Row],[STATUS]]="CLOSE",1,0)</f>
        <v>0</v>
      </c>
      <c r="S29" s="159">
        <v>0.05</v>
      </c>
      <c r="T29" s="160">
        <v>0.08</v>
      </c>
      <c r="U29" s="160">
        <v>0.1</v>
      </c>
      <c r="V29" s="160">
        <v>0.12666666666666701</v>
      </c>
      <c r="W29" s="160">
        <v>0.151666666666667</v>
      </c>
      <c r="X29" s="160">
        <v>0.176666666666667</v>
      </c>
      <c r="Y29" s="160">
        <v>0.20166666666666699</v>
      </c>
      <c r="Z29" s="160">
        <v>0.22666666666666699</v>
      </c>
      <c r="AA29" s="160">
        <v>0.25166666666666698</v>
      </c>
      <c r="AB29" s="160">
        <v>0.276666666666667</v>
      </c>
      <c r="AC29" s="160">
        <v>0.30166666666666703</v>
      </c>
      <c r="AD29" s="160">
        <v>0.32666666666666699</v>
      </c>
      <c r="AE29" s="160">
        <v>0.35166666666666702</v>
      </c>
      <c r="AF29" s="160">
        <v>0.37666666666666698</v>
      </c>
      <c r="AG29" s="160">
        <v>0.401666666666667</v>
      </c>
      <c r="AH29" s="160">
        <v>0.42666666666666703</v>
      </c>
      <c r="AI29" s="160">
        <v>0.45166666666666699</v>
      </c>
      <c r="AJ29" s="160">
        <v>0.47666666666666702</v>
      </c>
      <c r="AK29" s="160">
        <v>0.50166666666666704</v>
      </c>
      <c r="AL29" s="160">
        <v>0.50166666666666704</v>
      </c>
      <c r="AM29" s="160">
        <v>0.50166666666666704</v>
      </c>
      <c r="AN29" s="160">
        <v>0.50166666666666704</v>
      </c>
      <c r="AO29" s="160">
        <v>0.50166666666666704</v>
      </c>
      <c r="AP29" s="160">
        <v>0.50166666666666704</v>
      </c>
      <c r="AQ29" s="160">
        <v>0.50166666666666704</v>
      </c>
      <c r="AR29" s="160">
        <v>0.50166666666666704</v>
      </c>
      <c r="AS29" s="160">
        <v>0.50166666666666704</v>
      </c>
      <c r="AT29" s="160">
        <v>0.50166666666666704</v>
      </c>
      <c r="AU29" s="160">
        <v>0.51</v>
      </c>
      <c r="AV29" s="160">
        <v>0.51833333333333298</v>
      </c>
      <c r="AW29" s="160">
        <v>0.52666666666666595</v>
      </c>
      <c r="AX29" s="160">
        <v>0.53499999999999903</v>
      </c>
      <c r="AY29" s="160">
        <v>0.543333333333332</v>
      </c>
      <c r="AZ29" s="160">
        <v>0.55166666666666497</v>
      </c>
      <c r="BA29" s="160">
        <v>0.55999999999999805</v>
      </c>
      <c r="BB29" s="160">
        <v>0.56833333333333103</v>
      </c>
      <c r="BC29" s="160">
        <v>0.6</v>
      </c>
      <c r="BD29" s="160">
        <v>0.63</v>
      </c>
      <c r="BE29" s="160">
        <v>0.66</v>
      </c>
      <c r="BF29" s="160">
        <v>0.69</v>
      </c>
      <c r="BG29" s="160">
        <v>0.72</v>
      </c>
      <c r="BH29" s="160">
        <v>0.75</v>
      </c>
      <c r="BI29" s="160">
        <v>0.78</v>
      </c>
      <c r="BJ29" s="160">
        <v>0.81</v>
      </c>
      <c r="BK29" s="160">
        <v>0.84</v>
      </c>
      <c r="BL29" s="160">
        <v>0.87</v>
      </c>
      <c r="BM29" s="160">
        <v>0.9</v>
      </c>
      <c r="BN29" s="160">
        <v>0.93</v>
      </c>
      <c r="BO29" s="160">
        <v>0.96</v>
      </c>
      <c r="BP29" s="160">
        <v>0.99</v>
      </c>
      <c r="BQ29" s="160">
        <v>1</v>
      </c>
      <c r="BR29" s="160">
        <v>1</v>
      </c>
      <c r="BS29" s="160">
        <v>1</v>
      </c>
      <c r="BT29" s="160">
        <v>1</v>
      </c>
      <c r="BU29" s="160">
        <v>1</v>
      </c>
      <c r="BV29" s="160">
        <v>1</v>
      </c>
      <c r="BW29" s="160">
        <v>1</v>
      </c>
      <c r="BX29" s="160">
        <v>1</v>
      </c>
      <c r="BY29" s="160">
        <v>1</v>
      </c>
      <c r="BZ29" s="160">
        <v>1</v>
      </c>
      <c r="CA29" s="160">
        <v>1</v>
      </c>
      <c r="CB29" s="160">
        <v>1</v>
      </c>
      <c r="CC29" s="160">
        <v>1</v>
      </c>
      <c r="CD29" s="160">
        <v>1</v>
      </c>
      <c r="CE29" s="160">
        <v>1</v>
      </c>
      <c r="CF29" s="160">
        <v>1</v>
      </c>
      <c r="CG29" s="160">
        <v>1</v>
      </c>
      <c r="CH29" s="160">
        <v>1</v>
      </c>
      <c r="CI29" s="160">
        <v>1</v>
      </c>
      <c r="CJ29" s="160">
        <v>1</v>
      </c>
      <c r="CK29" s="160">
        <v>1</v>
      </c>
      <c r="CL29" s="160">
        <v>1</v>
      </c>
      <c r="CM29" s="160">
        <v>1</v>
      </c>
      <c r="CN29" s="160">
        <v>1</v>
      </c>
      <c r="CO29" s="160">
        <v>1</v>
      </c>
      <c r="CP29" s="160">
        <v>1</v>
      </c>
      <c r="CQ29" s="160">
        <v>1</v>
      </c>
      <c r="CR29" s="160">
        <v>1</v>
      </c>
      <c r="CS29" s="160">
        <v>1</v>
      </c>
      <c r="CT29" s="160">
        <v>1</v>
      </c>
      <c r="CU29" s="160">
        <v>1</v>
      </c>
      <c r="CV29" s="160">
        <v>1</v>
      </c>
      <c r="CW29" s="160">
        <v>1</v>
      </c>
      <c r="CX29" s="160">
        <v>1</v>
      </c>
      <c r="CY29" s="160">
        <v>1</v>
      </c>
      <c r="CZ29" s="160">
        <v>1</v>
      </c>
      <c r="DA29" s="160">
        <v>1</v>
      </c>
      <c r="DB29" s="160">
        <v>1</v>
      </c>
      <c r="DC29" s="160">
        <v>1</v>
      </c>
      <c r="DD29" s="160">
        <v>1</v>
      </c>
      <c r="DE29" s="161">
        <v>1</v>
      </c>
      <c r="DF29" s="152"/>
      <c r="DG29" s="226">
        <v>0.05</v>
      </c>
      <c r="DH29" s="227">
        <v>0.08</v>
      </c>
      <c r="DI29" s="227">
        <v>0.1</v>
      </c>
      <c r="DJ29" s="227">
        <v>0.12666666666666701</v>
      </c>
      <c r="DK29" s="227">
        <v>0.151666666666667</v>
      </c>
      <c r="DL29" s="227">
        <v>0.176666666666667</v>
      </c>
      <c r="DM29" s="227">
        <v>0.20166666666666699</v>
      </c>
      <c r="DN29" s="227">
        <v>0.22666666666666699</v>
      </c>
      <c r="DO29" s="227">
        <v>0.25166666666666698</v>
      </c>
      <c r="DP29" s="227">
        <v>0.276666666666667</v>
      </c>
      <c r="DQ29" s="227">
        <v>0.30166666666666703</v>
      </c>
      <c r="DR29" s="227">
        <v>0.32666666666666699</v>
      </c>
      <c r="DS29" s="227">
        <v>0.35166666666666702</v>
      </c>
      <c r="DT29" s="227">
        <v>0.37666666666666698</v>
      </c>
      <c r="DU29" s="227">
        <v>0.401666666666667</v>
      </c>
      <c r="DV29" s="227">
        <v>0.42666666666666703</v>
      </c>
      <c r="DW29" s="227">
        <v>0.45166666666666699</v>
      </c>
      <c r="DX29" s="227">
        <v>0.47666666666666702</v>
      </c>
      <c r="DY29" s="227">
        <v>0.50166666666666704</v>
      </c>
      <c r="DZ29" s="227">
        <v>0.50166666666666704</v>
      </c>
      <c r="EA29" s="227">
        <v>0.50166666666666704</v>
      </c>
      <c r="EB29" s="227">
        <v>0.50166666666666704</v>
      </c>
      <c r="EC29" s="227">
        <v>0.50166666666666704</v>
      </c>
      <c r="ED29" s="227">
        <v>0.50166666666666704</v>
      </c>
      <c r="EE29" s="227">
        <v>0.50166666666666704</v>
      </c>
      <c r="EF29" s="227">
        <v>0.50166666666666704</v>
      </c>
      <c r="EG29" s="227">
        <v>0.50166666666666704</v>
      </c>
      <c r="EH29" s="227">
        <v>0.50166666666666704</v>
      </c>
      <c r="EI29" s="227">
        <v>0.51</v>
      </c>
      <c r="EJ29" s="227">
        <v>0.51833333333333298</v>
      </c>
      <c r="EK29" s="227">
        <v>0.52666666666666595</v>
      </c>
      <c r="EL29" s="227">
        <v>0.53499999999999903</v>
      </c>
      <c r="EM29" s="227">
        <v>0.543333333333332</v>
      </c>
      <c r="EN29" s="227">
        <v>0.55166666666666497</v>
      </c>
      <c r="EO29" s="227">
        <v>0.55999999999999805</v>
      </c>
      <c r="EP29" s="227">
        <v>0.56833333333333103</v>
      </c>
      <c r="EQ29" s="227">
        <v>0.6</v>
      </c>
      <c r="ER29" s="227">
        <v>0.63</v>
      </c>
      <c r="ES29" s="227">
        <v>0.66</v>
      </c>
      <c r="ET29" s="227">
        <v>0.69</v>
      </c>
      <c r="EU29" s="227">
        <v>0.72</v>
      </c>
      <c r="EV29" s="227">
        <v>0.75</v>
      </c>
      <c r="EW29" s="227">
        <v>0.78</v>
      </c>
      <c r="EX29" s="227">
        <v>0.81</v>
      </c>
      <c r="EY29" s="227">
        <v>0.84</v>
      </c>
      <c r="EZ29" s="227">
        <v>0.87</v>
      </c>
      <c r="FA29" s="227">
        <v>0.9</v>
      </c>
      <c r="FB29" s="227">
        <v>0.93</v>
      </c>
      <c r="FC29" s="227">
        <v>0.96</v>
      </c>
      <c r="FD29" s="227">
        <v>0.99</v>
      </c>
      <c r="FE29" s="227">
        <v>1</v>
      </c>
      <c r="FF29" s="227">
        <v>1</v>
      </c>
      <c r="FG29" s="227">
        <v>1</v>
      </c>
      <c r="FH29" s="227">
        <v>1</v>
      </c>
      <c r="FI29" s="227">
        <v>1</v>
      </c>
      <c r="FJ29" s="227">
        <v>1</v>
      </c>
      <c r="FK29" s="227">
        <v>1</v>
      </c>
      <c r="FL29" s="227">
        <v>1</v>
      </c>
      <c r="FM29" s="227">
        <v>1</v>
      </c>
      <c r="FN29" s="227">
        <v>1</v>
      </c>
      <c r="FO29" s="227">
        <v>1</v>
      </c>
      <c r="FP29" s="227">
        <v>1</v>
      </c>
      <c r="FQ29" s="227">
        <v>1</v>
      </c>
      <c r="FR29" s="227">
        <v>1</v>
      </c>
      <c r="FS29" s="227">
        <v>1</v>
      </c>
      <c r="FT29" s="227">
        <v>1</v>
      </c>
      <c r="FU29" s="227">
        <v>1</v>
      </c>
      <c r="FV29" s="227">
        <v>1</v>
      </c>
      <c r="FW29" s="227">
        <v>1</v>
      </c>
      <c r="FX29" s="227">
        <v>1</v>
      </c>
      <c r="FY29" s="227">
        <v>1</v>
      </c>
      <c r="FZ29" s="227">
        <v>1</v>
      </c>
      <c r="GA29" s="227">
        <v>1</v>
      </c>
      <c r="GB29" s="227">
        <v>1</v>
      </c>
      <c r="GC29" s="227">
        <v>1</v>
      </c>
      <c r="GD29" s="227">
        <v>1</v>
      </c>
      <c r="GE29" s="227">
        <v>1</v>
      </c>
      <c r="GF29" s="227">
        <v>1</v>
      </c>
      <c r="GG29" s="227">
        <v>1</v>
      </c>
      <c r="GH29" s="227">
        <v>1</v>
      </c>
      <c r="GI29" s="227">
        <v>1</v>
      </c>
      <c r="GJ29" s="227">
        <v>1</v>
      </c>
      <c r="GK29" s="227">
        <v>1</v>
      </c>
      <c r="GL29" s="227">
        <v>1</v>
      </c>
      <c r="GM29" s="227">
        <v>1</v>
      </c>
      <c r="GN29" s="227">
        <v>1</v>
      </c>
      <c r="GO29" s="227">
        <v>1</v>
      </c>
      <c r="GP29" s="227">
        <v>1</v>
      </c>
      <c r="GQ29" s="227">
        <v>1</v>
      </c>
      <c r="GR29" s="227">
        <v>1</v>
      </c>
      <c r="GS29" s="228">
        <v>1</v>
      </c>
      <c r="GT29" s="31"/>
      <c r="GU29" s="219">
        <f t="shared" si="13"/>
        <v>1</v>
      </c>
      <c r="GV29" s="220">
        <f t="shared" si="14"/>
        <v>1</v>
      </c>
      <c r="GW29" s="220">
        <f t="shared" si="15"/>
        <v>1</v>
      </c>
      <c r="GX29" s="220">
        <f t="shared" si="16"/>
        <v>1</v>
      </c>
      <c r="GY29" s="220">
        <f t="shared" si="17"/>
        <v>1</v>
      </c>
      <c r="GZ29" s="220">
        <f t="shared" si="18"/>
        <v>1</v>
      </c>
      <c r="HA29" s="220">
        <f t="shared" si="19"/>
        <v>1</v>
      </c>
      <c r="HB29" s="220">
        <f t="shared" si="20"/>
        <v>1</v>
      </c>
      <c r="HC29" s="220">
        <f t="shared" si="21"/>
        <v>1</v>
      </c>
      <c r="HD29" s="220">
        <f t="shared" si="22"/>
        <v>1</v>
      </c>
      <c r="HE29" s="220">
        <f t="shared" si="23"/>
        <v>1</v>
      </c>
      <c r="HF29" s="220">
        <f t="shared" si="24"/>
        <v>1</v>
      </c>
      <c r="HG29" s="220">
        <f t="shared" si="25"/>
        <v>1</v>
      </c>
      <c r="HH29" s="220">
        <f t="shared" si="26"/>
        <v>1</v>
      </c>
      <c r="HI29" s="220">
        <f t="shared" si="27"/>
        <v>1</v>
      </c>
      <c r="HJ29" s="220">
        <f t="shared" si="28"/>
        <v>1</v>
      </c>
      <c r="HK29" s="220">
        <f t="shared" si="29"/>
        <v>1</v>
      </c>
      <c r="HL29" s="220">
        <f t="shared" si="30"/>
        <v>1</v>
      </c>
      <c r="HM29" s="220">
        <f t="shared" si="31"/>
        <v>1</v>
      </c>
      <c r="HN29" s="220">
        <f t="shared" si="32"/>
        <v>1</v>
      </c>
      <c r="HO29" s="220">
        <f t="shared" si="33"/>
        <v>1</v>
      </c>
      <c r="HP29" s="220">
        <f t="shared" si="34"/>
        <v>1</v>
      </c>
      <c r="HQ29" s="220">
        <f t="shared" si="35"/>
        <v>1</v>
      </c>
      <c r="HR29" s="220">
        <f t="shared" si="36"/>
        <v>1</v>
      </c>
      <c r="HS29" s="220">
        <f t="shared" si="37"/>
        <v>1</v>
      </c>
      <c r="HT29" s="220">
        <f t="shared" si="38"/>
        <v>1</v>
      </c>
      <c r="HU29" s="220">
        <f t="shared" si="39"/>
        <v>1</v>
      </c>
      <c r="HV29" s="220">
        <f t="shared" si="40"/>
        <v>1</v>
      </c>
      <c r="HW29" s="220">
        <f t="shared" si="41"/>
        <v>1</v>
      </c>
      <c r="HX29" s="220">
        <f t="shared" si="42"/>
        <v>1</v>
      </c>
      <c r="HY29" s="220">
        <f t="shared" si="43"/>
        <v>1</v>
      </c>
      <c r="HZ29" s="220">
        <f t="shared" si="44"/>
        <v>1</v>
      </c>
      <c r="IA29" s="220">
        <f t="shared" si="45"/>
        <v>1</v>
      </c>
      <c r="IB29" s="220">
        <f t="shared" si="46"/>
        <v>1</v>
      </c>
      <c r="IC29" s="220">
        <f t="shared" si="47"/>
        <v>1</v>
      </c>
      <c r="ID29" s="220">
        <f t="shared" si="48"/>
        <v>1</v>
      </c>
      <c r="IE29" s="220">
        <f t="shared" si="49"/>
        <v>1</v>
      </c>
      <c r="IF29" s="220">
        <f t="shared" si="50"/>
        <v>1</v>
      </c>
      <c r="IG29" s="220">
        <f t="shared" si="51"/>
        <v>1</v>
      </c>
      <c r="IH29" s="220">
        <f t="shared" si="52"/>
        <v>1</v>
      </c>
      <c r="II29" s="220">
        <f t="shared" si="53"/>
        <v>1</v>
      </c>
      <c r="IJ29" s="220">
        <f t="shared" si="54"/>
        <v>1</v>
      </c>
      <c r="IK29" s="220">
        <f t="shared" si="55"/>
        <v>1</v>
      </c>
      <c r="IL29" s="220">
        <f t="shared" si="56"/>
        <v>1</v>
      </c>
      <c r="IM29" s="220">
        <f t="shared" si="57"/>
        <v>1</v>
      </c>
      <c r="IN29" s="220">
        <f t="shared" si="58"/>
        <v>1</v>
      </c>
      <c r="IO29" s="220">
        <f t="shared" si="59"/>
        <v>1</v>
      </c>
      <c r="IP29" s="220">
        <f t="shared" si="60"/>
        <v>1</v>
      </c>
      <c r="IQ29" s="220">
        <f t="shared" si="61"/>
        <v>1</v>
      </c>
      <c r="IR29" s="220">
        <f t="shared" si="62"/>
        <v>1</v>
      </c>
      <c r="IS29" s="220">
        <f t="shared" si="63"/>
        <v>1</v>
      </c>
      <c r="IT29" s="220">
        <f t="shared" si="64"/>
        <v>1</v>
      </c>
      <c r="IU29" s="220">
        <f t="shared" si="65"/>
        <v>1</v>
      </c>
      <c r="IV29" s="220">
        <f t="shared" si="66"/>
        <v>1</v>
      </c>
      <c r="IW29" s="220">
        <f t="shared" si="67"/>
        <v>1</v>
      </c>
      <c r="IX29" s="220">
        <f t="shared" si="68"/>
        <v>1</v>
      </c>
      <c r="IY29" s="220">
        <f t="shared" si="69"/>
        <v>1</v>
      </c>
      <c r="IZ29" s="220">
        <f t="shared" si="70"/>
        <v>1</v>
      </c>
      <c r="JA29" s="220">
        <f t="shared" si="71"/>
        <v>1</v>
      </c>
      <c r="JB29" s="220">
        <f t="shared" si="72"/>
        <v>1</v>
      </c>
      <c r="JC29" s="220">
        <f t="shared" si="73"/>
        <v>1</v>
      </c>
      <c r="JD29" s="220">
        <f t="shared" si="74"/>
        <v>1</v>
      </c>
      <c r="JE29" s="220">
        <f t="shared" si="75"/>
        <v>1</v>
      </c>
      <c r="JF29" s="220">
        <f t="shared" si="76"/>
        <v>1</v>
      </c>
      <c r="JG29" s="220">
        <f t="shared" si="77"/>
        <v>1</v>
      </c>
      <c r="JH29" s="220">
        <f t="shared" si="78"/>
        <v>1</v>
      </c>
      <c r="JI29" s="220">
        <f t="shared" si="79"/>
        <v>1</v>
      </c>
      <c r="JJ29" s="220">
        <f t="shared" si="80"/>
        <v>1</v>
      </c>
      <c r="JK29" s="220">
        <f t="shared" si="81"/>
        <v>1</v>
      </c>
      <c r="JL29" s="220">
        <f t="shared" si="82"/>
        <v>1</v>
      </c>
      <c r="JM29" s="220">
        <f t="shared" si="83"/>
        <v>1</v>
      </c>
      <c r="JN29" s="220">
        <f t="shared" si="84"/>
        <v>1</v>
      </c>
      <c r="JO29" s="220">
        <f t="shared" si="85"/>
        <v>1</v>
      </c>
      <c r="JP29" s="220">
        <f t="shared" si="86"/>
        <v>1</v>
      </c>
      <c r="JQ29" s="220">
        <f t="shared" si="87"/>
        <v>1</v>
      </c>
      <c r="JR29" s="220">
        <f t="shared" si="88"/>
        <v>1</v>
      </c>
      <c r="JS29" s="220">
        <f t="shared" si="89"/>
        <v>1</v>
      </c>
      <c r="JT29" s="220">
        <f t="shared" si="90"/>
        <v>1</v>
      </c>
      <c r="JU29" s="220">
        <f t="shared" si="91"/>
        <v>1</v>
      </c>
      <c r="JV29" s="220">
        <f t="shared" si="92"/>
        <v>1</v>
      </c>
      <c r="JW29" s="220">
        <f t="shared" si="93"/>
        <v>1</v>
      </c>
      <c r="JX29" s="220">
        <f t="shared" si="94"/>
        <v>1</v>
      </c>
      <c r="JY29" s="220">
        <f t="shared" si="95"/>
        <v>1</v>
      </c>
      <c r="JZ29" s="220">
        <f t="shared" si="96"/>
        <v>1</v>
      </c>
      <c r="KA29" s="220">
        <f t="shared" si="97"/>
        <v>1</v>
      </c>
      <c r="KB29" s="220">
        <f t="shared" si="98"/>
        <v>1</v>
      </c>
      <c r="KC29" s="220">
        <f t="shared" si="99"/>
        <v>1</v>
      </c>
      <c r="KD29" s="220">
        <f t="shared" si="100"/>
        <v>1</v>
      </c>
      <c r="KE29" s="220">
        <f t="shared" si="101"/>
        <v>1</v>
      </c>
      <c r="KF29" s="220">
        <f t="shared" si="102"/>
        <v>1</v>
      </c>
      <c r="KG29" s="221">
        <f t="shared" si="103"/>
        <v>1</v>
      </c>
      <c r="KH29" s="13"/>
    </row>
    <row r="30" spans="1:294" ht="62.5" customHeight="1" thickBot="1" x14ac:dyDescent="0.4">
      <c r="A30" s="4"/>
      <c r="B30" s="58">
        <v>23</v>
      </c>
      <c r="C30" s="14" t="s">
        <v>35</v>
      </c>
      <c r="D30" s="272" t="s">
        <v>233</v>
      </c>
      <c r="E30" s="6" t="s">
        <v>2</v>
      </c>
      <c r="F30" s="5" t="s">
        <v>234</v>
      </c>
      <c r="G30" s="6" t="s">
        <v>235</v>
      </c>
      <c r="H30" s="22">
        <v>46202</v>
      </c>
      <c r="I30" s="280">
        <v>46234</v>
      </c>
      <c r="J30" s="67">
        <f>(I30-H30)+1</f>
        <v>33</v>
      </c>
      <c r="K30" s="281"/>
      <c r="L30" s="280"/>
      <c r="M30" s="67" t="str">
        <f>IF(AND(K30=0,L30=0),"No Progress",IF(Tbl_SM[[#This Row],[ACTUAL START]]="",0,IF(L30-K30&lt;0,"On Progress",L30-K30)))</f>
        <v>No Progress</v>
      </c>
      <c r="N30" s="282" t="str">
        <f>IF(Tbl_SM[[#This Row],[PLAN START]]="","",
IF(Tbl_SM[[#This Row],[ACTUAL FINISH]]&lt;&gt;"","CLOSE",
IF(Tbl_SM[[#This Row],[ACTUAL START]]&lt;&gt;"","ON PROGRESS",
"OPEN")))</f>
        <v>OPEN</v>
      </c>
      <c r="O30" s="97" t="str">
        <f ca="1">IF(Tbl_SM[[#This Row],[PLAN START]]="","",
IF(Tbl_SM[[#This Row],[ACTUAL FINISH]]&lt;&gt;"","CLOSE",
IF(TODAY()&gt;Tbl_SM[[#This Row],[DUE DATA]],"OVERDUE",
IF((Tbl_SM[[#This Row],[DUE DATA]]-TODAY())&lt;=3,"&lt; 3 HARI",
IF((Tbl_SM[[#This Row],[DUE DATA]]-TODAY())&lt;=7,"&lt; 7 HARI",
IF((Tbl_SM[[#This Row],[DUE DATA]]-TODAY())&lt;=14,"&lt; 14 HARI",
"&gt; 14 HARI"))))))</f>
        <v>&gt; 14 HARI</v>
      </c>
      <c r="P30" s="189">
        <f>IF(SUM(S30:AW30)=0,"",IFERROR(MAX(DG30:EK30),""))</f>
        <v>0.52666666666666595</v>
      </c>
      <c r="Q30" s="187">
        <f>IF(Tbl_SM[[#This Row],[STATUS]]="CLOSE",1,0)</f>
        <v>0</v>
      </c>
      <c r="S30" s="159">
        <v>0.05</v>
      </c>
      <c r="T30" s="160">
        <v>0.08</v>
      </c>
      <c r="U30" s="160">
        <v>0.1</v>
      </c>
      <c r="V30" s="160">
        <v>0.12666666666666701</v>
      </c>
      <c r="W30" s="160">
        <v>0.151666666666667</v>
      </c>
      <c r="X30" s="160">
        <v>0.176666666666667</v>
      </c>
      <c r="Y30" s="160">
        <v>0.20166666666666699</v>
      </c>
      <c r="Z30" s="160">
        <v>0.22666666666666699</v>
      </c>
      <c r="AA30" s="160">
        <v>0.25166666666666698</v>
      </c>
      <c r="AB30" s="160">
        <v>0.276666666666667</v>
      </c>
      <c r="AC30" s="160">
        <v>0.30166666666666703</v>
      </c>
      <c r="AD30" s="160">
        <v>0.32666666666666699</v>
      </c>
      <c r="AE30" s="160">
        <v>0.35166666666666702</v>
      </c>
      <c r="AF30" s="160">
        <v>0.37666666666666698</v>
      </c>
      <c r="AG30" s="160">
        <v>0.401666666666667</v>
      </c>
      <c r="AH30" s="160">
        <v>0.42666666666666703</v>
      </c>
      <c r="AI30" s="160">
        <v>0.45166666666666699</v>
      </c>
      <c r="AJ30" s="160">
        <v>0.47666666666666702</v>
      </c>
      <c r="AK30" s="160">
        <v>0.50166666666666704</v>
      </c>
      <c r="AL30" s="160">
        <v>0.50166666666666704</v>
      </c>
      <c r="AM30" s="160">
        <v>0.50166666666666704</v>
      </c>
      <c r="AN30" s="160">
        <v>0.50166666666666704</v>
      </c>
      <c r="AO30" s="160">
        <v>0.50166666666666704</v>
      </c>
      <c r="AP30" s="160">
        <v>0.50166666666666704</v>
      </c>
      <c r="AQ30" s="160">
        <v>0.50166666666666704</v>
      </c>
      <c r="AR30" s="160">
        <v>0.50166666666666704</v>
      </c>
      <c r="AS30" s="160">
        <v>0.50166666666666704</v>
      </c>
      <c r="AT30" s="160">
        <v>0.50166666666666704</v>
      </c>
      <c r="AU30" s="160">
        <v>0.51</v>
      </c>
      <c r="AV30" s="160">
        <v>0.51833333333333298</v>
      </c>
      <c r="AW30" s="160">
        <v>0.52666666666666595</v>
      </c>
      <c r="AX30" s="160">
        <v>0.53499999999999903</v>
      </c>
      <c r="AY30" s="160">
        <v>0.543333333333332</v>
      </c>
      <c r="AZ30" s="160">
        <v>0.55166666666666497</v>
      </c>
      <c r="BA30" s="160">
        <v>0.55999999999999805</v>
      </c>
      <c r="BB30" s="160">
        <v>0.56833333333333103</v>
      </c>
      <c r="BC30" s="160">
        <v>0.6</v>
      </c>
      <c r="BD30" s="160">
        <v>0.63</v>
      </c>
      <c r="BE30" s="160">
        <v>0.66</v>
      </c>
      <c r="BF30" s="160">
        <v>0.69</v>
      </c>
      <c r="BG30" s="160">
        <v>0.72</v>
      </c>
      <c r="BH30" s="160">
        <v>0.75</v>
      </c>
      <c r="BI30" s="160">
        <v>0.78</v>
      </c>
      <c r="BJ30" s="160">
        <v>0.81</v>
      </c>
      <c r="BK30" s="160">
        <v>0.84</v>
      </c>
      <c r="BL30" s="160">
        <v>0.87</v>
      </c>
      <c r="BM30" s="160">
        <v>0.9</v>
      </c>
      <c r="BN30" s="160">
        <v>0.93</v>
      </c>
      <c r="BO30" s="160">
        <v>0.96</v>
      </c>
      <c r="BP30" s="160">
        <v>0.99</v>
      </c>
      <c r="BQ30" s="160">
        <v>1</v>
      </c>
      <c r="BR30" s="160">
        <v>1</v>
      </c>
      <c r="BS30" s="160">
        <v>1</v>
      </c>
      <c r="BT30" s="160">
        <v>1</v>
      </c>
      <c r="BU30" s="160">
        <v>1</v>
      </c>
      <c r="BV30" s="160">
        <v>1</v>
      </c>
      <c r="BW30" s="160">
        <v>1</v>
      </c>
      <c r="BX30" s="160">
        <v>1</v>
      </c>
      <c r="BY30" s="160">
        <v>1</v>
      </c>
      <c r="BZ30" s="160">
        <v>1</v>
      </c>
      <c r="CA30" s="160">
        <v>1</v>
      </c>
      <c r="CB30" s="160">
        <v>1</v>
      </c>
      <c r="CC30" s="160">
        <v>1</v>
      </c>
      <c r="CD30" s="160">
        <v>1</v>
      </c>
      <c r="CE30" s="160">
        <v>1</v>
      </c>
      <c r="CF30" s="160">
        <v>1</v>
      </c>
      <c r="CG30" s="160">
        <v>1</v>
      </c>
      <c r="CH30" s="160">
        <v>1</v>
      </c>
      <c r="CI30" s="160">
        <v>1</v>
      </c>
      <c r="CJ30" s="160">
        <v>1</v>
      </c>
      <c r="CK30" s="160">
        <v>1</v>
      </c>
      <c r="CL30" s="160">
        <v>1</v>
      </c>
      <c r="CM30" s="160">
        <v>1</v>
      </c>
      <c r="CN30" s="160">
        <v>1</v>
      </c>
      <c r="CO30" s="160">
        <v>1</v>
      </c>
      <c r="CP30" s="160">
        <v>1</v>
      </c>
      <c r="CQ30" s="160">
        <v>1</v>
      </c>
      <c r="CR30" s="160">
        <v>1</v>
      </c>
      <c r="CS30" s="160">
        <v>1</v>
      </c>
      <c r="CT30" s="160">
        <v>1</v>
      </c>
      <c r="CU30" s="160">
        <v>1</v>
      </c>
      <c r="CV30" s="160">
        <v>1</v>
      </c>
      <c r="CW30" s="160">
        <v>1</v>
      </c>
      <c r="CX30" s="160">
        <v>1</v>
      </c>
      <c r="CY30" s="160">
        <v>1</v>
      </c>
      <c r="CZ30" s="160">
        <v>1</v>
      </c>
      <c r="DA30" s="160">
        <v>1</v>
      </c>
      <c r="DB30" s="160">
        <v>1</v>
      </c>
      <c r="DC30" s="160">
        <v>1</v>
      </c>
      <c r="DD30" s="160">
        <v>1</v>
      </c>
      <c r="DE30" s="161">
        <v>1</v>
      </c>
      <c r="DF30" s="152"/>
      <c r="DG30" s="226">
        <v>0.05</v>
      </c>
      <c r="DH30" s="227">
        <v>0.08</v>
      </c>
      <c r="DI30" s="227">
        <v>0.1</v>
      </c>
      <c r="DJ30" s="227">
        <v>0.12666666666666701</v>
      </c>
      <c r="DK30" s="227">
        <v>0.151666666666667</v>
      </c>
      <c r="DL30" s="227">
        <v>0.176666666666667</v>
      </c>
      <c r="DM30" s="227">
        <v>0.20166666666666699</v>
      </c>
      <c r="DN30" s="227">
        <v>0.22666666666666699</v>
      </c>
      <c r="DO30" s="227">
        <v>0.25166666666666698</v>
      </c>
      <c r="DP30" s="227">
        <v>0.276666666666667</v>
      </c>
      <c r="DQ30" s="227">
        <v>0.30166666666666703</v>
      </c>
      <c r="DR30" s="227">
        <v>0.32666666666666699</v>
      </c>
      <c r="DS30" s="227">
        <v>0.35166666666666702</v>
      </c>
      <c r="DT30" s="227">
        <v>0.37666666666666698</v>
      </c>
      <c r="DU30" s="227">
        <v>0.401666666666667</v>
      </c>
      <c r="DV30" s="227">
        <v>0.42666666666666703</v>
      </c>
      <c r="DW30" s="227">
        <v>0.45166666666666699</v>
      </c>
      <c r="DX30" s="227">
        <v>0.47666666666666702</v>
      </c>
      <c r="DY30" s="227">
        <v>0.50166666666666704</v>
      </c>
      <c r="DZ30" s="227">
        <v>0.50166666666666704</v>
      </c>
      <c r="EA30" s="227">
        <v>0.50166666666666704</v>
      </c>
      <c r="EB30" s="227">
        <v>0.50166666666666704</v>
      </c>
      <c r="EC30" s="227">
        <v>0.50166666666666704</v>
      </c>
      <c r="ED30" s="227">
        <v>0.50166666666666704</v>
      </c>
      <c r="EE30" s="227">
        <v>0.50166666666666704</v>
      </c>
      <c r="EF30" s="227">
        <v>0.50166666666666704</v>
      </c>
      <c r="EG30" s="227">
        <v>0.50166666666666704</v>
      </c>
      <c r="EH30" s="227">
        <v>0.50166666666666704</v>
      </c>
      <c r="EI30" s="227">
        <v>0.51</v>
      </c>
      <c r="EJ30" s="227">
        <v>0.51833333333333298</v>
      </c>
      <c r="EK30" s="227">
        <v>0.52666666666666595</v>
      </c>
      <c r="EL30" s="227">
        <v>0.53499999999999903</v>
      </c>
      <c r="EM30" s="227">
        <v>0.543333333333332</v>
      </c>
      <c r="EN30" s="227">
        <v>0.55166666666666497</v>
      </c>
      <c r="EO30" s="227">
        <v>0.55999999999999805</v>
      </c>
      <c r="EP30" s="227">
        <v>0.56833333333333103</v>
      </c>
      <c r="EQ30" s="227">
        <v>0.6</v>
      </c>
      <c r="ER30" s="227">
        <v>0.63</v>
      </c>
      <c r="ES30" s="227">
        <v>0.66</v>
      </c>
      <c r="ET30" s="227">
        <v>0.69</v>
      </c>
      <c r="EU30" s="227">
        <v>0.72</v>
      </c>
      <c r="EV30" s="227">
        <v>0.75</v>
      </c>
      <c r="EW30" s="227">
        <v>0.78</v>
      </c>
      <c r="EX30" s="227">
        <v>0.81</v>
      </c>
      <c r="EY30" s="227">
        <v>0.84</v>
      </c>
      <c r="EZ30" s="227">
        <v>0.87</v>
      </c>
      <c r="FA30" s="227">
        <v>0.9</v>
      </c>
      <c r="FB30" s="227">
        <v>0.93</v>
      </c>
      <c r="FC30" s="227">
        <v>0.96</v>
      </c>
      <c r="FD30" s="227">
        <v>0.99</v>
      </c>
      <c r="FE30" s="227">
        <v>1</v>
      </c>
      <c r="FF30" s="227">
        <v>1</v>
      </c>
      <c r="FG30" s="227">
        <v>1</v>
      </c>
      <c r="FH30" s="227">
        <v>1</v>
      </c>
      <c r="FI30" s="227">
        <v>1</v>
      </c>
      <c r="FJ30" s="227">
        <v>1</v>
      </c>
      <c r="FK30" s="227">
        <v>1</v>
      </c>
      <c r="FL30" s="227">
        <v>1</v>
      </c>
      <c r="FM30" s="227">
        <v>1</v>
      </c>
      <c r="FN30" s="227">
        <v>1</v>
      </c>
      <c r="FO30" s="227">
        <v>1</v>
      </c>
      <c r="FP30" s="227">
        <v>1</v>
      </c>
      <c r="FQ30" s="227">
        <v>1</v>
      </c>
      <c r="FR30" s="227">
        <v>1</v>
      </c>
      <c r="FS30" s="227">
        <v>1</v>
      </c>
      <c r="FT30" s="227">
        <v>1</v>
      </c>
      <c r="FU30" s="227">
        <v>1</v>
      </c>
      <c r="FV30" s="227">
        <v>1</v>
      </c>
      <c r="FW30" s="227">
        <v>1</v>
      </c>
      <c r="FX30" s="227">
        <v>1</v>
      </c>
      <c r="FY30" s="227">
        <v>1</v>
      </c>
      <c r="FZ30" s="227">
        <v>1</v>
      </c>
      <c r="GA30" s="227">
        <v>1</v>
      </c>
      <c r="GB30" s="227">
        <v>1</v>
      </c>
      <c r="GC30" s="227">
        <v>1</v>
      </c>
      <c r="GD30" s="227">
        <v>1</v>
      </c>
      <c r="GE30" s="227">
        <v>1</v>
      </c>
      <c r="GF30" s="227">
        <v>1</v>
      </c>
      <c r="GG30" s="227">
        <v>1</v>
      </c>
      <c r="GH30" s="227">
        <v>1</v>
      </c>
      <c r="GI30" s="227">
        <v>1</v>
      </c>
      <c r="GJ30" s="227">
        <v>1</v>
      </c>
      <c r="GK30" s="227">
        <v>1</v>
      </c>
      <c r="GL30" s="227">
        <v>1</v>
      </c>
      <c r="GM30" s="227">
        <v>1</v>
      </c>
      <c r="GN30" s="227">
        <v>1</v>
      </c>
      <c r="GO30" s="227">
        <v>1</v>
      </c>
      <c r="GP30" s="227">
        <v>1</v>
      </c>
      <c r="GQ30" s="227">
        <v>1</v>
      </c>
      <c r="GR30" s="227">
        <v>1</v>
      </c>
      <c r="GS30" s="228">
        <v>1</v>
      </c>
      <c r="GT30" s="31"/>
      <c r="GU30" s="219">
        <f t="shared" ref="GU30:GU31" si="105">IF(AND(OR(S30="",S30=0),OR(DG30="",DG30=0)),"",
MIN(1.2,
IFERROR(DG30/IF(OR(S30="",S30=0),1,S30),0)))</f>
        <v>1</v>
      </c>
      <c r="GV30" s="220">
        <f t="shared" ref="GV30:GV31" si="106">IF(AND(OR(T30="",T30=0),OR(DH30="",DH30=0)),"",
MIN(1.2,
IFERROR(DH30/IF(OR(T30="",T30=0),1,T30),0)))</f>
        <v>1</v>
      </c>
      <c r="GW30" s="220">
        <f t="shared" ref="GW30:GW31" si="107">IF(AND(OR(U30="",U30=0),OR(DI30="",DI30=0)),"",
MIN(1.2,
IFERROR(DI30/IF(OR(U30="",U30=0),1,U30),0)))</f>
        <v>1</v>
      </c>
      <c r="GX30" s="220">
        <f t="shared" ref="GX30:GX31" si="108">IF(AND(OR(V30="",V30=0),OR(DJ30="",DJ30=0)),"",
MIN(1.2,
IFERROR(DJ30/IF(OR(V30="",V30=0),1,V30),0)))</f>
        <v>1</v>
      </c>
      <c r="GY30" s="220">
        <f t="shared" ref="GY30:GY31" si="109">IF(AND(OR(W30="",W30=0),OR(DK30="",DK30=0)),"",
MIN(1.2,
IFERROR(DK30/IF(OR(W30="",W30=0),1,W30),0)))</f>
        <v>1</v>
      </c>
      <c r="GZ30" s="220">
        <f t="shared" ref="GZ30:GZ31" si="110">IF(AND(OR(X30="",X30=0),OR(DL30="",DL30=0)),"",
MIN(1.2,
IFERROR(DL30/IF(OR(X30="",X30=0),1,X30),0)))</f>
        <v>1</v>
      </c>
      <c r="HA30" s="220">
        <f t="shared" ref="HA30:HA31" si="111">IF(AND(OR(Y30="",Y30=0),OR(DM30="",DM30=0)),"",
MIN(1.2,
IFERROR(DM30/IF(OR(Y30="",Y30=0),1,Y30),0)))</f>
        <v>1</v>
      </c>
      <c r="HB30" s="220">
        <f t="shared" ref="HB30:HB31" si="112">IF(AND(OR(Z30="",Z30=0),OR(DN30="",DN30=0)),"",
MIN(1.2,
IFERROR(DN30/IF(OR(Z30="",Z30=0),1,Z30),0)))</f>
        <v>1</v>
      </c>
      <c r="HC30" s="220">
        <f t="shared" ref="HC30:HC31" si="113">IF(AND(OR(AA30="",AA30=0),OR(DO30="",DO30=0)),"",
MIN(1.2,
IFERROR(DO30/IF(OR(AA30="",AA30=0),1,AA30),0)))</f>
        <v>1</v>
      </c>
      <c r="HD30" s="220">
        <f t="shared" ref="HD30:HD31" si="114">IF(AND(OR(AB30="",AB30=0),OR(DP30="",DP30=0)),"",
MIN(1.2,
IFERROR(DP30/IF(OR(AB30="",AB30=0),1,AB30),0)))</f>
        <v>1</v>
      </c>
      <c r="HE30" s="220">
        <f t="shared" ref="HE30:HE31" si="115">IF(AND(OR(AC30="",AC30=0),OR(DQ30="",DQ30=0)),"",
MIN(1.2,
IFERROR(DQ30/IF(OR(AC30="",AC30=0),1,AC30),0)))</f>
        <v>1</v>
      </c>
      <c r="HF30" s="220">
        <f t="shared" ref="HF30:HF31" si="116">IF(AND(OR(AD30="",AD30=0),OR(DR30="",DR30=0)),"",
MIN(1.2,
IFERROR(DR30/IF(OR(AD30="",AD30=0),1,AD30),0)))</f>
        <v>1</v>
      </c>
      <c r="HG30" s="220">
        <f t="shared" ref="HG30:HG31" si="117">IF(AND(OR(AE30="",AE30=0),OR(DS30="",DS30=0)),"",
MIN(1.2,
IFERROR(DS30/IF(OR(AE30="",AE30=0),1,AE30),0)))</f>
        <v>1</v>
      </c>
      <c r="HH30" s="220">
        <f t="shared" ref="HH30:HH31" si="118">IF(AND(OR(AF30="",AF30=0),OR(DT30="",DT30=0)),"",
MIN(1.2,
IFERROR(DT30/IF(OR(AF30="",AF30=0),1,AF30),0)))</f>
        <v>1</v>
      </c>
      <c r="HI30" s="220">
        <f t="shared" ref="HI30:HI31" si="119">IF(AND(OR(AG30="",AG30=0),OR(DU30="",DU30=0)),"",
MIN(1.2,
IFERROR(DU30/IF(OR(AG30="",AG30=0),1,AG30),0)))</f>
        <v>1</v>
      </c>
      <c r="HJ30" s="220">
        <f t="shared" ref="HJ30:HJ31" si="120">IF(AND(OR(AH30="",AH30=0),OR(DV30="",DV30=0)),"",
MIN(1.2,
IFERROR(DV30/IF(OR(AH30="",AH30=0),1,AH30),0)))</f>
        <v>1</v>
      </c>
      <c r="HK30" s="220">
        <f t="shared" ref="HK30:HK31" si="121">IF(AND(OR(AI30="",AI30=0),OR(DW30="",DW30=0)),"",
MIN(1.2,
IFERROR(DW30/IF(OR(AI30="",AI30=0),1,AI30),0)))</f>
        <v>1</v>
      </c>
      <c r="HL30" s="220">
        <f t="shared" ref="HL30:HL31" si="122">IF(AND(OR(AJ30="",AJ30=0),OR(DX30="",DX30=0)),"",
MIN(1.2,
IFERROR(DX30/IF(OR(AJ30="",AJ30=0),1,AJ30),0)))</f>
        <v>1</v>
      </c>
      <c r="HM30" s="220">
        <f t="shared" ref="HM30:HM31" si="123">IF(AND(OR(AK30="",AK30=0),OR(DY30="",DY30=0)),"",
MIN(1.2,
IFERROR(DY30/IF(OR(AK30="",AK30=0),1,AK30),0)))</f>
        <v>1</v>
      </c>
      <c r="HN30" s="220">
        <f t="shared" ref="HN30:HN31" si="124">IF(AND(OR(AL30="",AL30=0),OR(DZ30="",DZ30=0)),"",
MIN(1.2,
IFERROR(DZ30/IF(OR(AL30="",AL30=0),1,AL30),0)))</f>
        <v>1</v>
      </c>
      <c r="HO30" s="220">
        <f t="shared" ref="HO30:HO31" si="125">IF(AND(OR(AM30="",AM30=0),OR(EA30="",EA30=0)),"",
MIN(1.2,
IFERROR(EA30/IF(OR(AM30="",AM30=0),1,AM30),0)))</f>
        <v>1</v>
      </c>
      <c r="HP30" s="220">
        <f t="shared" ref="HP30:HP31" si="126">IF(AND(OR(AN30="",AN30=0),OR(EB30="",EB30=0)),"",
MIN(1.2,
IFERROR(EB30/IF(OR(AN30="",AN30=0),1,AN30),0)))</f>
        <v>1</v>
      </c>
      <c r="HQ30" s="220">
        <f t="shared" ref="HQ30:HQ31" si="127">IF(AND(OR(AO30="",AO30=0),OR(EC30="",EC30=0)),"",
MIN(1.2,
IFERROR(EC30/IF(OR(AO30="",AO30=0),1,AO30),0)))</f>
        <v>1</v>
      </c>
      <c r="HR30" s="220">
        <f t="shared" ref="HR30:HR31" si="128">IF(AND(OR(AP30="",AP30=0),OR(ED30="",ED30=0)),"",
MIN(1.2,
IFERROR(ED30/IF(OR(AP30="",AP30=0),1,AP30),0)))</f>
        <v>1</v>
      </c>
      <c r="HS30" s="220">
        <f t="shared" ref="HS30:HS31" si="129">IF(AND(OR(AQ30="",AQ30=0),OR(EE30="",EE30=0)),"",
MIN(1.2,
IFERROR(EE30/IF(OR(AQ30="",AQ30=0),1,AQ30),0)))</f>
        <v>1</v>
      </c>
      <c r="HT30" s="220">
        <f t="shared" ref="HT30:HT31" si="130">IF(AND(OR(AR30="",AR30=0),OR(EF30="",EF30=0)),"",
MIN(1.2,
IFERROR(EF30/IF(OR(AR30="",AR30=0),1,AR30),0)))</f>
        <v>1</v>
      </c>
      <c r="HU30" s="220">
        <f t="shared" ref="HU30:HU31" si="131">IF(AND(OR(AS30="",AS30=0),OR(EG30="",EG30=0)),"",
MIN(1.2,
IFERROR(EG30/IF(OR(AS30="",AS30=0),1,AS30),0)))</f>
        <v>1</v>
      </c>
      <c r="HV30" s="220">
        <f t="shared" ref="HV30:HV31" si="132">IF(AND(OR(AT30="",AT30=0),OR(EH30="",EH30=0)),"",
MIN(1.2,
IFERROR(EH30/IF(OR(AT30="",AT30=0),1,AT30),0)))</f>
        <v>1</v>
      </c>
      <c r="HW30" s="220">
        <f t="shared" ref="HW30:HW31" si="133">IF(AND(OR(AU30="",AU30=0),OR(EI30="",EI30=0)),"",
MIN(1.2,
IFERROR(EI30/IF(OR(AU30="",AU30=0),1,AU30),0)))</f>
        <v>1</v>
      </c>
      <c r="HX30" s="220">
        <f t="shared" ref="HX30:HX31" si="134">IF(AND(OR(AV30="",AV30=0),OR(EJ30="",EJ30=0)),"",
MIN(1.2,
IFERROR(EJ30/IF(OR(AV30="",AV30=0),1,AV30),0)))</f>
        <v>1</v>
      </c>
      <c r="HY30" s="220">
        <f t="shared" ref="HY30:HY31" si="135">IF(AND(OR(AW30="",AW30=0),OR(EK30="",EK30=0)),"",
MIN(1.2,
IFERROR(EK30/IF(OR(AW30="",AW30=0),1,AW30),0)))</f>
        <v>1</v>
      </c>
      <c r="HZ30" s="220">
        <f t="shared" ref="HZ30:HZ31" si="136">IF(AND(OR(AX30="",AX30=0),OR(EL30="",EL30=0)),"",
MIN(1.2,
IFERROR(EL30/IF(OR(AX30="",AX30=0),1,AX30),0)))</f>
        <v>1</v>
      </c>
      <c r="IA30" s="220">
        <f t="shared" ref="IA30:IA31" si="137">IF(AND(OR(AY30="",AY30=0),OR(EM30="",EM30=0)),"",
MIN(1.2,
IFERROR(EM30/IF(OR(AY30="",AY30=0),1,AY30),0)))</f>
        <v>1</v>
      </c>
      <c r="IB30" s="220">
        <f t="shared" ref="IB30:IB31" si="138">IF(AND(OR(AZ30="",AZ30=0),OR(EN30="",EN30=0)),"",
MIN(1.2,
IFERROR(EN30/IF(OR(AZ30="",AZ30=0),1,AZ30),0)))</f>
        <v>1</v>
      </c>
      <c r="IC30" s="220">
        <f t="shared" ref="IC30:IC31" si="139">IF(AND(OR(BA30="",BA30=0),OR(EO30="",EO30=0)),"",
MIN(1.2,
IFERROR(EO30/IF(OR(BA30="",BA30=0),1,BA30),0)))</f>
        <v>1</v>
      </c>
      <c r="ID30" s="220">
        <f t="shared" ref="ID30:ID31" si="140">IF(AND(OR(BB30="",BB30=0),OR(EP30="",EP30=0)),"",
MIN(1.2,
IFERROR(EP30/IF(OR(BB30="",BB30=0),1,BB30),0)))</f>
        <v>1</v>
      </c>
      <c r="IE30" s="220">
        <f t="shared" ref="IE30:IE31" si="141">IF(AND(OR(BC30="",BC30=0),OR(EQ30="",EQ30=0)),"",
MIN(1.2,
IFERROR(EQ30/IF(OR(BC30="",BC30=0),1,BC30),0)))</f>
        <v>1</v>
      </c>
      <c r="IF30" s="220">
        <f t="shared" ref="IF30:IF31" si="142">IF(AND(OR(BD30="",BD30=0),OR(ER30="",ER30=0)),"",
MIN(1.2,
IFERROR(ER30/IF(OR(BD30="",BD30=0),1,BD30),0)))</f>
        <v>1</v>
      </c>
      <c r="IG30" s="220">
        <f t="shared" ref="IG30:IG31" si="143">IF(AND(OR(BE30="",BE30=0),OR(ES30="",ES30=0)),"",
MIN(1.2,
IFERROR(ES30/IF(OR(BE30="",BE30=0),1,BE30),0)))</f>
        <v>1</v>
      </c>
      <c r="IH30" s="220">
        <f t="shared" ref="IH30:IH31" si="144">IF(AND(OR(BF30="",BF30=0),OR(ET30="",ET30=0)),"",
MIN(1.2,
IFERROR(ET30/IF(OR(BF30="",BF30=0),1,BF30),0)))</f>
        <v>1</v>
      </c>
      <c r="II30" s="220">
        <f t="shared" ref="II30:II31" si="145">IF(AND(OR(BG30="",BG30=0),OR(EU30="",EU30=0)),"",
MIN(1.2,
IFERROR(EU30/IF(OR(BG30="",BG30=0),1,BG30),0)))</f>
        <v>1</v>
      </c>
      <c r="IJ30" s="220">
        <f t="shared" ref="IJ30:IJ31" si="146">IF(AND(OR(BH30="",BH30=0),OR(EV30="",EV30=0)),"",
MIN(1.2,
IFERROR(EV30/IF(OR(BH30="",BH30=0),1,BH30),0)))</f>
        <v>1</v>
      </c>
      <c r="IK30" s="220">
        <f t="shared" ref="IK30:IK31" si="147">IF(AND(OR(BI30="",BI30=0),OR(EW30="",EW30=0)),"",
MIN(1.2,
IFERROR(EW30/IF(OR(BI30="",BI30=0),1,BI30),0)))</f>
        <v>1</v>
      </c>
      <c r="IL30" s="220">
        <f t="shared" ref="IL30:IL31" si="148">IF(AND(OR(BJ30="",BJ30=0),OR(EX30="",EX30=0)),"",
MIN(1.2,
IFERROR(EX30/IF(OR(BJ30="",BJ30=0),1,BJ30),0)))</f>
        <v>1</v>
      </c>
      <c r="IM30" s="220">
        <f t="shared" ref="IM30:IM31" si="149">IF(AND(OR(BK30="",BK30=0),OR(EY30="",EY30=0)),"",
MIN(1.2,
IFERROR(EY30/IF(OR(BK30="",BK30=0),1,BK30),0)))</f>
        <v>1</v>
      </c>
      <c r="IN30" s="220">
        <f t="shared" ref="IN30:IN31" si="150">IF(AND(OR(BL30="",BL30=0),OR(EZ30="",EZ30=0)),"",
MIN(1.2,
IFERROR(EZ30/IF(OR(BL30="",BL30=0),1,BL30),0)))</f>
        <v>1</v>
      </c>
      <c r="IO30" s="220">
        <f t="shared" ref="IO30:IO31" si="151">IF(AND(OR(BM30="",BM30=0),OR(FA30="",FA30=0)),"",
MIN(1.2,
IFERROR(FA30/IF(OR(BM30="",BM30=0),1,BM30),0)))</f>
        <v>1</v>
      </c>
      <c r="IP30" s="220">
        <f t="shared" ref="IP30:IP31" si="152">IF(AND(OR(BN30="",BN30=0),OR(FB30="",FB30=0)),"",
MIN(1.2,
IFERROR(FB30/IF(OR(BN30="",BN30=0),1,BN30),0)))</f>
        <v>1</v>
      </c>
      <c r="IQ30" s="220">
        <f t="shared" ref="IQ30:IQ31" si="153">IF(AND(OR(BO30="",BO30=0),OR(FC30="",FC30=0)),"",
MIN(1.2,
IFERROR(FC30/IF(OR(BO30="",BO30=0),1,BO30),0)))</f>
        <v>1</v>
      </c>
      <c r="IR30" s="220">
        <f t="shared" ref="IR30:IR31" si="154">IF(AND(OR(BP30="",BP30=0),OR(FD30="",FD30=0)),"",
MIN(1.2,
IFERROR(FD30/IF(OR(BP30="",BP30=0),1,BP30),0)))</f>
        <v>1</v>
      </c>
      <c r="IS30" s="220">
        <f t="shared" ref="IS30:IS31" si="155">IF(AND(OR(BQ30="",BQ30=0),OR(FE30="",FE30=0)),"",
MIN(1.2,
IFERROR(FE30/IF(OR(BQ30="",BQ30=0),1,BQ30),0)))</f>
        <v>1</v>
      </c>
      <c r="IT30" s="220">
        <f t="shared" ref="IT30:IT31" si="156">IF(AND(OR(BR30="",BR30=0),OR(FF30="",FF30=0)),"",
MIN(1.2,
IFERROR(FF30/IF(OR(BR30="",BR30=0),1,BR30),0)))</f>
        <v>1</v>
      </c>
      <c r="IU30" s="220">
        <f t="shared" ref="IU30:IU31" si="157">IF(AND(OR(BS30="",BS30=0),OR(FG30="",FG30=0)),"",
MIN(1.2,
IFERROR(FG30/IF(OR(BS30="",BS30=0),1,BS30),0)))</f>
        <v>1</v>
      </c>
      <c r="IV30" s="220">
        <f t="shared" ref="IV30:IV31" si="158">IF(AND(OR(BT30="",BT30=0),OR(FH30="",FH30=0)),"",
MIN(1.2,
IFERROR(FH30/IF(OR(BT30="",BT30=0),1,BT30),0)))</f>
        <v>1</v>
      </c>
      <c r="IW30" s="220">
        <f t="shared" ref="IW30:IW31" si="159">IF(AND(OR(BU30="",BU30=0),OR(FI30="",FI30=0)),"",
MIN(1.2,
IFERROR(FI30/IF(OR(BU30="",BU30=0),1,BU30),0)))</f>
        <v>1</v>
      </c>
      <c r="IX30" s="220">
        <f t="shared" ref="IX30:IX31" si="160">IF(AND(OR(BV30="",BV30=0),OR(FJ30="",FJ30=0)),"",
MIN(1.2,
IFERROR(FJ30/IF(OR(BV30="",BV30=0),1,BV30),0)))</f>
        <v>1</v>
      </c>
      <c r="IY30" s="220">
        <f t="shared" ref="IY30:IY31" si="161">IF(AND(OR(BW30="",BW30=0),OR(FK30="",FK30=0)),"",
MIN(1.2,
IFERROR(FK30/IF(OR(BW30="",BW30=0),1,BW30),0)))</f>
        <v>1</v>
      </c>
      <c r="IZ30" s="220">
        <f t="shared" ref="IZ30:IZ31" si="162">IF(AND(OR(BX30="",BX30=0),OR(FL30="",FL30=0)),"",
MIN(1.2,
IFERROR(FL30/IF(OR(BX30="",BX30=0),1,BX30),0)))</f>
        <v>1</v>
      </c>
      <c r="JA30" s="220">
        <f t="shared" ref="JA30:JA31" si="163">IF(AND(OR(BY30="",BY30=0),OR(FM30="",FM30=0)),"",
MIN(1.2,
IFERROR(FM30/IF(OR(BY30="",BY30=0),1,BY30),0)))</f>
        <v>1</v>
      </c>
      <c r="JB30" s="220">
        <f t="shared" ref="JB30:JB31" si="164">IF(AND(OR(BZ30="",BZ30=0),OR(FN30="",FN30=0)),"",
MIN(1.2,
IFERROR(FN30/IF(OR(BZ30="",BZ30=0),1,BZ30),0)))</f>
        <v>1</v>
      </c>
      <c r="JC30" s="220">
        <f t="shared" ref="JC30:JC31" si="165">IF(AND(OR(CA30="",CA30=0),OR(FO30="",FO30=0)),"",
MIN(1.2,
IFERROR(FO30/IF(OR(CA30="",CA30=0),1,CA30),0)))</f>
        <v>1</v>
      </c>
      <c r="JD30" s="220">
        <f t="shared" ref="JD30:JD31" si="166">IF(AND(OR(CB30="",CB30=0),OR(FP30="",FP30=0)),"",
MIN(1.2,
IFERROR(FP30/IF(OR(CB30="",CB30=0),1,CB30),0)))</f>
        <v>1</v>
      </c>
      <c r="JE30" s="220">
        <f t="shared" ref="JE30:JE31" si="167">IF(AND(OR(CC30="",CC30=0),OR(FQ30="",FQ30=0)),"",
MIN(1.2,
IFERROR(FQ30/IF(OR(CC30="",CC30=0),1,CC30),0)))</f>
        <v>1</v>
      </c>
      <c r="JF30" s="220">
        <f t="shared" ref="JF30:JF31" si="168">IF(AND(OR(CD30="",CD30=0),OR(FR30="",FR30=0)),"",
MIN(1.2,
IFERROR(FR30/IF(OR(CD30="",CD30=0),1,CD30),0)))</f>
        <v>1</v>
      </c>
      <c r="JG30" s="220">
        <f t="shared" ref="JG30:JG31" si="169">IF(AND(OR(CE30="",CE30=0),OR(FS30="",FS30=0)),"",
MIN(1.2,
IFERROR(FS30/IF(OR(CE30="",CE30=0),1,CE30),0)))</f>
        <v>1</v>
      </c>
      <c r="JH30" s="220">
        <f t="shared" ref="JH30:JH31" si="170">IF(AND(OR(CF30="",CF30=0),OR(FT30="",FT30=0)),"",
MIN(1.2,
IFERROR(FT30/IF(OR(CF30="",CF30=0),1,CF30),0)))</f>
        <v>1</v>
      </c>
      <c r="JI30" s="220">
        <f t="shared" ref="JI30:JI31" si="171">IF(AND(OR(CG30="",CG30=0),OR(FU30="",FU30=0)),"",
MIN(1.2,
IFERROR(FU30/IF(OR(CG30="",CG30=0),1,CG30),0)))</f>
        <v>1</v>
      </c>
      <c r="JJ30" s="220">
        <f t="shared" ref="JJ30:JJ31" si="172">IF(AND(OR(CH30="",CH30=0),OR(FV30="",FV30=0)),"",
MIN(1.2,
IFERROR(FV30/IF(OR(CH30="",CH30=0),1,CH30),0)))</f>
        <v>1</v>
      </c>
      <c r="JK30" s="220">
        <f t="shared" ref="JK30:JK31" si="173">IF(AND(OR(CI30="",CI30=0),OR(FW30="",FW30=0)),"",
MIN(1.2,
IFERROR(FW30/IF(OR(CI30="",CI30=0),1,CI30),0)))</f>
        <v>1</v>
      </c>
      <c r="JL30" s="220">
        <f t="shared" ref="JL30:JL31" si="174">IF(AND(OR(CJ30="",CJ30=0),OR(FX30="",FX30=0)),"",
MIN(1.2,
IFERROR(FX30/IF(OR(CJ30="",CJ30=0),1,CJ30),0)))</f>
        <v>1</v>
      </c>
      <c r="JM30" s="220">
        <f t="shared" ref="JM30:JM31" si="175">IF(AND(OR(CK30="",CK30=0),OR(FY30="",FY30=0)),"",
MIN(1.2,
IFERROR(FY30/IF(OR(CK30="",CK30=0),1,CK30),0)))</f>
        <v>1</v>
      </c>
      <c r="JN30" s="220">
        <f t="shared" ref="JN30:JN31" si="176">IF(AND(OR(CL30="",CL30=0),OR(FZ30="",FZ30=0)),"",
MIN(1.2,
IFERROR(FZ30/IF(OR(CL30="",CL30=0),1,CL30),0)))</f>
        <v>1</v>
      </c>
      <c r="JO30" s="220">
        <f t="shared" ref="JO30:JO31" si="177">IF(AND(OR(CM30="",CM30=0),OR(GA30="",GA30=0)),"",
MIN(1.2,
IFERROR(GA30/IF(OR(CM30="",CM30=0),1,CM30),0)))</f>
        <v>1</v>
      </c>
      <c r="JP30" s="220">
        <f t="shared" ref="JP30:JP31" si="178">IF(AND(OR(CN30="",CN30=0),OR(GB30="",GB30=0)),"",
MIN(1.2,
IFERROR(GB30/IF(OR(CN30="",CN30=0),1,CN30),0)))</f>
        <v>1</v>
      </c>
      <c r="JQ30" s="220">
        <f t="shared" ref="JQ30:JQ31" si="179">IF(AND(OR(CO30="",CO30=0),OR(GC30="",GC30=0)),"",
MIN(1.2,
IFERROR(GC30/IF(OR(CO30="",CO30=0),1,CO30),0)))</f>
        <v>1</v>
      </c>
      <c r="JR30" s="220">
        <f t="shared" ref="JR30:JR31" si="180">IF(AND(OR(CP30="",CP30=0),OR(GD30="",GD30=0)),"",
MIN(1.2,
IFERROR(GD30/IF(OR(CP30="",CP30=0),1,CP30),0)))</f>
        <v>1</v>
      </c>
      <c r="JS30" s="220">
        <f t="shared" ref="JS30:JS31" si="181">IF(AND(OR(CQ30="",CQ30=0),OR(GE30="",GE30=0)),"",
MIN(1.2,
IFERROR(GE30/IF(OR(CQ30="",CQ30=0),1,CQ30),0)))</f>
        <v>1</v>
      </c>
      <c r="JT30" s="220">
        <f t="shared" ref="JT30:JT31" si="182">IF(AND(OR(CR30="",CR30=0),OR(GF30="",GF30=0)),"",
MIN(1.2,
IFERROR(GF30/IF(OR(CR30="",CR30=0),1,CR30),0)))</f>
        <v>1</v>
      </c>
      <c r="JU30" s="220">
        <f t="shared" ref="JU30:JU31" si="183">IF(AND(OR(CS30="",CS30=0),OR(GG30="",GG30=0)),"",
MIN(1.2,
IFERROR(GG30/IF(OR(CS30="",CS30=0),1,CS30),0)))</f>
        <v>1</v>
      </c>
      <c r="JV30" s="220">
        <f t="shared" ref="JV30:JV31" si="184">IF(AND(OR(CT30="",CT30=0),OR(GH30="",GH30=0)),"",
MIN(1.2,
IFERROR(GH30/IF(OR(CT30="",CT30=0),1,CT30),0)))</f>
        <v>1</v>
      </c>
      <c r="JW30" s="220">
        <f t="shared" ref="JW30:JW31" si="185">IF(AND(OR(CU30="",CU30=0),OR(GI30="",GI30=0)),"",
MIN(1.2,
IFERROR(GI30/IF(OR(CU30="",CU30=0),1,CU30),0)))</f>
        <v>1</v>
      </c>
      <c r="JX30" s="220">
        <f t="shared" ref="JX30:JX31" si="186">IF(AND(OR(CV30="",CV30=0),OR(GJ30="",GJ30=0)),"",
MIN(1.2,
IFERROR(GJ30/IF(OR(CV30="",CV30=0),1,CV30),0)))</f>
        <v>1</v>
      </c>
      <c r="JY30" s="220">
        <f t="shared" ref="JY30:JY31" si="187">IF(AND(OR(CW30="",CW30=0),OR(GK30="",GK30=0)),"",
MIN(1.2,
IFERROR(GK30/IF(OR(CW30="",CW30=0),1,CW30),0)))</f>
        <v>1</v>
      </c>
      <c r="JZ30" s="220">
        <f t="shared" ref="JZ30:JZ31" si="188">IF(AND(OR(CX30="",CX30=0),OR(GL30="",GL30=0)),"",
MIN(1.2,
IFERROR(GL30/IF(OR(CX30="",CX30=0),1,CX30),0)))</f>
        <v>1</v>
      </c>
      <c r="KA30" s="220">
        <f t="shared" ref="KA30:KA31" si="189">IF(AND(OR(CY30="",CY30=0),OR(GM30="",GM30=0)),"",
MIN(1.2,
IFERROR(GM30/IF(OR(CY30="",CY30=0),1,CY30),0)))</f>
        <v>1</v>
      </c>
      <c r="KB30" s="220">
        <f t="shared" ref="KB30:KB31" si="190">IF(AND(OR(CZ30="",CZ30=0),OR(GN30="",GN30=0)),"",
MIN(1.2,
IFERROR(GN30/IF(OR(CZ30="",CZ30=0),1,CZ30),0)))</f>
        <v>1</v>
      </c>
      <c r="KC30" s="220">
        <f t="shared" ref="KC30:KC31" si="191">IF(AND(OR(DA30="",DA30=0),OR(GO30="",GO30=0)),"",
MIN(1.2,
IFERROR(GO30/IF(OR(DA30="",DA30=0),1,DA30),0)))</f>
        <v>1</v>
      </c>
      <c r="KD30" s="220">
        <f t="shared" ref="KD30:KD31" si="192">IF(AND(OR(DB30="",DB30=0),OR(GP30="",GP30=0)),"",
MIN(1.2,
IFERROR(GP30/IF(OR(DB30="",DB30=0),1,DB30),0)))</f>
        <v>1</v>
      </c>
      <c r="KE30" s="220">
        <f t="shared" ref="KE30:KE31" si="193">IF(AND(OR(DC30="",DC30=0),OR(GQ30="",GQ30=0)),"",
MIN(1.2,
IFERROR(GQ30/IF(OR(DC30="",DC30=0),1,DC30),0)))</f>
        <v>1</v>
      </c>
      <c r="KF30" s="220">
        <f t="shared" ref="KF30:KF31" si="194">IF(AND(OR(DD30="",DD30=0),OR(GR30="",GR30=0)),"",
MIN(1.2,
IFERROR(GR30/IF(OR(DD30="",DD30=0),1,DD30),0)))</f>
        <v>1</v>
      </c>
      <c r="KG30" s="221">
        <f t="shared" ref="KG30:KG31" si="195">IF(AND(OR(DE30="",DE30=0),OR(GS30="",GS30=0)),"",
MIN(1.2,
IFERROR(GS30/IF(OR(DE30="",DE30=0),1,DE30),0)))</f>
        <v>1</v>
      </c>
      <c r="KH30" s="13"/>
    </row>
    <row r="31" spans="1:294" ht="62.5" customHeight="1" thickBot="1" x14ac:dyDescent="0.4">
      <c r="A31" s="4"/>
      <c r="B31" s="58">
        <v>24</v>
      </c>
      <c r="C31" s="14" t="s">
        <v>35</v>
      </c>
      <c r="D31" s="272" t="s">
        <v>236</v>
      </c>
      <c r="E31" s="6" t="s">
        <v>3</v>
      </c>
      <c r="F31" s="5" t="s">
        <v>237</v>
      </c>
      <c r="G31" s="6" t="s">
        <v>238</v>
      </c>
      <c r="H31" s="22">
        <v>46216</v>
      </c>
      <c r="I31" s="280">
        <v>46262</v>
      </c>
      <c r="J31" s="67">
        <f>(I31-H31)+1</f>
        <v>47</v>
      </c>
      <c r="K31" s="281"/>
      <c r="L31" s="280"/>
      <c r="M31" s="67" t="str">
        <f>IF(AND(K31=0,L31=0),"No Progress",IF(Tbl_SM[[#This Row],[ACTUAL START]]="",0,IF(L31-K31&lt;0,"On Progress",L31-K31)))</f>
        <v>No Progress</v>
      </c>
      <c r="N31" s="282" t="str">
        <f>IF(Tbl_SM[[#This Row],[PLAN START]]="","",
IF(Tbl_SM[[#This Row],[ACTUAL FINISH]]&lt;&gt;"","CLOSE",
IF(Tbl_SM[[#This Row],[ACTUAL START]]&lt;&gt;"","ON PROGRESS",
"OPEN")))</f>
        <v>OPEN</v>
      </c>
      <c r="O31" s="97" t="str">
        <f ca="1">IF(Tbl_SM[[#This Row],[PLAN START]]="","",
IF(Tbl_SM[[#This Row],[ACTUAL FINISH]]&lt;&gt;"","CLOSE",
IF(TODAY()&gt;Tbl_SM[[#This Row],[DUE DATA]],"OVERDUE",
IF((Tbl_SM[[#This Row],[DUE DATA]]-TODAY())&lt;=3,"&lt; 3 HARI",
IF((Tbl_SM[[#This Row],[DUE DATA]]-TODAY())&lt;=7,"&lt; 7 HARI",
IF((Tbl_SM[[#This Row],[DUE DATA]]-TODAY())&lt;=14,"&lt; 14 HARI",
"&gt; 14 HARI"))))))</f>
        <v>&gt; 14 HARI</v>
      </c>
      <c r="P31" s="189">
        <f>IF(SUM(S31:AW31)=0,"",IFERROR(MAX(DG31:EK31),""))</f>
        <v>0.52666666666666595</v>
      </c>
      <c r="Q31" s="187">
        <f>IF(Tbl_SM[[#This Row],[STATUS]]="CLOSE",1,0)</f>
        <v>0</v>
      </c>
      <c r="S31" s="159">
        <v>0.05</v>
      </c>
      <c r="T31" s="160">
        <v>0.08</v>
      </c>
      <c r="U31" s="160">
        <v>0.1</v>
      </c>
      <c r="V31" s="160">
        <v>0.12666666666666701</v>
      </c>
      <c r="W31" s="160">
        <v>0.151666666666667</v>
      </c>
      <c r="X31" s="160">
        <v>0.176666666666667</v>
      </c>
      <c r="Y31" s="160">
        <v>0.20166666666666699</v>
      </c>
      <c r="Z31" s="160">
        <v>0.22666666666666699</v>
      </c>
      <c r="AA31" s="160">
        <v>0.25166666666666698</v>
      </c>
      <c r="AB31" s="160">
        <v>0.276666666666667</v>
      </c>
      <c r="AC31" s="160">
        <v>0.30166666666666703</v>
      </c>
      <c r="AD31" s="160">
        <v>0.32666666666666699</v>
      </c>
      <c r="AE31" s="160">
        <v>0.35166666666666702</v>
      </c>
      <c r="AF31" s="160">
        <v>0.37666666666666698</v>
      </c>
      <c r="AG31" s="160">
        <v>0.401666666666667</v>
      </c>
      <c r="AH31" s="160">
        <v>0.42666666666666703</v>
      </c>
      <c r="AI31" s="160">
        <v>0.45166666666666699</v>
      </c>
      <c r="AJ31" s="160">
        <v>0.47666666666666702</v>
      </c>
      <c r="AK31" s="160">
        <v>0.50166666666666704</v>
      </c>
      <c r="AL31" s="160">
        <v>0.50166666666666704</v>
      </c>
      <c r="AM31" s="160">
        <v>0.50166666666666704</v>
      </c>
      <c r="AN31" s="160">
        <v>0.50166666666666704</v>
      </c>
      <c r="AO31" s="160">
        <v>0.50166666666666704</v>
      </c>
      <c r="AP31" s="160">
        <v>0.50166666666666704</v>
      </c>
      <c r="AQ31" s="160">
        <v>0.50166666666666704</v>
      </c>
      <c r="AR31" s="160">
        <v>0.50166666666666704</v>
      </c>
      <c r="AS31" s="160">
        <v>0.50166666666666704</v>
      </c>
      <c r="AT31" s="160">
        <v>0.50166666666666704</v>
      </c>
      <c r="AU31" s="160">
        <v>0.51</v>
      </c>
      <c r="AV31" s="160">
        <v>0.51833333333333298</v>
      </c>
      <c r="AW31" s="160">
        <v>0.52666666666666595</v>
      </c>
      <c r="AX31" s="160">
        <v>0.53499999999999903</v>
      </c>
      <c r="AY31" s="160">
        <v>0.543333333333332</v>
      </c>
      <c r="AZ31" s="160">
        <v>0.55166666666666497</v>
      </c>
      <c r="BA31" s="160">
        <v>0.55999999999999805</v>
      </c>
      <c r="BB31" s="160">
        <v>0.56833333333333103</v>
      </c>
      <c r="BC31" s="160">
        <v>0.6</v>
      </c>
      <c r="BD31" s="160">
        <v>0.63</v>
      </c>
      <c r="BE31" s="160">
        <v>0.66</v>
      </c>
      <c r="BF31" s="160">
        <v>0.69</v>
      </c>
      <c r="BG31" s="160">
        <v>0.72</v>
      </c>
      <c r="BH31" s="160">
        <v>0.75</v>
      </c>
      <c r="BI31" s="160">
        <v>0.78</v>
      </c>
      <c r="BJ31" s="160">
        <v>0.81</v>
      </c>
      <c r="BK31" s="160">
        <v>0.84</v>
      </c>
      <c r="BL31" s="160">
        <v>0.87</v>
      </c>
      <c r="BM31" s="160">
        <v>0.9</v>
      </c>
      <c r="BN31" s="160">
        <v>0.93</v>
      </c>
      <c r="BO31" s="160">
        <v>0.96</v>
      </c>
      <c r="BP31" s="160">
        <v>0.99</v>
      </c>
      <c r="BQ31" s="160">
        <v>1</v>
      </c>
      <c r="BR31" s="160">
        <v>1</v>
      </c>
      <c r="BS31" s="160">
        <v>1</v>
      </c>
      <c r="BT31" s="160">
        <v>1</v>
      </c>
      <c r="BU31" s="160">
        <v>1</v>
      </c>
      <c r="BV31" s="160">
        <v>1</v>
      </c>
      <c r="BW31" s="160">
        <v>1</v>
      </c>
      <c r="BX31" s="160">
        <v>1</v>
      </c>
      <c r="BY31" s="160">
        <v>1</v>
      </c>
      <c r="BZ31" s="160">
        <v>1</v>
      </c>
      <c r="CA31" s="160">
        <v>1</v>
      </c>
      <c r="CB31" s="160">
        <v>1</v>
      </c>
      <c r="CC31" s="160">
        <v>1</v>
      </c>
      <c r="CD31" s="160">
        <v>1</v>
      </c>
      <c r="CE31" s="160">
        <v>1</v>
      </c>
      <c r="CF31" s="160">
        <v>1</v>
      </c>
      <c r="CG31" s="160">
        <v>1</v>
      </c>
      <c r="CH31" s="160">
        <v>1</v>
      </c>
      <c r="CI31" s="160">
        <v>1</v>
      </c>
      <c r="CJ31" s="160">
        <v>1</v>
      </c>
      <c r="CK31" s="160">
        <v>1</v>
      </c>
      <c r="CL31" s="160">
        <v>1</v>
      </c>
      <c r="CM31" s="160">
        <v>1</v>
      </c>
      <c r="CN31" s="160">
        <v>1</v>
      </c>
      <c r="CO31" s="160">
        <v>1</v>
      </c>
      <c r="CP31" s="160">
        <v>1</v>
      </c>
      <c r="CQ31" s="160">
        <v>1</v>
      </c>
      <c r="CR31" s="160">
        <v>1</v>
      </c>
      <c r="CS31" s="160">
        <v>1</v>
      </c>
      <c r="CT31" s="160">
        <v>1</v>
      </c>
      <c r="CU31" s="160">
        <v>1</v>
      </c>
      <c r="CV31" s="160">
        <v>1</v>
      </c>
      <c r="CW31" s="160">
        <v>1</v>
      </c>
      <c r="CX31" s="160">
        <v>1</v>
      </c>
      <c r="CY31" s="160">
        <v>1</v>
      </c>
      <c r="CZ31" s="160">
        <v>1</v>
      </c>
      <c r="DA31" s="160">
        <v>1</v>
      </c>
      <c r="DB31" s="160">
        <v>1</v>
      </c>
      <c r="DC31" s="160">
        <v>1</v>
      </c>
      <c r="DD31" s="160">
        <v>1</v>
      </c>
      <c r="DE31" s="161">
        <v>1</v>
      </c>
      <c r="DF31" s="152"/>
      <c r="DG31" s="226">
        <v>0.05</v>
      </c>
      <c r="DH31" s="227">
        <v>0.08</v>
      </c>
      <c r="DI31" s="227">
        <v>0.1</v>
      </c>
      <c r="DJ31" s="227">
        <v>0.12666666666666701</v>
      </c>
      <c r="DK31" s="227">
        <v>0.151666666666667</v>
      </c>
      <c r="DL31" s="227">
        <v>0.176666666666667</v>
      </c>
      <c r="DM31" s="227">
        <v>0.20166666666666699</v>
      </c>
      <c r="DN31" s="227">
        <v>0.22666666666666699</v>
      </c>
      <c r="DO31" s="227">
        <v>0.25166666666666698</v>
      </c>
      <c r="DP31" s="227">
        <v>0.276666666666667</v>
      </c>
      <c r="DQ31" s="227">
        <v>0.30166666666666703</v>
      </c>
      <c r="DR31" s="227">
        <v>0.32666666666666699</v>
      </c>
      <c r="DS31" s="227">
        <v>0.35166666666666702</v>
      </c>
      <c r="DT31" s="227">
        <v>0.37666666666666698</v>
      </c>
      <c r="DU31" s="227">
        <v>0.401666666666667</v>
      </c>
      <c r="DV31" s="227">
        <v>0.42666666666666703</v>
      </c>
      <c r="DW31" s="227">
        <v>0.45166666666666699</v>
      </c>
      <c r="DX31" s="227">
        <v>0.47666666666666702</v>
      </c>
      <c r="DY31" s="227">
        <v>0.50166666666666704</v>
      </c>
      <c r="DZ31" s="227">
        <v>0.50166666666666704</v>
      </c>
      <c r="EA31" s="227">
        <v>0.50166666666666704</v>
      </c>
      <c r="EB31" s="227">
        <v>0.50166666666666704</v>
      </c>
      <c r="EC31" s="227">
        <v>0.50166666666666704</v>
      </c>
      <c r="ED31" s="227">
        <v>0.50166666666666704</v>
      </c>
      <c r="EE31" s="227">
        <v>0.50166666666666704</v>
      </c>
      <c r="EF31" s="227">
        <v>0.50166666666666704</v>
      </c>
      <c r="EG31" s="227">
        <v>0.50166666666666704</v>
      </c>
      <c r="EH31" s="227">
        <v>0.50166666666666704</v>
      </c>
      <c r="EI31" s="227">
        <v>0.51</v>
      </c>
      <c r="EJ31" s="227">
        <v>0.51833333333333298</v>
      </c>
      <c r="EK31" s="227">
        <v>0.52666666666666595</v>
      </c>
      <c r="EL31" s="227">
        <v>0.53499999999999903</v>
      </c>
      <c r="EM31" s="227">
        <v>0.543333333333332</v>
      </c>
      <c r="EN31" s="227">
        <v>0.55166666666666497</v>
      </c>
      <c r="EO31" s="227">
        <v>0.55999999999999805</v>
      </c>
      <c r="EP31" s="227">
        <v>0.56833333333333103</v>
      </c>
      <c r="EQ31" s="227">
        <v>0.6</v>
      </c>
      <c r="ER31" s="227">
        <v>0.63</v>
      </c>
      <c r="ES31" s="227">
        <v>0.66</v>
      </c>
      <c r="ET31" s="227">
        <v>0.69</v>
      </c>
      <c r="EU31" s="227">
        <v>0.72</v>
      </c>
      <c r="EV31" s="227">
        <v>0.75</v>
      </c>
      <c r="EW31" s="227">
        <v>0.78</v>
      </c>
      <c r="EX31" s="227">
        <v>0.81</v>
      </c>
      <c r="EY31" s="227">
        <v>0.84</v>
      </c>
      <c r="EZ31" s="227">
        <v>0.87</v>
      </c>
      <c r="FA31" s="227">
        <v>0.9</v>
      </c>
      <c r="FB31" s="227">
        <v>0.93</v>
      </c>
      <c r="FC31" s="227">
        <v>0.96</v>
      </c>
      <c r="FD31" s="227">
        <v>0.99</v>
      </c>
      <c r="FE31" s="227">
        <v>1</v>
      </c>
      <c r="FF31" s="227">
        <v>1</v>
      </c>
      <c r="FG31" s="227">
        <v>1</v>
      </c>
      <c r="FH31" s="227">
        <v>1</v>
      </c>
      <c r="FI31" s="227">
        <v>1</v>
      </c>
      <c r="FJ31" s="227">
        <v>1</v>
      </c>
      <c r="FK31" s="227">
        <v>1</v>
      </c>
      <c r="FL31" s="227">
        <v>1</v>
      </c>
      <c r="FM31" s="227">
        <v>1</v>
      </c>
      <c r="FN31" s="227">
        <v>1</v>
      </c>
      <c r="FO31" s="227">
        <v>1</v>
      </c>
      <c r="FP31" s="227">
        <v>1</v>
      </c>
      <c r="FQ31" s="227">
        <v>1</v>
      </c>
      <c r="FR31" s="227">
        <v>1</v>
      </c>
      <c r="FS31" s="227">
        <v>1</v>
      </c>
      <c r="FT31" s="227">
        <v>1</v>
      </c>
      <c r="FU31" s="227">
        <v>1</v>
      </c>
      <c r="FV31" s="227">
        <v>1</v>
      </c>
      <c r="FW31" s="227">
        <v>1</v>
      </c>
      <c r="FX31" s="227">
        <v>1</v>
      </c>
      <c r="FY31" s="227">
        <v>1</v>
      </c>
      <c r="FZ31" s="227">
        <v>1</v>
      </c>
      <c r="GA31" s="227">
        <v>1</v>
      </c>
      <c r="GB31" s="227">
        <v>1</v>
      </c>
      <c r="GC31" s="227">
        <v>1</v>
      </c>
      <c r="GD31" s="227">
        <v>1</v>
      </c>
      <c r="GE31" s="227">
        <v>1</v>
      </c>
      <c r="GF31" s="227">
        <v>1</v>
      </c>
      <c r="GG31" s="227">
        <v>1</v>
      </c>
      <c r="GH31" s="227">
        <v>1</v>
      </c>
      <c r="GI31" s="227">
        <v>1</v>
      </c>
      <c r="GJ31" s="227">
        <v>1</v>
      </c>
      <c r="GK31" s="227">
        <v>1</v>
      </c>
      <c r="GL31" s="227">
        <v>1</v>
      </c>
      <c r="GM31" s="227">
        <v>1</v>
      </c>
      <c r="GN31" s="227">
        <v>1</v>
      </c>
      <c r="GO31" s="227">
        <v>1</v>
      </c>
      <c r="GP31" s="227">
        <v>1</v>
      </c>
      <c r="GQ31" s="227">
        <v>1</v>
      </c>
      <c r="GR31" s="227">
        <v>1</v>
      </c>
      <c r="GS31" s="228">
        <v>1</v>
      </c>
      <c r="GT31" s="31"/>
      <c r="GU31" s="219">
        <f t="shared" si="105"/>
        <v>1</v>
      </c>
      <c r="GV31" s="220">
        <f t="shared" si="106"/>
        <v>1</v>
      </c>
      <c r="GW31" s="220">
        <f t="shared" si="107"/>
        <v>1</v>
      </c>
      <c r="GX31" s="220">
        <f t="shared" si="108"/>
        <v>1</v>
      </c>
      <c r="GY31" s="220">
        <f t="shared" si="109"/>
        <v>1</v>
      </c>
      <c r="GZ31" s="220">
        <f t="shared" si="110"/>
        <v>1</v>
      </c>
      <c r="HA31" s="220">
        <f t="shared" si="111"/>
        <v>1</v>
      </c>
      <c r="HB31" s="220">
        <f t="shared" si="112"/>
        <v>1</v>
      </c>
      <c r="HC31" s="220">
        <f t="shared" si="113"/>
        <v>1</v>
      </c>
      <c r="HD31" s="220">
        <f t="shared" si="114"/>
        <v>1</v>
      </c>
      <c r="HE31" s="220">
        <f t="shared" si="115"/>
        <v>1</v>
      </c>
      <c r="HF31" s="220">
        <f t="shared" si="116"/>
        <v>1</v>
      </c>
      <c r="HG31" s="220">
        <f t="shared" si="117"/>
        <v>1</v>
      </c>
      <c r="HH31" s="220">
        <f t="shared" si="118"/>
        <v>1</v>
      </c>
      <c r="HI31" s="220">
        <f t="shared" si="119"/>
        <v>1</v>
      </c>
      <c r="HJ31" s="220">
        <f t="shared" si="120"/>
        <v>1</v>
      </c>
      <c r="HK31" s="220">
        <f t="shared" si="121"/>
        <v>1</v>
      </c>
      <c r="HL31" s="220">
        <f t="shared" si="122"/>
        <v>1</v>
      </c>
      <c r="HM31" s="220">
        <f t="shared" si="123"/>
        <v>1</v>
      </c>
      <c r="HN31" s="220">
        <f t="shared" si="124"/>
        <v>1</v>
      </c>
      <c r="HO31" s="220">
        <f t="shared" si="125"/>
        <v>1</v>
      </c>
      <c r="HP31" s="220">
        <f t="shared" si="126"/>
        <v>1</v>
      </c>
      <c r="HQ31" s="220">
        <f t="shared" si="127"/>
        <v>1</v>
      </c>
      <c r="HR31" s="220">
        <f t="shared" si="128"/>
        <v>1</v>
      </c>
      <c r="HS31" s="220">
        <f t="shared" si="129"/>
        <v>1</v>
      </c>
      <c r="HT31" s="220">
        <f t="shared" si="130"/>
        <v>1</v>
      </c>
      <c r="HU31" s="220">
        <f t="shared" si="131"/>
        <v>1</v>
      </c>
      <c r="HV31" s="220">
        <f t="shared" si="132"/>
        <v>1</v>
      </c>
      <c r="HW31" s="220">
        <f t="shared" si="133"/>
        <v>1</v>
      </c>
      <c r="HX31" s="220">
        <f t="shared" si="134"/>
        <v>1</v>
      </c>
      <c r="HY31" s="220">
        <f t="shared" si="135"/>
        <v>1</v>
      </c>
      <c r="HZ31" s="220">
        <f t="shared" si="136"/>
        <v>1</v>
      </c>
      <c r="IA31" s="220">
        <f t="shared" si="137"/>
        <v>1</v>
      </c>
      <c r="IB31" s="220">
        <f t="shared" si="138"/>
        <v>1</v>
      </c>
      <c r="IC31" s="220">
        <f t="shared" si="139"/>
        <v>1</v>
      </c>
      <c r="ID31" s="220">
        <f t="shared" si="140"/>
        <v>1</v>
      </c>
      <c r="IE31" s="220">
        <f t="shared" si="141"/>
        <v>1</v>
      </c>
      <c r="IF31" s="220">
        <f t="shared" si="142"/>
        <v>1</v>
      </c>
      <c r="IG31" s="220">
        <f t="shared" si="143"/>
        <v>1</v>
      </c>
      <c r="IH31" s="220">
        <f t="shared" si="144"/>
        <v>1</v>
      </c>
      <c r="II31" s="220">
        <f t="shared" si="145"/>
        <v>1</v>
      </c>
      <c r="IJ31" s="220">
        <f t="shared" si="146"/>
        <v>1</v>
      </c>
      <c r="IK31" s="220">
        <f t="shared" si="147"/>
        <v>1</v>
      </c>
      <c r="IL31" s="220">
        <f t="shared" si="148"/>
        <v>1</v>
      </c>
      <c r="IM31" s="220">
        <f t="shared" si="149"/>
        <v>1</v>
      </c>
      <c r="IN31" s="220">
        <f t="shared" si="150"/>
        <v>1</v>
      </c>
      <c r="IO31" s="220">
        <f t="shared" si="151"/>
        <v>1</v>
      </c>
      <c r="IP31" s="220">
        <f t="shared" si="152"/>
        <v>1</v>
      </c>
      <c r="IQ31" s="220">
        <f t="shared" si="153"/>
        <v>1</v>
      </c>
      <c r="IR31" s="220">
        <f t="shared" si="154"/>
        <v>1</v>
      </c>
      <c r="IS31" s="220">
        <f t="shared" si="155"/>
        <v>1</v>
      </c>
      <c r="IT31" s="220">
        <f t="shared" si="156"/>
        <v>1</v>
      </c>
      <c r="IU31" s="220">
        <f t="shared" si="157"/>
        <v>1</v>
      </c>
      <c r="IV31" s="220">
        <f t="shared" si="158"/>
        <v>1</v>
      </c>
      <c r="IW31" s="220">
        <f t="shared" si="159"/>
        <v>1</v>
      </c>
      <c r="IX31" s="220">
        <f t="shared" si="160"/>
        <v>1</v>
      </c>
      <c r="IY31" s="220">
        <f t="shared" si="161"/>
        <v>1</v>
      </c>
      <c r="IZ31" s="220">
        <f t="shared" si="162"/>
        <v>1</v>
      </c>
      <c r="JA31" s="220">
        <f t="shared" si="163"/>
        <v>1</v>
      </c>
      <c r="JB31" s="220">
        <f t="shared" si="164"/>
        <v>1</v>
      </c>
      <c r="JC31" s="220">
        <f t="shared" si="165"/>
        <v>1</v>
      </c>
      <c r="JD31" s="220">
        <f t="shared" si="166"/>
        <v>1</v>
      </c>
      <c r="JE31" s="220">
        <f t="shared" si="167"/>
        <v>1</v>
      </c>
      <c r="JF31" s="220">
        <f t="shared" si="168"/>
        <v>1</v>
      </c>
      <c r="JG31" s="220">
        <f t="shared" si="169"/>
        <v>1</v>
      </c>
      <c r="JH31" s="220">
        <f t="shared" si="170"/>
        <v>1</v>
      </c>
      <c r="JI31" s="220">
        <f t="shared" si="171"/>
        <v>1</v>
      </c>
      <c r="JJ31" s="220">
        <f t="shared" si="172"/>
        <v>1</v>
      </c>
      <c r="JK31" s="220">
        <f t="shared" si="173"/>
        <v>1</v>
      </c>
      <c r="JL31" s="220">
        <f t="shared" si="174"/>
        <v>1</v>
      </c>
      <c r="JM31" s="220">
        <f t="shared" si="175"/>
        <v>1</v>
      </c>
      <c r="JN31" s="220">
        <f t="shared" si="176"/>
        <v>1</v>
      </c>
      <c r="JO31" s="220">
        <f t="shared" si="177"/>
        <v>1</v>
      </c>
      <c r="JP31" s="220">
        <f t="shared" si="178"/>
        <v>1</v>
      </c>
      <c r="JQ31" s="220">
        <f t="shared" si="179"/>
        <v>1</v>
      </c>
      <c r="JR31" s="220">
        <f t="shared" si="180"/>
        <v>1</v>
      </c>
      <c r="JS31" s="220">
        <f t="shared" si="181"/>
        <v>1</v>
      </c>
      <c r="JT31" s="220">
        <f t="shared" si="182"/>
        <v>1</v>
      </c>
      <c r="JU31" s="220">
        <f t="shared" si="183"/>
        <v>1</v>
      </c>
      <c r="JV31" s="220">
        <f t="shared" si="184"/>
        <v>1</v>
      </c>
      <c r="JW31" s="220">
        <f t="shared" si="185"/>
        <v>1</v>
      </c>
      <c r="JX31" s="220">
        <f t="shared" si="186"/>
        <v>1</v>
      </c>
      <c r="JY31" s="220">
        <f t="shared" si="187"/>
        <v>1</v>
      </c>
      <c r="JZ31" s="220">
        <f t="shared" si="188"/>
        <v>1</v>
      </c>
      <c r="KA31" s="220">
        <f t="shared" si="189"/>
        <v>1</v>
      </c>
      <c r="KB31" s="220">
        <f t="shared" si="190"/>
        <v>1</v>
      </c>
      <c r="KC31" s="220">
        <f t="shared" si="191"/>
        <v>1</v>
      </c>
      <c r="KD31" s="220">
        <f t="shared" si="192"/>
        <v>1</v>
      </c>
      <c r="KE31" s="220">
        <f t="shared" si="193"/>
        <v>1</v>
      </c>
      <c r="KF31" s="220">
        <f t="shared" si="194"/>
        <v>1</v>
      </c>
      <c r="KG31" s="221">
        <f t="shared" si="195"/>
        <v>1</v>
      </c>
      <c r="KH31" s="13"/>
    </row>
    <row r="32" spans="1:294" ht="15" thickBot="1" x14ac:dyDescent="0.4">
      <c r="B32" s="270"/>
      <c r="C32" s="271"/>
      <c r="D32" s="272"/>
      <c r="E32" s="270"/>
      <c r="F32" s="273"/>
      <c r="G32" s="270"/>
      <c r="H32" s="274"/>
      <c r="I32" s="274"/>
      <c r="J32" s="275"/>
      <c r="K32" s="274"/>
      <c r="L32" s="274"/>
      <c r="M32" s="275"/>
      <c r="N32" s="276"/>
      <c r="O32" s="277"/>
      <c r="P32" s="278"/>
      <c r="Q32" s="187"/>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7"/>
      <c r="AY32" s="1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1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H32" s="38"/>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row>
    <row r="33" spans="2:293" ht="15" thickBot="1" x14ac:dyDescent="0.4">
      <c r="B33" s="43"/>
      <c r="C33" s="44"/>
      <c r="D33" s="44"/>
      <c r="E33" s="44"/>
      <c r="F33" s="44"/>
      <c r="G33" s="44"/>
      <c r="H33" s="44"/>
      <c r="I33" s="44"/>
      <c r="J33" s="44"/>
      <c r="K33" s="44"/>
      <c r="L33" s="44"/>
      <c r="M33" s="44"/>
      <c r="N33" s="26"/>
      <c r="O33" s="26"/>
      <c r="P33" s="26"/>
      <c r="S33" s="279">
        <f>SUM(S8:S31)/COUNTA($B8:$B31)</f>
        <v>5.0000000000000017E-2</v>
      </c>
      <c r="T33" s="279">
        <f>SUM(T8:T31)/COUNTA($B8:$B31)</f>
        <v>8.0000000000000029E-2</v>
      </c>
      <c r="U33" s="279">
        <f>SUM(U8:U31)/COUNTA($B8:$B31)</f>
        <v>0.10000000000000003</v>
      </c>
      <c r="V33" s="279">
        <f>SUM(V8:V31)/COUNTA($B8:$B31)</f>
        <v>0.12666666666666695</v>
      </c>
      <c r="W33" s="279">
        <f>SUM(W8:W31)/COUNTA($B8:$B31)</f>
        <v>0.15166666666666695</v>
      </c>
      <c r="X33" s="279">
        <f>SUM(X8:X31)/COUNTA($B8:$B31)</f>
        <v>0.17666666666666708</v>
      </c>
      <c r="Y33" s="279">
        <f>SUM(Y8:Y31)/COUNTA($B8:$B31)</f>
        <v>0.20166666666666708</v>
      </c>
      <c r="Z33" s="279">
        <f>SUM(Z8:Z31)/COUNTA($B8:$B31)</f>
        <v>0.22666666666666688</v>
      </c>
      <c r="AA33" s="279">
        <f>SUM(AA8:AA31)/COUNTA($B8:$B31)</f>
        <v>0.25166666666666698</v>
      </c>
      <c r="AB33" s="279">
        <f>SUM(AB8:AB31)/COUNTA($B8:$B31)</f>
        <v>0.27666666666666706</v>
      </c>
      <c r="AC33" s="279">
        <f>SUM(AC8:AC31)/COUNTA($B8:$B31)</f>
        <v>0.30166666666666692</v>
      </c>
      <c r="AD33" s="279">
        <f>SUM(AD8:AD31)/COUNTA($B8:$B31)</f>
        <v>0.32666666666666705</v>
      </c>
      <c r="AE33" s="279">
        <f>SUM(AE8:AE31)/COUNTA($B8:$B31)</f>
        <v>0.35166666666666679</v>
      </c>
      <c r="AF33" s="279">
        <f>SUM(AF8:AF31)/COUNTA($B8:$B31)</f>
        <v>0.37666666666666698</v>
      </c>
      <c r="AG33" s="279">
        <f>SUM(AG8:AG31)/COUNTA($B8:$B31)</f>
        <v>0.40166666666666712</v>
      </c>
      <c r="AH33" s="279">
        <f>SUM(AH8:AH31)/COUNTA($B8:$B31)</f>
        <v>0.42666666666666714</v>
      </c>
      <c r="AI33" s="279">
        <f>SUM(AI8:AI31)/COUNTA($B8:$B31)</f>
        <v>0.45166666666666683</v>
      </c>
      <c r="AJ33" s="279">
        <f>SUM(AJ8:AJ31)/COUNTA($B8:$B31)</f>
        <v>0.47666666666666674</v>
      </c>
      <c r="AK33" s="279">
        <f>SUM(AK8:AK31)/COUNTA($B8:$B31)</f>
        <v>0.50166666666666704</v>
      </c>
      <c r="AL33" s="279">
        <f>SUM(AL8:AL31)/COUNTA($B8:$B31)</f>
        <v>0.50166666666666704</v>
      </c>
      <c r="AM33" s="279">
        <f>SUM(AM8:AM31)/COUNTA($B8:$B31)</f>
        <v>0.50166666666666704</v>
      </c>
      <c r="AN33" s="279">
        <f>SUM(AN8:AN31)/COUNTA($B8:$B31)</f>
        <v>0.50166666666666704</v>
      </c>
      <c r="AO33" s="279">
        <f>SUM(AO8:AO31)/COUNTA($B8:$B31)</f>
        <v>0.50166666666666704</v>
      </c>
      <c r="AP33" s="279">
        <f>SUM(AP8:AP31)/COUNTA($B8:$B31)</f>
        <v>0.50166666666666704</v>
      </c>
      <c r="AQ33" s="279">
        <f>SUM(AQ8:AQ31)/COUNTA($B8:$B31)</f>
        <v>0.50166666666666704</v>
      </c>
      <c r="AR33" s="279">
        <f>SUM(AR8:AR31)/COUNTA($B8:$B31)</f>
        <v>0.50166666666666704</v>
      </c>
      <c r="AS33" s="279">
        <f>SUM(AS8:AS31)/COUNTA($B8:$B31)</f>
        <v>0.50166666666666704</v>
      </c>
      <c r="AT33" s="279">
        <f>SUM(AT8:AT31)/COUNTA($B8:$B31)</f>
        <v>0.50166666666666704</v>
      </c>
      <c r="AU33" s="279">
        <f>SUM(AU8:AU31)/COUNTA($B8:$B31)</f>
        <v>0.5099999999999999</v>
      </c>
      <c r="AV33" s="279">
        <f>SUM(AV8:AV31)/COUNTA($B8:$B31)</f>
        <v>0.51833333333333276</v>
      </c>
      <c r="AW33" s="279">
        <f>SUM(AW8:AW31)/COUNTA($B8:$B31)</f>
        <v>0.52666666666666562</v>
      </c>
      <c r="AX33" s="279">
        <f>SUM(AX8:AX31)/COUNTA($B8:$B31)</f>
        <v>0.53499999999999892</v>
      </c>
      <c r="AY33" s="279">
        <f>SUM(AY8:AY31)/COUNTA($B8:$B31)</f>
        <v>0.54333333333333178</v>
      </c>
      <c r="AZ33" s="279">
        <f>SUM(AZ8:AZ31)/COUNTA($B8:$B31)</f>
        <v>0.55166666666666531</v>
      </c>
      <c r="BA33" s="279">
        <f>SUM(BA8:BA31)/COUNTA($B8:$B31)</f>
        <v>0.55999999999999817</v>
      </c>
      <c r="BB33" s="279">
        <f>SUM(BB8:BB31)/COUNTA($B8:$B31)</f>
        <v>0.56833333333333114</v>
      </c>
      <c r="BC33" s="279">
        <f>SUM(BC8:BC31)/COUNTA($B8:$B31)</f>
        <v>0.59999999999999976</v>
      </c>
      <c r="BD33" s="279">
        <f>SUM(BD8:BD31)/COUNTA($B8:$B31)</f>
        <v>0.63000000000000034</v>
      </c>
      <c r="BE33" s="279">
        <f>SUM(BE8:BE31)/COUNTA($B8:$B31)</f>
        <v>0.66</v>
      </c>
      <c r="BF33" s="279">
        <f>SUM(BF8:BF31)/COUNTA($B8:$B31)</f>
        <v>0.68999999999999961</v>
      </c>
      <c r="BG33" s="279">
        <f>SUM(BG8:BG31)/COUNTA($B8:$B31)</f>
        <v>0.7200000000000002</v>
      </c>
      <c r="BH33" s="279">
        <f>SUM(BH8:BH31)/COUNTA($B8:$B31)</f>
        <v>0.75</v>
      </c>
      <c r="BI33" s="279">
        <f>SUM(BI8:BI31)/COUNTA($B8:$B31)</f>
        <v>0.77999999999999992</v>
      </c>
      <c r="BJ33" s="279">
        <f>SUM(BJ8:BJ31)/COUNTA($B8:$B31)</f>
        <v>0.81</v>
      </c>
      <c r="BK33" s="279">
        <f>SUM(BK8:BK31)/COUNTA($B8:$B31)</f>
        <v>0.84</v>
      </c>
      <c r="BL33" s="279">
        <f>SUM(BL8:BL31)/COUNTA($B8:$B31)</f>
        <v>0.87</v>
      </c>
      <c r="BM33" s="279">
        <f>SUM(BM8:BM31)/COUNTA($B8:$B31)</f>
        <v>0.8999999999999998</v>
      </c>
      <c r="BN33" s="279">
        <f>SUM(BN8:BN31)/COUNTA($B8:$B31)</f>
        <v>0.92999999999999983</v>
      </c>
      <c r="BO33" s="279">
        <f>SUM(BO8:BO31)/COUNTA($B8:$B31)</f>
        <v>0.96000000000000052</v>
      </c>
      <c r="BP33" s="279">
        <f>SUM(BP8:BP31)/COUNTA($B8:$B31)</f>
        <v>0.98999999999999966</v>
      </c>
      <c r="BQ33" s="279">
        <f>SUM(BQ8:BQ31)/COUNTA($B8:$B31)</f>
        <v>1</v>
      </c>
      <c r="BR33" s="279">
        <f>SUM(BR8:BR31)/COUNTA($B8:$B31)</f>
        <v>1</v>
      </c>
      <c r="BS33" s="279">
        <f>SUM(BS8:BS31)/COUNTA($B8:$B31)</f>
        <v>1</v>
      </c>
      <c r="BT33" s="279">
        <f>SUM(BT8:BT31)/COUNTA($B8:$B31)</f>
        <v>1</v>
      </c>
      <c r="BU33" s="279">
        <f>SUM(BU8:BU31)/COUNTA($B8:$B31)</f>
        <v>1</v>
      </c>
      <c r="BV33" s="279">
        <f>SUM(BV8:BV31)/COUNTA($B8:$B31)</f>
        <v>1</v>
      </c>
      <c r="BW33" s="279">
        <f>SUM(BW8:BW31)/COUNTA($B8:$B31)</f>
        <v>1</v>
      </c>
      <c r="BX33" s="279">
        <f>SUM(BX8:BX31)/COUNTA($B8:$B31)</f>
        <v>1</v>
      </c>
      <c r="BY33" s="279">
        <f>SUM(BY8:BY31)/COUNTA($B8:$B31)</f>
        <v>1</v>
      </c>
      <c r="BZ33" s="279">
        <f>SUM(BZ8:BZ31)/COUNTA($B8:$B31)</f>
        <v>1</v>
      </c>
      <c r="CA33" s="279">
        <f>SUM(CA8:CA31)/COUNTA($B8:$B31)</f>
        <v>1</v>
      </c>
      <c r="CB33" s="279">
        <f>SUM(CB8:CB31)/COUNTA($B8:$B31)</f>
        <v>1</v>
      </c>
      <c r="CC33" s="279">
        <f>SUM(CC8:CC31)/COUNTA($B8:$B31)</f>
        <v>1</v>
      </c>
      <c r="CD33" s="279">
        <f>SUM(CD8:CD31)/COUNTA($B8:$B31)</f>
        <v>1</v>
      </c>
      <c r="CE33" s="279">
        <f>SUM(CE8:CE31)/COUNTA($B8:$B31)</f>
        <v>1</v>
      </c>
      <c r="CF33" s="279">
        <f>SUM(CF8:CF31)/COUNTA($B8:$B31)</f>
        <v>1</v>
      </c>
      <c r="CG33" s="279">
        <f>SUM(CG8:CG31)/COUNTA($B8:$B31)</f>
        <v>1</v>
      </c>
      <c r="CH33" s="279">
        <f>SUM(CH8:CH31)/COUNTA($B8:$B31)</f>
        <v>1</v>
      </c>
      <c r="CI33" s="279">
        <f>SUM(CI8:CI31)/COUNTA($B8:$B31)</f>
        <v>1</v>
      </c>
      <c r="CJ33" s="279">
        <f>SUM(CJ8:CJ31)/COUNTA($B8:$B31)</f>
        <v>1</v>
      </c>
      <c r="CK33" s="279">
        <f>SUM(CK8:CK31)/COUNTA($B8:$B31)</f>
        <v>1</v>
      </c>
      <c r="CL33" s="279">
        <f>SUM(CL8:CL31)/COUNTA($B8:$B31)</f>
        <v>1</v>
      </c>
      <c r="CM33" s="279">
        <f>SUM(CM8:CM31)/COUNTA($B8:$B31)</f>
        <v>1</v>
      </c>
      <c r="CN33" s="279">
        <f>SUM(CN8:CN31)/COUNTA($B8:$B31)</f>
        <v>1</v>
      </c>
      <c r="CO33" s="279">
        <f>SUM(CO8:CO31)/COUNTA($B8:$B31)</f>
        <v>1</v>
      </c>
      <c r="CP33" s="279">
        <f>SUM(CP8:CP31)/COUNTA($B8:$B31)</f>
        <v>1</v>
      </c>
      <c r="CQ33" s="279">
        <f>SUM(CQ8:CQ31)/COUNTA($B8:$B31)</f>
        <v>1</v>
      </c>
      <c r="CR33" s="279">
        <f>SUM(CR8:CR31)/COUNTA($B8:$B31)</f>
        <v>1</v>
      </c>
      <c r="CS33" s="279">
        <f>SUM(CS8:CS31)/COUNTA($B8:$B31)</f>
        <v>1</v>
      </c>
      <c r="CT33" s="279">
        <f>SUM(CT8:CT31)/COUNTA($B8:$B31)</f>
        <v>1</v>
      </c>
      <c r="CU33" s="279">
        <f>SUM(CU8:CU31)/COUNTA($B8:$B31)</f>
        <v>1</v>
      </c>
      <c r="CV33" s="279">
        <f>SUM(CV8:CV31)/COUNTA($B8:$B31)</f>
        <v>1</v>
      </c>
      <c r="CW33" s="279">
        <f>SUM(CW8:CW31)/COUNTA($B8:$B31)</f>
        <v>1</v>
      </c>
      <c r="CX33" s="279">
        <f>SUM(CX8:CX31)/COUNTA($B8:$B31)</f>
        <v>1</v>
      </c>
      <c r="CY33" s="279">
        <f>SUM(CY8:CY31)/COUNTA($B8:$B31)</f>
        <v>1</v>
      </c>
      <c r="CZ33" s="279">
        <f>SUM(CZ8:CZ31)/COUNTA($B8:$B31)</f>
        <v>1</v>
      </c>
      <c r="DA33" s="279">
        <f>SUM(DA8:DA31)/COUNTA($B8:$B31)</f>
        <v>1</v>
      </c>
      <c r="DB33" s="279">
        <f>SUM(DB8:DB31)/COUNTA($B8:$B31)</f>
        <v>1</v>
      </c>
      <c r="DC33" s="279">
        <f>SUM(DC8:DC31)/COUNTA($B8:$B31)</f>
        <v>1</v>
      </c>
      <c r="DD33" s="279">
        <f>SUM(DD8:DD31)/COUNTA($B8:$B31)</f>
        <v>1</v>
      </c>
      <c r="DE33" s="279">
        <f>SUM(DE8:DE31)/COUNTA($B8:$B31)</f>
        <v>1</v>
      </c>
      <c r="DF33" s="31"/>
      <c r="DG33" s="279">
        <f>SUM(DG8:DG31)/COUNTA($B8:$B31)</f>
        <v>5.0000000000000017E-2</v>
      </c>
      <c r="DH33" s="279">
        <f>SUM(DH8:DH31)/COUNTA($B8:$B31)</f>
        <v>8.0000000000000029E-2</v>
      </c>
      <c r="DI33" s="279">
        <f>SUM(DI8:DI31)/COUNTA($B8:$B31)</f>
        <v>0.10000000000000003</v>
      </c>
      <c r="DJ33" s="279">
        <f>SUM(DJ8:DJ31)/COUNTA($B8:$B31)</f>
        <v>0.12666666666666695</v>
      </c>
      <c r="DK33" s="279">
        <f>SUM(DK8:DK31)/COUNTA($B8:$B31)</f>
        <v>0.15166666666666695</v>
      </c>
      <c r="DL33" s="279">
        <f>SUM(DL8:DL31)/COUNTA($B8:$B31)</f>
        <v>0.17666666666666708</v>
      </c>
      <c r="DM33" s="279">
        <f>SUM(DM8:DM31)/COUNTA($B8:$B31)</f>
        <v>0.20166666666666708</v>
      </c>
      <c r="DN33" s="279">
        <f>SUM(DN8:DN31)/COUNTA($B8:$B31)</f>
        <v>0.22666666666666688</v>
      </c>
      <c r="DO33" s="279">
        <f>SUM(DO8:DO31)/COUNTA($B8:$B31)</f>
        <v>0.25166666666666698</v>
      </c>
      <c r="DP33" s="279">
        <f>SUM(DP8:DP31)/COUNTA($B8:$B31)</f>
        <v>0.27666666666666706</v>
      </c>
      <c r="DQ33" s="279">
        <f>SUM(DQ8:DQ31)/COUNTA($B8:$B31)</f>
        <v>0.30166666666666692</v>
      </c>
      <c r="DR33" s="279">
        <f>SUM(DR8:DR31)/COUNTA($B8:$B31)</f>
        <v>0.32666666666666705</v>
      </c>
      <c r="DS33" s="279">
        <f>SUM(DS8:DS31)/COUNTA($B8:$B31)</f>
        <v>0.35166666666666679</v>
      </c>
      <c r="DT33" s="279">
        <f>SUM(DT8:DT31)/COUNTA($B8:$B31)</f>
        <v>0.37666666666666698</v>
      </c>
      <c r="DU33" s="279">
        <f>SUM(DU8:DU31)/COUNTA($B8:$B31)</f>
        <v>0.40166666666666712</v>
      </c>
      <c r="DV33" s="279">
        <f>SUM(DV8:DV31)/COUNTA($B8:$B31)</f>
        <v>0.42666666666666714</v>
      </c>
      <c r="DW33" s="279">
        <f>SUM(DW8:DW31)/COUNTA($B8:$B31)</f>
        <v>0.45166666666666683</v>
      </c>
      <c r="DX33" s="279">
        <f>SUM(DX8:DX31)/COUNTA($B8:$B31)</f>
        <v>0.47666666666666674</v>
      </c>
      <c r="DY33" s="279">
        <f>SUM(DY8:DY31)/COUNTA($B8:$B31)</f>
        <v>0.50166666666666704</v>
      </c>
      <c r="DZ33" s="279">
        <f>SUM(DZ8:DZ31)/COUNTA($B8:$B31)</f>
        <v>0.50166666666666704</v>
      </c>
      <c r="EA33" s="279">
        <f>SUM(EA8:EA31)/COUNTA($B8:$B31)</f>
        <v>0.50166666666666704</v>
      </c>
      <c r="EB33" s="279">
        <f>SUM(EB8:EB31)/COUNTA($B8:$B31)</f>
        <v>0.50166666666666704</v>
      </c>
      <c r="EC33" s="279">
        <f>SUM(EC8:EC31)/COUNTA($B8:$B31)</f>
        <v>0.50166666666666704</v>
      </c>
      <c r="ED33" s="279">
        <f>SUM(ED8:ED31)/COUNTA($B8:$B31)</f>
        <v>0.50166666666666704</v>
      </c>
      <c r="EE33" s="279">
        <f>SUM(EE8:EE31)/COUNTA($B8:$B31)</f>
        <v>0.50166666666666704</v>
      </c>
      <c r="EF33" s="279">
        <f>SUM(EF8:EF31)/COUNTA($B8:$B31)</f>
        <v>0.50166666666666704</v>
      </c>
      <c r="EG33" s="279">
        <f>SUM(EG8:EG31)/COUNTA($B8:$B31)</f>
        <v>0.50166666666666704</v>
      </c>
      <c r="EH33" s="279">
        <f>SUM(EH8:EH31)/COUNTA($B8:$B31)</f>
        <v>0.50166666666666704</v>
      </c>
      <c r="EI33" s="279">
        <f>SUM(EI8:EI31)/COUNTA($B8:$B31)</f>
        <v>0.5099999999999999</v>
      </c>
      <c r="EJ33" s="279">
        <f>SUM(EJ8:EJ31)/COUNTA($B8:$B31)</f>
        <v>0.51833333333333276</v>
      </c>
      <c r="EK33" s="279">
        <f>SUM(EK8:EK31)/COUNTA($B8:$B31)</f>
        <v>0.52666666666666562</v>
      </c>
      <c r="EL33" s="279">
        <f>SUM(EL8:EL31)/COUNTA($B8:$B31)</f>
        <v>0.53499999999999892</v>
      </c>
      <c r="EM33" s="279">
        <f>SUM(EM8:EM31)/COUNTA($B8:$B31)</f>
        <v>0.54333333333333178</v>
      </c>
      <c r="EN33" s="279">
        <f>SUM(EN8:EN31)/COUNTA($B8:$B31)</f>
        <v>0.55166666666666531</v>
      </c>
      <c r="EO33" s="279">
        <f>SUM(EO8:EO31)/COUNTA($B8:$B31)</f>
        <v>0.55999999999999817</v>
      </c>
      <c r="EP33" s="279">
        <f>SUM(EP8:EP31)/COUNTA($B8:$B31)</f>
        <v>0.56833333333333114</v>
      </c>
      <c r="EQ33" s="279">
        <f>SUM(EQ8:EQ31)/COUNTA($B8:$B31)</f>
        <v>0.59999999999999976</v>
      </c>
      <c r="ER33" s="279">
        <f>SUM(ER8:ER31)/COUNTA($B8:$B31)</f>
        <v>0.63000000000000034</v>
      </c>
      <c r="ES33" s="279">
        <f>SUM(ES8:ES31)/COUNTA($B8:$B31)</f>
        <v>0.66</v>
      </c>
      <c r="ET33" s="279">
        <f>SUM(ET8:ET31)/COUNTA($B8:$B31)</f>
        <v>0.68999999999999961</v>
      </c>
      <c r="EU33" s="279">
        <f>SUM(EU8:EU31)/COUNTA($B8:$B31)</f>
        <v>0.7200000000000002</v>
      </c>
      <c r="EV33" s="279">
        <f>SUM(EV8:EV31)/COUNTA($B8:$B31)</f>
        <v>0.75</v>
      </c>
      <c r="EW33" s="279">
        <f>SUM(EW8:EW31)/COUNTA($B8:$B31)</f>
        <v>0.77999999999999992</v>
      </c>
      <c r="EX33" s="279">
        <f>SUM(EX8:EX31)/COUNTA($B8:$B31)</f>
        <v>0.81</v>
      </c>
      <c r="EY33" s="279">
        <f>SUM(EY8:EY31)/COUNTA($B8:$B31)</f>
        <v>0.84</v>
      </c>
      <c r="EZ33" s="279">
        <f>SUM(EZ8:EZ31)/COUNTA($B8:$B31)</f>
        <v>0.87</v>
      </c>
      <c r="FA33" s="279">
        <f>SUM(FA8:FA31)/COUNTA($B8:$B31)</f>
        <v>0.8999999999999998</v>
      </c>
      <c r="FB33" s="279">
        <f>SUM(FB8:FB31)/COUNTA($B8:$B31)</f>
        <v>0.92999999999999983</v>
      </c>
      <c r="FC33" s="279">
        <f>SUM(FC8:FC31)/COUNTA($B8:$B31)</f>
        <v>0.96000000000000052</v>
      </c>
      <c r="FD33" s="279">
        <f>SUM(FD8:FD31)/COUNTA($B8:$B31)</f>
        <v>0.98999999999999966</v>
      </c>
      <c r="FE33" s="279">
        <f>SUM(FE8:FE31)/COUNTA($B8:$B31)</f>
        <v>1</v>
      </c>
      <c r="FF33" s="279">
        <f>SUM(FF8:FF31)/COUNTA($B8:$B31)</f>
        <v>1</v>
      </c>
      <c r="FG33" s="279">
        <f>SUM(FG8:FG31)/COUNTA($B8:$B31)</f>
        <v>1</v>
      </c>
      <c r="FH33" s="279">
        <f>SUM(FH8:FH31)/COUNTA($B8:$B31)</f>
        <v>1</v>
      </c>
      <c r="FI33" s="279">
        <f>SUM(FI8:FI31)/COUNTA($B8:$B31)</f>
        <v>1</v>
      </c>
      <c r="FJ33" s="279">
        <f>SUM(FJ8:FJ31)/COUNTA($B8:$B31)</f>
        <v>1</v>
      </c>
      <c r="FK33" s="279">
        <f>SUM(FK8:FK31)/COUNTA($B8:$B31)</f>
        <v>1</v>
      </c>
      <c r="FL33" s="279">
        <f>SUM(FL8:FL31)/COUNTA($B8:$B31)</f>
        <v>1</v>
      </c>
      <c r="FM33" s="279">
        <f>SUM(FM8:FM31)/COUNTA($B8:$B31)</f>
        <v>1</v>
      </c>
      <c r="FN33" s="279">
        <f>SUM(FN8:FN31)/COUNTA($B8:$B31)</f>
        <v>1</v>
      </c>
      <c r="FO33" s="279">
        <f>SUM(FO8:FO31)/COUNTA($B8:$B31)</f>
        <v>1</v>
      </c>
      <c r="FP33" s="279">
        <f>SUM(FP8:FP31)/COUNTA($B8:$B31)</f>
        <v>1</v>
      </c>
      <c r="FQ33" s="279">
        <f>SUM(FQ8:FQ31)/COUNTA($B8:$B31)</f>
        <v>1</v>
      </c>
      <c r="FR33" s="279">
        <f>SUM(FR8:FR31)/COUNTA($B8:$B31)</f>
        <v>1</v>
      </c>
      <c r="FS33" s="279">
        <f>SUM(FS8:FS31)/COUNTA($B8:$B31)</f>
        <v>1</v>
      </c>
      <c r="FT33" s="279">
        <f>SUM(FT8:FT31)/COUNTA($B8:$B31)</f>
        <v>1</v>
      </c>
      <c r="FU33" s="279">
        <f>SUM(FU8:FU31)/COUNTA($B8:$B31)</f>
        <v>1</v>
      </c>
      <c r="FV33" s="279">
        <f>SUM(FV8:FV31)/COUNTA($B8:$B31)</f>
        <v>1</v>
      </c>
      <c r="FW33" s="279">
        <f>SUM(FW8:FW31)/COUNTA($B8:$B31)</f>
        <v>1</v>
      </c>
      <c r="FX33" s="279">
        <f>SUM(FX8:FX31)/COUNTA($B8:$B31)</f>
        <v>1</v>
      </c>
      <c r="FY33" s="279">
        <f>SUM(FY8:FY31)/COUNTA($B8:$B31)</f>
        <v>1</v>
      </c>
      <c r="FZ33" s="279">
        <f>SUM(FZ8:FZ31)/COUNTA($B8:$B31)</f>
        <v>1</v>
      </c>
      <c r="GA33" s="279">
        <f>SUM(GA8:GA31)/COUNTA($B8:$B31)</f>
        <v>1</v>
      </c>
      <c r="GB33" s="279">
        <f>SUM(GB8:GB31)/COUNTA($B8:$B31)</f>
        <v>1</v>
      </c>
      <c r="GC33" s="279">
        <f>SUM(GC8:GC31)/COUNTA($B8:$B31)</f>
        <v>1</v>
      </c>
      <c r="GD33" s="279">
        <f>SUM(GD8:GD31)/COUNTA($B8:$B31)</f>
        <v>1</v>
      </c>
      <c r="GE33" s="279">
        <f>SUM(GE8:GE31)/COUNTA($B8:$B31)</f>
        <v>1</v>
      </c>
      <c r="GF33" s="279">
        <f>SUM(GF8:GF31)/COUNTA($B8:$B31)</f>
        <v>1</v>
      </c>
      <c r="GG33" s="279">
        <f>SUM(GG8:GG31)/COUNTA($B8:$B31)</f>
        <v>1</v>
      </c>
      <c r="GH33" s="279">
        <f>SUM(GH8:GH31)/COUNTA($B8:$B31)</f>
        <v>1</v>
      </c>
      <c r="GI33" s="279">
        <f>SUM(GI8:GI31)/COUNTA($B8:$B31)</f>
        <v>1</v>
      </c>
      <c r="GJ33" s="279">
        <f>SUM(GJ8:GJ31)/COUNTA($B8:$B31)</f>
        <v>1</v>
      </c>
      <c r="GK33" s="279">
        <f>SUM(GK8:GK31)/COUNTA($B8:$B31)</f>
        <v>1</v>
      </c>
      <c r="GL33" s="279">
        <f>SUM(GL8:GL31)/COUNTA($B8:$B31)</f>
        <v>1</v>
      </c>
      <c r="GM33" s="279">
        <f>SUM(GM8:GM31)/COUNTA($B8:$B31)</f>
        <v>1</v>
      </c>
      <c r="GN33" s="279">
        <f>SUM(GN8:GN31)/COUNTA($B8:$B31)</f>
        <v>1</v>
      </c>
      <c r="GO33" s="279">
        <f>SUM(GO8:GO31)/COUNTA($B8:$B31)</f>
        <v>1</v>
      </c>
      <c r="GP33" s="279">
        <f>SUM(GP8:GP31)/COUNTA($B8:$B31)</f>
        <v>1</v>
      </c>
      <c r="GQ33" s="279">
        <f>SUM(GQ8:GQ31)/COUNTA($B8:$B31)</f>
        <v>1</v>
      </c>
      <c r="GR33" s="279">
        <f>SUM(GR8:GR31)/COUNTA($B8:$B31)</f>
        <v>1</v>
      </c>
      <c r="GS33" s="279">
        <f>SUM(GS8:GS31)/COUNTA($B8:$B31)</f>
        <v>1</v>
      </c>
      <c r="GU33" s="51">
        <f>IF(AND(OR(S33="",S33=0),OR(DG33="",DG33=0)),"",
MIN(1.2,
IFERROR(DG33/IF(OR(S33="",S33=0),1,S33),0)))</f>
        <v>1</v>
      </c>
      <c r="GV33" s="51">
        <f t="shared" ref="GV33:JG33" si="196">IF(AND(OR(T33="",T33=0),OR(DH33="",DH33=0)),"",
MIN(1.2,
IFERROR(DH33/IF(OR(T33="",T33=0),1,T33),0)))</f>
        <v>1</v>
      </c>
      <c r="GW33" s="51">
        <f t="shared" si="196"/>
        <v>1</v>
      </c>
      <c r="GX33" s="51">
        <f t="shared" si="196"/>
        <v>1</v>
      </c>
      <c r="GY33" s="51">
        <f t="shared" si="196"/>
        <v>1</v>
      </c>
      <c r="GZ33" s="51">
        <f t="shared" si="196"/>
        <v>1</v>
      </c>
      <c r="HA33" s="51">
        <f t="shared" si="196"/>
        <v>1</v>
      </c>
      <c r="HB33" s="51">
        <f t="shared" si="196"/>
        <v>1</v>
      </c>
      <c r="HC33" s="51">
        <f t="shared" si="196"/>
        <v>1</v>
      </c>
      <c r="HD33" s="51">
        <f t="shared" si="196"/>
        <v>1</v>
      </c>
      <c r="HE33" s="51">
        <f t="shared" si="196"/>
        <v>1</v>
      </c>
      <c r="HF33" s="51">
        <f t="shared" si="196"/>
        <v>1</v>
      </c>
      <c r="HG33" s="51">
        <f t="shared" si="196"/>
        <v>1</v>
      </c>
      <c r="HH33" s="51">
        <f t="shared" si="196"/>
        <v>1</v>
      </c>
      <c r="HI33" s="51">
        <f t="shared" si="196"/>
        <v>1</v>
      </c>
      <c r="HJ33" s="51">
        <f t="shared" si="196"/>
        <v>1</v>
      </c>
      <c r="HK33" s="51">
        <f t="shared" si="196"/>
        <v>1</v>
      </c>
      <c r="HL33" s="51">
        <f t="shared" si="196"/>
        <v>1</v>
      </c>
      <c r="HM33" s="51">
        <f t="shared" si="196"/>
        <v>1</v>
      </c>
      <c r="HN33" s="51">
        <f t="shared" si="196"/>
        <v>1</v>
      </c>
      <c r="HO33" s="51">
        <f t="shared" si="196"/>
        <v>1</v>
      </c>
      <c r="HP33" s="51">
        <f t="shared" si="196"/>
        <v>1</v>
      </c>
      <c r="HQ33" s="51">
        <f t="shared" si="196"/>
        <v>1</v>
      </c>
      <c r="HR33" s="51">
        <f t="shared" si="196"/>
        <v>1</v>
      </c>
      <c r="HS33" s="51">
        <f t="shared" si="196"/>
        <v>1</v>
      </c>
      <c r="HT33" s="51">
        <f t="shared" si="196"/>
        <v>1</v>
      </c>
      <c r="HU33" s="51">
        <f t="shared" si="196"/>
        <v>1</v>
      </c>
      <c r="HV33" s="51">
        <f t="shared" si="196"/>
        <v>1</v>
      </c>
      <c r="HW33" s="51">
        <f t="shared" si="196"/>
        <v>1</v>
      </c>
      <c r="HX33" s="51">
        <f t="shared" si="196"/>
        <v>1</v>
      </c>
      <c r="HY33" s="51">
        <f t="shared" si="196"/>
        <v>1</v>
      </c>
      <c r="HZ33" s="51">
        <f t="shared" si="196"/>
        <v>1</v>
      </c>
      <c r="IA33" s="51">
        <f t="shared" si="196"/>
        <v>1</v>
      </c>
      <c r="IB33" s="51">
        <f t="shared" si="196"/>
        <v>1</v>
      </c>
      <c r="IC33" s="51">
        <f t="shared" si="196"/>
        <v>1</v>
      </c>
      <c r="ID33" s="51">
        <f t="shared" si="196"/>
        <v>1</v>
      </c>
      <c r="IE33" s="51">
        <f t="shared" si="196"/>
        <v>1</v>
      </c>
      <c r="IF33" s="51">
        <f t="shared" si="196"/>
        <v>1</v>
      </c>
      <c r="IG33" s="51">
        <f t="shared" si="196"/>
        <v>1</v>
      </c>
      <c r="IH33" s="51">
        <f t="shared" si="196"/>
        <v>1</v>
      </c>
      <c r="II33" s="51">
        <f t="shared" si="196"/>
        <v>1</v>
      </c>
      <c r="IJ33" s="51">
        <f t="shared" si="196"/>
        <v>1</v>
      </c>
      <c r="IK33" s="51">
        <f t="shared" si="196"/>
        <v>1</v>
      </c>
      <c r="IL33" s="51">
        <f t="shared" si="196"/>
        <v>1</v>
      </c>
      <c r="IM33" s="51">
        <f t="shared" si="196"/>
        <v>1</v>
      </c>
      <c r="IN33" s="51">
        <f t="shared" si="196"/>
        <v>1</v>
      </c>
      <c r="IO33" s="51">
        <f t="shared" si="196"/>
        <v>1</v>
      </c>
      <c r="IP33" s="51">
        <f t="shared" si="196"/>
        <v>1</v>
      </c>
      <c r="IQ33" s="51">
        <f t="shared" si="196"/>
        <v>1</v>
      </c>
      <c r="IR33" s="51">
        <f t="shared" si="196"/>
        <v>1</v>
      </c>
      <c r="IS33" s="51">
        <f t="shared" si="196"/>
        <v>1</v>
      </c>
      <c r="IT33" s="51">
        <f t="shared" si="196"/>
        <v>1</v>
      </c>
      <c r="IU33" s="51">
        <f t="shared" si="196"/>
        <v>1</v>
      </c>
      <c r="IV33" s="51">
        <f t="shared" si="196"/>
        <v>1</v>
      </c>
      <c r="IW33" s="51">
        <f t="shared" si="196"/>
        <v>1</v>
      </c>
      <c r="IX33" s="51">
        <f t="shared" si="196"/>
        <v>1</v>
      </c>
      <c r="IY33" s="51">
        <f t="shared" si="196"/>
        <v>1</v>
      </c>
      <c r="IZ33" s="51">
        <f t="shared" si="196"/>
        <v>1</v>
      </c>
      <c r="JA33" s="51">
        <f t="shared" si="196"/>
        <v>1</v>
      </c>
      <c r="JB33" s="51">
        <f t="shared" si="196"/>
        <v>1</v>
      </c>
      <c r="JC33" s="51">
        <f t="shared" si="196"/>
        <v>1</v>
      </c>
      <c r="JD33" s="51">
        <f t="shared" si="196"/>
        <v>1</v>
      </c>
      <c r="JE33" s="51">
        <f t="shared" si="196"/>
        <v>1</v>
      </c>
      <c r="JF33" s="51">
        <f t="shared" si="196"/>
        <v>1</v>
      </c>
      <c r="JG33" s="51">
        <f t="shared" si="196"/>
        <v>1</v>
      </c>
      <c r="JH33" s="51">
        <f t="shared" ref="JH33:KG33" si="197">IF(AND(OR(CF33="",CF33=0),OR(FT33="",FT33=0)),"",
MIN(1.2,
IFERROR(FT33/IF(OR(CF33="",CF33=0),1,CF33),0)))</f>
        <v>1</v>
      </c>
      <c r="JI33" s="51">
        <f t="shared" si="197"/>
        <v>1</v>
      </c>
      <c r="JJ33" s="51">
        <f t="shared" si="197"/>
        <v>1</v>
      </c>
      <c r="JK33" s="51">
        <f t="shared" si="197"/>
        <v>1</v>
      </c>
      <c r="JL33" s="51">
        <f t="shared" si="197"/>
        <v>1</v>
      </c>
      <c r="JM33" s="51">
        <f t="shared" si="197"/>
        <v>1</v>
      </c>
      <c r="JN33" s="51">
        <f t="shared" si="197"/>
        <v>1</v>
      </c>
      <c r="JO33" s="51">
        <f t="shared" si="197"/>
        <v>1</v>
      </c>
      <c r="JP33" s="51">
        <f t="shared" si="197"/>
        <v>1</v>
      </c>
      <c r="JQ33" s="51">
        <f t="shared" si="197"/>
        <v>1</v>
      </c>
      <c r="JR33" s="51">
        <f t="shared" si="197"/>
        <v>1</v>
      </c>
      <c r="JS33" s="51">
        <f t="shared" si="197"/>
        <v>1</v>
      </c>
      <c r="JT33" s="51">
        <f t="shared" si="197"/>
        <v>1</v>
      </c>
      <c r="JU33" s="51">
        <f t="shared" si="197"/>
        <v>1</v>
      </c>
      <c r="JV33" s="51">
        <f t="shared" si="197"/>
        <v>1</v>
      </c>
      <c r="JW33" s="51">
        <f t="shared" si="197"/>
        <v>1</v>
      </c>
      <c r="JX33" s="51">
        <f t="shared" si="197"/>
        <v>1</v>
      </c>
      <c r="JY33" s="51">
        <f t="shared" si="197"/>
        <v>1</v>
      </c>
      <c r="JZ33" s="51">
        <f t="shared" si="197"/>
        <v>1</v>
      </c>
      <c r="KA33" s="51">
        <f t="shared" si="197"/>
        <v>1</v>
      </c>
      <c r="KB33" s="51">
        <f t="shared" si="197"/>
        <v>1</v>
      </c>
      <c r="KC33" s="51">
        <f t="shared" si="197"/>
        <v>1</v>
      </c>
      <c r="KD33" s="51">
        <f t="shared" si="197"/>
        <v>1</v>
      </c>
      <c r="KE33" s="51">
        <f t="shared" si="197"/>
        <v>1</v>
      </c>
      <c r="KF33" s="51">
        <f t="shared" si="197"/>
        <v>1</v>
      </c>
      <c r="KG33" s="51">
        <f t="shared" si="197"/>
        <v>1</v>
      </c>
    </row>
    <row r="34" spans="2:293" x14ac:dyDescent="0.35">
      <c r="B34" s="45"/>
      <c r="C34" s="30"/>
      <c r="D34" s="245" t="s">
        <v>40</v>
      </c>
      <c r="E34" s="246"/>
      <c r="F34" s="30"/>
      <c r="G34" s="30"/>
      <c r="H34" s="30"/>
      <c r="I34" s="30"/>
      <c r="J34" s="30"/>
      <c r="K34" s="30"/>
      <c r="L34" s="30"/>
      <c r="M34" s="30"/>
      <c r="S34" s="28">
        <v>16</v>
      </c>
      <c r="T34" s="53">
        <v>16</v>
      </c>
      <c r="U34" s="28">
        <v>16</v>
      </c>
      <c r="V34" s="53">
        <v>16</v>
      </c>
      <c r="W34" s="28">
        <v>16</v>
      </c>
      <c r="X34" s="53">
        <v>16</v>
      </c>
      <c r="Y34" s="28">
        <v>16</v>
      </c>
      <c r="Z34" s="53">
        <v>16</v>
      </c>
      <c r="AA34" s="28">
        <v>16</v>
      </c>
      <c r="AB34" s="53">
        <v>16</v>
      </c>
      <c r="AC34" s="28">
        <v>16</v>
      </c>
      <c r="AD34" s="53">
        <v>16</v>
      </c>
      <c r="AE34" s="28">
        <v>16</v>
      </c>
      <c r="AF34" s="53">
        <v>16</v>
      </c>
      <c r="AG34" s="28">
        <v>16</v>
      </c>
      <c r="AH34" s="53">
        <v>16</v>
      </c>
      <c r="AI34" s="28">
        <v>16</v>
      </c>
      <c r="AJ34" s="53">
        <v>16</v>
      </c>
      <c r="AK34" s="28">
        <v>16</v>
      </c>
      <c r="AL34" s="53">
        <v>16</v>
      </c>
      <c r="AM34" s="28">
        <v>16</v>
      </c>
      <c r="AN34" s="53">
        <v>16</v>
      </c>
      <c r="AO34" s="28">
        <v>16</v>
      </c>
      <c r="AP34" s="53">
        <v>16</v>
      </c>
      <c r="AQ34" s="28">
        <v>16</v>
      </c>
      <c r="AR34" s="53">
        <v>16</v>
      </c>
      <c r="AS34" s="28">
        <v>16</v>
      </c>
      <c r="AT34" s="53">
        <v>16</v>
      </c>
      <c r="AU34" s="28">
        <v>16</v>
      </c>
      <c r="AV34" s="53">
        <v>16</v>
      </c>
      <c r="AW34" s="28">
        <v>16</v>
      </c>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H34" s="32"/>
      <c r="DI34" s="33"/>
    </row>
    <row r="35" spans="2:293" x14ac:dyDescent="0.35">
      <c r="B35" s="45"/>
      <c r="C35" s="30"/>
      <c r="D35" s="242" t="s">
        <v>19</v>
      </c>
      <c r="E35" s="27" t="s">
        <v>21</v>
      </c>
      <c r="F35" s="30"/>
      <c r="G35" s="30"/>
      <c r="H35" s="30"/>
      <c r="I35" s="30"/>
      <c r="J35" s="30"/>
      <c r="K35" s="30"/>
      <c r="L35" s="30"/>
      <c r="M35" s="30"/>
      <c r="S35" s="29">
        <v>15</v>
      </c>
      <c r="T35" s="54">
        <v>13</v>
      </c>
      <c r="U35" s="29">
        <v>14</v>
      </c>
      <c r="V35" s="54">
        <v>11</v>
      </c>
      <c r="W35" s="29">
        <v>16</v>
      </c>
      <c r="X35" s="54">
        <v>14</v>
      </c>
      <c r="Y35" s="29">
        <v>16</v>
      </c>
      <c r="Z35" s="54">
        <v>15</v>
      </c>
      <c r="AA35" s="29">
        <v>13</v>
      </c>
      <c r="AB35" s="54">
        <v>14</v>
      </c>
      <c r="AC35" s="29">
        <v>11</v>
      </c>
      <c r="AD35" s="54">
        <v>16</v>
      </c>
      <c r="AE35" s="29">
        <v>14</v>
      </c>
      <c r="AF35" s="54">
        <v>16</v>
      </c>
      <c r="AG35" s="29">
        <v>15</v>
      </c>
      <c r="AH35" s="54">
        <v>13</v>
      </c>
      <c r="AI35" s="29">
        <v>14</v>
      </c>
      <c r="AJ35" s="54">
        <v>11</v>
      </c>
      <c r="AK35" s="29">
        <v>16</v>
      </c>
      <c r="AL35" s="54">
        <v>14</v>
      </c>
      <c r="AM35" s="29">
        <v>16</v>
      </c>
      <c r="AN35" s="54">
        <v>15</v>
      </c>
      <c r="AO35" s="29">
        <v>13</v>
      </c>
      <c r="AP35" s="54">
        <v>14</v>
      </c>
      <c r="AQ35" s="29">
        <v>11</v>
      </c>
      <c r="AR35" s="54">
        <v>16</v>
      </c>
      <c r="AS35" s="29">
        <v>14</v>
      </c>
      <c r="AT35" s="54">
        <v>16</v>
      </c>
      <c r="AU35" s="29">
        <v>12</v>
      </c>
      <c r="AV35" s="54">
        <v>11</v>
      </c>
      <c r="AW35" s="29">
        <v>15</v>
      </c>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H35" s="34"/>
      <c r="DI35" s="33"/>
    </row>
    <row r="36" spans="2:293" x14ac:dyDescent="0.35">
      <c r="B36" s="45"/>
      <c r="C36" s="30"/>
      <c r="D36" s="243"/>
      <c r="E36" s="27" t="s">
        <v>22</v>
      </c>
      <c r="F36" s="30"/>
      <c r="G36" s="30"/>
      <c r="H36" s="30"/>
      <c r="I36" s="30"/>
      <c r="J36" s="30"/>
      <c r="K36" s="30"/>
      <c r="L36" s="30"/>
      <c r="M36" s="30"/>
      <c r="S36" s="50">
        <f>IFERROR(S35/S34,0)</f>
        <v>0.9375</v>
      </c>
      <c r="T36" s="55">
        <f t="shared" ref="T36:AW36" si="198">IFERROR(T35/T34,0)</f>
        <v>0.8125</v>
      </c>
      <c r="U36" s="50">
        <f t="shared" si="198"/>
        <v>0.875</v>
      </c>
      <c r="V36" s="55">
        <f t="shared" si="198"/>
        <v>0.6875</v>
      </c>
      <c r="W36" s="50">
        <f t="shared" si="198"/>
        <v>1</v>
      </c>
      <c r="X36" s="55">
        <f t="shared" si="198"/>
        <v>0.875</v>
      </c>
      <c r="Y36" s="50">
        <f t="shared" si="198"/>
        <v>1</v>
      </c>
      <c r="Z36" s="55">
        <f t="shared" si="198"/>
        <v>0.9375</v>
      </c>
      <c r="AA36" s="50">
        <f t="shared" si="198"/>
        <v>0.8125</v>
      </c>
      <c r="AB36" s="55">
        <f t="shared" si="198"/>
        <v>0.875</v>
      </c>
      <c r="AC36" s="50">
        <f t="shared" si="198"/>
        <v>0.6875</v>
      </c>
      <c r="AD36" s="55">
        <f t="shared" si="198"/>
        <v>1</v>
      </c>
      <c r="AE36" s="50">
        <f t="shared" si="198"/>
        <v>0.875</v>
      </c>
      <c r="AF36" s="55">
        <f t="shared" si="198"/>
        <v>1</v>
      </c>
      <c r="AG36" s="50">
        <f t="shared" si="198"/>
        <v>0.9375</v>
      </c>
      <c r="AH36" s="55">
        <f t="shared" si="198"/>
        <v>0.8125</v>
      </c>
      <c r="AI36" s="50">
        <f t="shared" si="198"/>
        <v>0.875</v>
      </c>
      <c r="AJ36" s="55">
        <f t="shared" si="198"/>
        <v>0.6875</v>
      </c>
      <c r="AK36" s="50">
        <f t="shared" si="198"/>
        <v>1</v>
      </c>
      <c r="AL36" s="55">
        <f t="shared" si="198"/>
        <v>0.875</v>
      </c>
      <c r="AM36" s="50">
        <f t="shared" si="198"/>
        <v>1</v>
      </c>
      <c r="AN36" s="55">
        <f t="shared" si="198"/>
        <v>0.9375</v>
      </c>
      <c r="AO36" s="50">
        <f t="shared" si="198"/>
        <v>0.8125</v>
      </c>
      <c r="AP36" s="55">
        <f t="shared" si="198"/>
        <v>0.875</v>
      </c>
      <c r="AQ36" s="50">
        <f t="shared" si="198"/>
        <v>0.6875</v>
      </c>
      <c r="AR36" s="55">
        <f t="shared" si="198"/>
        <v>1</v>
      </c>
      <c r="AS36" s="50">
        <f t="shared" si="198"/>
        <v>0.875</v>
      </c>
      <c r="AT36" s="55">
        <f t="shared" si="198"/>
        <v>1</v>
      </c>
      <c r="AU36" s="50">
        <f t="shared" si="198"/>
        <v>0.75</v>
      </c>
      <c r="AV36" s="55">
        <f t="shared" si="198"/>
        <v>0.6875</v>
      </c>
      <c r="AW36" s="50">
        <f t="shared" si="198"/>
        <v>0.9375</v>
      </c>
      <c r="AX36" s="30"/>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0"/>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H36" s="34"/>
      <c r="DI36" s="33"/>
    </row>
    <row r="37" spans="2:293" x14ac:dyDescent="0.35">
      <c r="B37" s="45"/>
      <c r="C37" s="30"/>
      <c r="D37" s="244"/>
      <c r="E37" s="48" t="s">
        <v>39</v>
      </c>
      <c r="F37" s="30"/>
      <c r="G37" s="30"/>
      <c r="H37" s="30"/>
      <c r="I37" s="30"/>
      <c r="J37" s="30"/>
      <c r="K37" s="30"/>
      <c r="L37" s="30"/>
      <c r="M37" s="30"/>
      <c r="S37" s="49">
        <v>0.9</v>
      </c>
      <c r="T37" s="56">
        <v>0.9</v>
      </c>
      <c r="U37" s="49">
        <v>0.9</v>
      </c>
      <c r="V37" s="56">
        <v>0.9</v>
      </c>
      <c r="W37" s="49">
        <v>0.9</v>
      </c>
      <c r="X37" s="56">
        <v>0.9</v>
      </c>
      <c r="Y37" s="49">
        <v>0.9</v>
      </c>
      <c r="Z37" s="56">
        <v>0.9</v>
      </c>
      <c r="AA37" s="49">
        <v>0.9</v>
      </c>
      <c r="AB37" s="56">
        <v>0.9</v>
      </c>
      <c r="AC37" s="49">
        <v>0.9</v>
      </c>
      <c r="AD37" s="56">
        <v>0.9</v>
      </c>
      <c r="AE37" s="49">
        <v>0.9</v>
      </c>
      <c r="AF37" s="56">
        <v>0.9</v>
      </c>
      <c r="AG37" s="49">
        <v>0.9</v>
      </c>
      <c r="AH37" s="56">
        <v>0.9</v>
      </c>
      <c r="AI37" s="49">
        <v>0.9</v>
      </c>
      <c r="AJ37" s="56">
        <v>0.9</v>
      </c>
      <c r="AK37" s="49">
        <v>0.9</v>
      </c>
      <c r="AL37" s="56">
        <v>0.9</v>
      </c>
      <c r="AM37" s="49">
        <v>0.9</v>
      </c>
      <c r="AN37" s="56">
        <v>0.9</v>
      </c>
      <c r="AO37" s="49">
        <v>0.9</v>
      </c>
      <c r="AP37" s="56">
        <v>0.9</v>
      </c>
      <c r="AQ37" s="49">
        <v>0.9</v>
      </c>
      <c r="AR37" s="56">
        <v>0.9</v>
      </c>
      <c r="AS37" s="49">
        <v>0.9</v>
      </c>
      <c r="AT37" s="56">
        <v>0.9</v>
      </c>
      <c r="AU37" s="49">
        <v>0.9</v>
      </c>
      <c r="AV37" s="56">
        <v>0.9</v>
      </c>
      <c r="AW37" s="49">
        <v>0.9</v>
      </c>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H37" s="34"/>
      <c r="DI37" s="33"/>
    </row>
    <row r="38" spans="2:293" x14ac:dyDescent="0.35">
      <c r="B38" s="45"/>
      <c r="C38" s="30"/>
      <c r="D38" s="242" t="s">
        <v>18</v>
      </c>
      <c r="E38" s="27" t="s">
        <v>21</v>
      </c>
      <c r="F38" s="30"/>
      <c r="G38" s="30"/>
      <c r="H38" s="30"/>
      <c r="I38" s="30"/>
      <c r="J38" s="30"/>
      <c r="K38" s="30"/>
      <c r="L38" s="30"/>
      <c r="M38" s="30"/>
      <c r="S38" s="49">
        <v>0.87</v>
      </c>
      <c r="T38" s="56">
        <v>0.8</v>
      </c>
      <c r="U38" s="49">
        <v>0.83</v>
      </c>
      <c r="V38" s="56">
        <v>0.72</v>
      </c>
      <c r="W38" s="49">
        <v>1</v>
      </c>
      <c r="X38" s="56">
        <v>0.9</v>
      </c>
      <c r="Y38" s="49">
        <v>0.98</v>
      </c>
      <c r="Z38" s="56">
        <v>0.93</v>
      </c>
      <c r="AA38" s="49">
        <v>0.87</v>
      </c>
      <c r="AB38" s="56">
        <v>0.8</v>
      </c>
      <c r="AC38" s="49">
        <v>0.83</v>
      </c>
      <c r="AD38" s="56">
        <v>0.72</v>
      </c>
      <c r="AE38" s="49">
        <v>1</v>
      </c>
      <c r="AF38" s="56">
        <v>0.9</v>
      </c>
      <c r="AG38" s="49">
        <v>0.98</v>
      </c>
      <c r="AH38" s="56">
        <v>0.93</v>
      </c>
      <c r="AI38" s="49">
        <v>0.87</v>
      </c>
      <c r="AJ38" s="56">
        <v>0.8</v>
      </c>
      <c r="AK38" s="49">
        <v>0.83</v>
      </c>
      <c r="AL38" s="56">
        <v>0.72</v>
      </c>
      <c r="AM38" s="49">
        <v>1</v>
      </c>
      <c r="AN38" s="56">
        <v>0.9</v>
      </c>
      <c r="AO38" s="49">
        <v>0.98</v>
      </c>
      <c r="AP38" s="56">
        <v>0.93</v>
      </c>
      <c r="AQ38" s="49">
        <v>0.87</v>
      </c>
      <c r="AR38" s="56">
        <v>0.8</v>
      </c>
      <c r="AS38" s="49">
        <v>0.83</v>
      </c>
      <c r="AT38" s="56">
        <v>0.72</v>
      </c>
      <c r="AU38" s="49">
        <v>1</v>
      </c>
      <c r="AV38" s="56">
        <v>0.9</v>
      </c>
      <c r="AW38" s="49">
        <v>0.98</v>
      </c>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H38" s="34"/>
      <c r="DI38" s="33"/>
    </row>
    <row r="39" spans="2:293" x14ac:dyDescent="0.35">
      <c r="B39" s="45"/>
      <c r="C39" s="30"/>
      <c r="D39" s="243"/>
      <c r="E39" s="27" t="s">
        <v>22</v>
      </c>
      <c r="F39" s="30"/>
      <c r="G39" s="30"/>
      <c r="H39" s="30"/>
      <c r="I39" s="30"/>
      <c r="J39" s="30"/>
      <c r="K39" s="30"/>
      <c r="L39" s="30"/>
      <c r="M39" s="30"/>
      <c r="S39" s="50">
        <f>IFERROR(S38/S37,0)</f>
        <v>0.96666666666666667</v>
      </c>
      <c r="T39" s="55">
        <f t="shared" ref="T39" si="199">IFERROR(T38/T37,0)</f>
        <v>0.88888888888888895</v>
      </c>
      <c r="U39" s="50">
        <f t="shared" ref="U39" si="200">IFERROR(U38/U37,0)</f>
        <v>0.92222222222222217</v>
      </c>
      <c r="V39" s="55">
        <f t="shared" ref="V39" si="201">IFERROR(V38/V37,0)</f>
        <v>0.79999999999999993</v>
      </c>
      <c r="W39" s="50">
        <f t="shared" ref="W39" si="202">IFERROR(W38/W37,0)</f>
        <v>1.1111111111111112</v>
      </c>
      <c r="X39" s="55">
        <f t="shared" ref="X39" si="203">IFERROR(X38/X37,0)</f>
        <v>1</v>
      </c>
      <c r="Y39" s="50">
        <f t="shared" ref="Y39" si="204">IFERROR(Y38/Y37,0)</f>
        <v>1.0888888888888888</v>
      </c>
      <c r="Z39" s="55">
        <f t="shared" ref="Z39" si="205">IFERROR(Z38/Z37,0)</f>
        <v>1.0333333333333334</v>
      </c>
      <c r="AA39" s="50">
        <f t="shared" ref="AA39" si="206">IFERROR(AA38/AA37,0)</f>
        <v>0.96666666666666667</v>
      </c>
      <c r="AB39" s="55">
        <f t="shared" ref="AB39" si="207">IFERROR(AB38/AB37,0)</f>
        <v>0.88888888888888895</v>
      </c>
      <c r="AC39" s="50">
        <f t="shared" ref="AC39" si="208">IFERROR(AC38/AC37,0)</f>
        <v>0.92222222222222217</v>
      </c>
      <c r="AD39" s="55">
        <f t="shared" ref="AD39" si="209">IFERROR(AD38/AD37,0)</f>
        <v>0.79999999999999993</v>
      </c>
      <c r="AE39" s="50">
        <f t="shared" ref="AE39" si="210">IFERROR(AE38/AE37,0)</f>
        <v>1.1111111111111112</v>
      </c>
      <c r="AF39" s="55">
        <f t="shared" ref="AF39" si="211">IFERROR(AF38/AF37,0)</f>
        <v>1</v>
      </c>
      <c r="AG39" s="50">
        <f t="shared" ref="AG39" si="212">IFERROR(AG38/AG37,0)</f>
        <v>1.0888888888888888</v>
      </c>
      <c r="AH39" s="55">
        <f t="shared" ref="AH39" si="213">IFERROR(AH38/AH37,0)</f>
        <v>1.0333333333333334</v>
      </c>
      <c r="AI39" s="50">
        <f t="shared" ref="AI39" si="214">IFERROR(AI38/AI37,0)</f>
        <v>0.96666666666666667</v>
      </c>
      <c r="AJ39" s="55">
        <f t="shared" ref="AJ39" si="215">IFERROR(AJ38/AJ37,0)</f>
        <v>0.88888888888888895</v>
      </c>
      <c r="AK39" s="50">
        <f t="shared" ref="AK39" si="216">IFERROR(AK38/AK37,0)</f>
        <v>0.92222222222222217</v>
      </c>
      <c r="AL39" s="55">
        <f t="shared" ref="AL39" si="217">IFERROR(AL38/AL37,0)</f>
        <v>0.79999999999999993</v>
      </c>
      <c r="AM39" s="50">
        <f t="shared" ref="AM39" si="218">IFERROR(AM38/AM37,0)</f>
        <v>1.1111111111111112</v>
      </c>
      <c r="AN39" s="55">
        <f t="shared" ref="AN39" si="219">IFERROR(AN38/AN37,0)</f>
        <v>1</v>
      </c>
      <c r="AO39" s="50">
        <f t="shared" ref="AO39" si="220">IFERROR(AO38/AO37,0)</f>
        <v>1.0888888888888888</v>
      </c>
      <c r="AP39" s="55">
        <f t="shared" ref="AP39" si="221">IFERROR(AP38/AP37,0)</f>
        <v>1.0333333333333334</v>
      </c>
      <c r="AQ39" s="50">
        <f t="shared" ref="AQ39" si="222">IFERROR(AQ38/AQ37,0)</f>
        <v>0.96666666666666667</v>
      </c>
      <c r="AR39" s="55">
        <f t="shared" ref="AR39" si="223">IFERROR(AR38/AR37,0)</f>
        <v>0.88888888888888895</v>
      </c>
      <c r="AS39" s="50">
        <f t="shared" ref="AS39" si="224">IFERROR(AS38/AS37,0)</f>
        <v>0.92222222222222217</v>
      </c>
      <c r="AT39" s="55">
        <f t="shared" ref="AT39" si="225">IFERROR(AT38/AT37,0)</f>
        <v>0.79999999999999993</v>
      </c>
      <c r="AU39" s="50">
        <f t="shared" ref="AU39" si="226">IFERROR(AU38/AU37,0)</f>
        <v>1.1111111111111112</v>
      </c>
      <c r="AV39" s="55">
        <f t="shared" ref="AV39" si="227">IFERROR(AV38/AV37,0)</f>
        <v>1</v>
      </c>
      <c r="AW39" s="50">
        <f t="shared" ref="AW39" si="228">IFERROR(AW38/AW37,0)</f>
        <v>1.0888888888888888</v>
      </c>
      <c r="AX39" s="30"/>
      <c r="AY39" s="30"/>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0"/>
      <c r="CD39" s="30"/>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H39" s="34"/>
      <c r="DI39" s="33"/>
    </row>
    <row r="40" spans="2:293" x14ac:dyDescent="0.35">
      <c r="B40" s="45"/>
      <c r="C40" s="30"/>
      <c r="D40" s="244"/>
      <c r="E40" s="48" t="s">
        <v>39</v>
      </c>
      <c r="F40" s="30"/>
      <c r="G40" s="30"/>
      <c r="H40" s="30"/>
      <c r="I40" s="30"/>
      <c r="J40" s="30"/>
      <c r="K40" s="30"/>
      <c r="L40" s="30"/>
      <c r="M40" s="30"/>
      <c r="S40" s="29">
        <v>70</v>
      </c>
      <c r="T40" s="54">
        <v>70</v>
      </c>
      <c r="U40" s="29">
        <v>70</v>
      </c>
      <c r="V40" s="54">
        <v>70</v>
      </c>
      <c r="W40" s="29">
        <v>70</v>
      </c>
      <c r="X40" s="54">
        <v>70</v>
      </c>
      <c r="Y40" s="29">
        <v>70</v>
      </c>
      <c r="Z40" s="54">
        <v>70</v>
      </c>
      <c r="AA40" s="29">
        <v>70</v>
      </c>
      <c r="AB40" s="54">
        <v>70</v>
      </c>
      <c r="AC40" s="29">
        <v>70</v>
      </c>
      <c r="AD40" s="54">
        <v>70</v>
      </c>
      <c r="AE40" s="29">
        <v>70</v>
      </c>
      <c r="AF40" s="54">
        <v>70</v>
      </c>
      <c r="AG40" s="29">
        <v>70</v>
      </c>
      <c r="AH40" s="54">
        <v>70</v>
      </c>
      <c r="AI40" s="29">
        <v>70</v>
      </c>
      <c r="AJ40" s="54">
        <v>70</v>
      </c>
      <c r="AK40" s="29">
        <v>70</v>
      </c>
      <c r="AL40" s="54">
        <v>70</v>
      </c>
      <c r="AM40" s="29">
        <v>70</v>
      </c>
      <c r="AN40" s="54">
        <v>70</v>
      </c>
      <c r="AO40" s="29">
        <v>70</v>
      </c>
      <c r="AP40" s="54">
        <v>70</v>
      </c>
      <c r="AQ40" s="29">
        <v>70</v>
      </c>
      <c r="AR40" s="54">
        <v>70</v>
      </c>
      <c r="AS40" s="29">
        <v>70</v>
      </c>
      <c r="AT40" s="54">
        <v>70</v>
      </c>
      <c r="AU40" s="29">
        <v>70</v>
      </c>
      <c r="AV40" s="54">
        <v>70</v>
      </c>
      <c r="AW40" s="29">
        <v>70</v>
      </c>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H40" s="34"/>
      <c r="DI40" s="33"/>
    </row>
    <row r="41" spans="2:293" x14ac:dyDescent="0.35">
      <c r="B41" s="45"/>
      <c r="C41" s="30"/>
      <c r="D41" s="242" t="s">
        <v>20</v>
      </c>
      <c r="E41" s="27" t="s">
        <v>21</v>
      </c>
      <c r="F41" s="30"/>
      <c r="G41" s="30"/>
      <c r="H41" s="30"/>
      <c r="I41" s="30"/>
      <c r="J41" s="30"/>
      <c r="K41" s="30"/>
      <c r="L41" s="30"/>
      <c r="M41" s="30"/>
      <c r="S41" s="52">
        <v>80</v>
      </c>
      <c r="T41" s="57">
        <v>60</v>
      </c>
      <c r="U41" s="52">
        <v>50</v>
      </c>
      <c r="V41" s="57">
        <v>75</v>
      </c>
      <c r="W41" s="52">
        <v>83</v>
      </c>
      <c r="X41" s="57">
        <v>65</v>
      </c>
      <c r="Y41" s="52">
        <v>73</v>
      </c>
      <c r="Z41" s="57">
        <v>80</v>
      </c>
      <c r="AA41" s="52">
        <v>60</v>
      </c>
      <c r="AB41" s="57">
        <v>50</v>
      </c>
      <c r="AC41" s="52">
        <v>75</v>
      </c>
      <c r="AD41" s="57">
        <v>83</v>
      </c>
      <c r="AE41" s="52">
        <v>65</v>
      </c>
      <c r="AF41" s="57">
        <v>73</v>
      </c>
      <c r="AG41" s="52">
        <v>80</v>
      </c>
      <c r="AH41" s="57">
        <v>60</v>
      </c>
      <c r="AI41" s="52">
        <v>50</v>
      </c>
      <c r="AJ41" s="57">
        <v>75</v>
      </c>
      <c r="AK41" s="52">
        <v>83</v>
      </c>
      <c r="AL41" s="57">
        <v>65</v>
      </c>
      <c r="AM41" s="52">
        <v>73</v>
      </c>
      <c r="AN41" s="57">
        <v>80</v>
      </c>
      <c r="AO41" s="52">
        <v>60</v>
      </c>
      <c r="AP41" s="57">
        <v>50</v>
      </c>
      <c r="AQ41" s="52">
        <v>75</v>
      </c>
      <c r="AR41" s="57">
        <v>83</v>
      </c>
      <c r="AS41" s="52">
        <v>65</v>
      </c>
      <c r="AT41" s="57">
        <v>73</v>
      </c>
      <c r="AU41" s="52">
        <v>75</v>
      </c>
      <c r="AV41" s="57">
        <v>83</v>
      </c>
      <c r="AW41" s="52">
        <v>65</v>
      </c>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H41" s="34"/>
      <c r="DI41" s="33"/>
    </row>
    <row r="42" spans="2:293" x14ac:dyDescent="0.35">
      <c r="B42" s="45"/>
      <c r="C42" s="30"/>
      <c r="D42" s="243"/>
      <c r="E42" s="27" t="s">
        <v>22</v>
      </c>
      <c r="F42" s="30"/>
      <c r="G42" s="30"/>
      <c r="H42" s="30"/>
      <c r="I42" s="30"/>
      <c r="J42" s="30"/>
      <c r="K42" s="30"/>
      <c r="L42" s="30"/>
      <c r="M42" s="30"/>
      <c r="S42" s="50">
        <f>IFERROR(S41/S40,0)</f>
        <v>1.1428571428571428</v>
      </c>
      <c r="T42" s="50">
        <f t="shared" ref="T42" si="229">IFERROR(T41/T40,0)</f>
        <v>0.8571428571428571</v>
      </c>
      <c r="U42" s="50">
        <f t="shared" ref="U42" si="230">IFERROR(U41/U40,0)</f>
        <v>0.7142857142857143</v>
      </c>
      <c r="V42" s="50">
        <f t="shared" ref="V42" si="231">IFERROR(V41/V40,0)</f>
        <v>1.0714285714285714</v>
      </c>
      <c r="W42" s="50">
        <f t="shared" ref="W42" si="232">IFERROR(W41/W40,0)</f>
        <v>1.1857142857142857</v>
      </c>
      <c r="X42" s="50">
        <f t="shared" ref="X42" si="233">IFERROR(X41/X40,0)</f>
        <v>0.9285714285714286</v>
      </c>
      <c r="Y42" s="50">
        <f t="shared" ref="Y42" si="234">IFERROR(Y41/Y40,0)</f>
        <v>1.0428571428571429</v>
      </c>
      <c r="Z42" s="50">
        <f t="shared" ref="Z42" si="235">IFERROR(Z41/Z40,0)</f>
        <v>1.1428571428571428</v>
      </c>
      <c r="AA42" s="50">
        <f t="shared" ref="AA42" si="236">IFERROR(AA41/AA40,0)</f>
        <v>0.8571428571428571</v>
      </c>
      <c r="AB42" s="50">
        <f t="shared" ref="AB42" si="237">IFERROR(AB41/AB40,0)</f>
        <v>0.7142857142857143</v>
      </c>
      <c r="AC42" s="50">
        <f t="shared" ref="AC42" si="238">IFERROR(AC41/AC40,0)</f>
        <v>1.0714285714285714</v>
      </c>
      <c r="AD42" s="50">
        <f t="shared" ref="AD42" si="239">IFERROR(AD41/AD40,0)</f>
        <v>1.1857142857142857</v>
      </c>
      <c r="AE42" s="50">
        <f t="shared" ref="AE42" si="240">IFERROR(AE41/AE40,0)</f>
        <v>0.9285714285714286</v>
      </c>
      <c r="AF42" s="50">
        <f t="shared" ref="AF42" si="241">IFERROR(AF41/AF40,0)</f>
        <v>1.0428571428571429</v>
      </c>
      <c r="AG42" s="50">
        <f t="shared" ref="AG42" si="242">IFERROR(AG41/AG40,0)</f>
        <v>1.1428571428571428</v>
      </c>
      <c r="AH42" s="50">
        <f t="shared" ref="AH42" si="243">IFERROR(AH41/AH40,0)</f>
        <v>0.8571428571428571</v>
      </c>
      <c r="AI42" s="50">
        <f t="shared" ref="AI42" si="244">IFERROR(AI41/AI40,0)</f>
        <v>0.7142857142857143</v>
      </c>
      <c r="AJ42" s="50">
        <f t="shared" ref="AJ42" si="245">IFERROR(AJ41/AJ40,0)</f>
        <v>1.0714285714285714</v>
      </c>
      <c r="AK42" s="50">
        <f t="shared" ref="AK42" si="246">IFERROR(AK41/AK40,0)</f>
        <v>1.1857142857142857</v>
      </c>
      <c r="AL42" s="50">
        <f t="shared" ref="AL42" si="247">IFERROR(AL41/AL40,0)</f>
        <v>0.9285714285714286</v>
      </c>
      <c r="AM42" s="50">
        <f t="shared" ref="AM42" si="248">IFERROR(AM41/AM40,0)</f>
        <v>1.0428571428571429</v>
      </c>
      <c r="AN42" s="50">
        <f t="shared" ref="AN42" si="249">IFERROR(AN41/AN40,0)</f>
        <v>1.1428571428571428</v>
      </c>
      <c r="AO42" s="50">
        <f t="shared" ref="AO42" si="250">IFERROR(AO41/AO40,0)</f>
        <v>0.8571428571428571</v>
      </c>
      <c r="AP42" s="50">
        <f t="shared" ref="AP42" si="251">IFERROR(AP41/AP40,0)</f>
        <v>0.7142857142857143</v>
      </c>
      <c r="AQ42" s="50">
        <f t="shared" ref="AQ42" si="252">IFERROR(AQ41/AQ40,0)</f>
        <v>1.0714285714285714</v>
      </c>
      <c r="AR42" s="50">
        <f t="shared" ref="AR42" si="253">IFERROR(AR41/AR40,0)</f>
        <v>1.1857142857142857</v>
      </c>
      <c r="AS42" s="50">
        <f t="shared" ref="AS42" si="254">IFERROR(AS41/AS40,0)</f>
        <v>0.9285714285714286</v>
      </c>
      <c r="AT42" s="50">
        <f t="shared" ref="AT42" si="255">IFERROR(AT41/AT40,0)</f>
        <v>1.0428571428571429</v>
      </c>
      <c r="AU42" s="50">
        <f t="shared" ref="AU42" si="256">IFERROR(AU41/AU40,0)</f>
        <v>1.0714285714285714</v>
      </c>
      <c r="AV42" s="50">
        <f t="shared" ref="AV42" si="257">IFERROR(AV41/AV40,0)</f>
        <v>1.1857142857142857</v>
      </c>
      <c r="AW42" s="50">
        <f t="shared" ref="AW42" si="258">IFERROR(AW41/AW40,0)</f>
        <v>0.9285714285714286</v>
      </c>
      <c r="AX42" s="30"/>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0"/>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H42" s="34"/>
      <c r="DI42" s="33"/>
    </row>
    <row r="43" spans="2:293" x14ac:dyDescent="0.35">
      <c r="B43" s="45"/>
      <c r="C43" s="30"/>
      <c r="D43" s="244"/>
      <c r="E43" s="48" t="s">
        <v>39</v>
      </c>
      <c r="F43" s="30"/>
      <c r="G43" s="30"/>
      <c r="H43" s="30"/>
      <c r="I43" s="30"/>
      <c r="J43" s="30"/>
      <c r="K43" s="30"/>
      <c r="L43" s="30"/>
      <c r="M43" s="30"/>
      <c r="S43" s="29">
        <v>80</v>
      </c>
      <c r="T43" s="29">
        <v>80</v>
      </c>
      <c r="U43" s="29">
        <v>80</v>
      </c>
      <c r="V43" s="29">
        <v>80</v>
      </c>
      <c r="W43" s="29">
        <v>80</v>
      </c>
      <c r="X43" s="29">
        <v>80</v>
      </c>
      <c r="Y43" s="29">
        <v>80</v>
      </c>
      <c r="Z43" s="29">
        <v>80</v>
      </c>
      <c r="AA43" s="29">
        <v>80</v>
      </c>
      <c r="AB43" s="29">
        <v>80</v>
      </c>
      <c r="AC43" s="29">
        <v>80</v>
      </c>
      <c r="AD43" s="29">
        <v>80</v>
      </c>
      <c r="AE43" s="29">
        <v>80</v>
      </c>
      <c r="AF43" s="29">
        <v>80</v>
      </c>
      <c r="AG43" s="29">
        <v>80</v>
      </c>
      <c r="AH43" s="29">
        <v>80</v>
      </c>
      <c r="AI43" s="29">
        <v>80</v>
      </c>
      <c r="AJ43" s="29">
        <v>80</v>
      </c>
      <c r="AK43" s="29">
        <v>80</v>
      </c>
      <c r="AL43" s="29">
        <v>80</v>
      </c>
      <c r="AM43" s="29">
        <v>80</v>
      </c>
      <c r="AN43" s="29">
        <v>80</v>
      </c>
      <c r="AO43" s="29">
        <v>80</v>
      </c>
      <c r="AP43" s="29">
        <v>80</v>
      </c>
      <c r="AQ43" s="29">
        <v>80</v>
      </c>
      <c r="AR43" s="29">
        <v>80</v>
      </c>
      <c r="AS43" s="29">
        <v>80</v>
      </c>
      <c r="AT43" s="29">
        <v>80</v>
      </c>
      <c r="AU43" s="29">
        <v>80</v>
      </c>
      <c r="AV43" s="29">
        <v>80</v>
      </c>
      <c r="AW43" s="29">
        <v>80</v>
      </c>
      <c r="AX43" s="36"/>
      <c r="AY43" s="34"/>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6"/>
      <c r="CD43" s="34"/>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H43" s="34"/>
      <c r="DI43" s="33"/>
    </row>
    <row r="44" spans="2:293" x14ac:dyDescent="0.35">
      <c r="B44" s="45"/>
      <c r="C44" s="30"/>
      <c r="D44" s="242" t="s">
        <v>138</v>
      </c>
      <c r="E44" s="27" t="s">
        <v>21</v>
      </c>
      <c r="F44" s="30"/>
      <c r="G44" s="30"/>
      <c r="H44" s="30"/>
      <c r="I44" s="30"/>
      <c r="J44" s="30"/>
      <c r="K44" s="30"/>
      <c r="L44" s="30"/>
      <c r="M44" s="30"/>
      <c r="N44" s="7"/>
      <c r="O44" s="7"/>
      <c r="P44" s="7"/>
      <c r="S44" s="52">
        <v>80</v>
      </c>
      <c r="T44" s="57">
        <v>60</v>
      </c>
      <c r="U44" s="52">
        <v>50</v>
      </c>
      <c r="V44" s="57">
        <v>75</v>
      </c>
      <c r="W44" s="52">
        <v>83</v>
      </c>
      <c r="X44" s="57">
        <v>65</v>
      </c>
      <c r="Y44" s="52">
        <v>73</v>
      </c>
      <c r="Z44" s="57">
        <v>80</v>
      </c>
      <c r="AA44" s="52">
        <v>60</v>
      </c>
      <c r="AB44" s="57">
        <v>50</v>
      </c>
      <c r="AC44" s="52">
        <v>75</v>
      </c>
      <c r="AD44" s="57">
        <v>83</v>
      </c>
      <c r="AE44" s="52">
        <v>65</v>
      </c>
      <c r="AF44" s="57">
        <v>73</v>
      </c>
      <c r="AG44" s="52">
        <v>80</v>
      </c>
      <c r="AH44" s="57">
        <v>60</v>
      </c>
      <c r="AI44" s="52">
        <v>50</v>
      </c>
      <c r="AJ44" s="57">
        <v>75</v>
      </c>
      <c r="AK44" s="52">
        <v>83</v>
      </c>
      <c r="AL44" s="57">
        <v>65</v>
      </c>
      <c r="AM44" s="52">
        <v>73</v>
      </c>
      <c r="AN44" s="57">
        <v>80</v>
      </c>
      <c r="AO44" s="52">
        <v>60</v>
      </c>
      <c r="AP44" s="57">
        <v>50</v>
      </c>
      <c r="AQ44" s="52">
        <v>75</v>
      </c>
      <c r="AR44" s="57">
        <v>83</v>
      </c>
      <c r="AS44" s="52">
        <v>65</v>
      </c>
      <c r="AT44" s="57">
        <v>73</v>
      </c>
      <c r="AU44" s="52">
        <v>75</v>
      </c>
      <c r="AV44" s="57">
        <v>83</v>
      </c>
      <c r="AW44" s="52">
        <v>65</v>
      </c>
      <c r="AX44" s="37"/>
      <c r="AY44" s="38"/>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7"/>
      <c r="CD44" s="38"/>
      <c r="CE44" s="39"/>
      <c r="CF44" s="39"/>
      <c r="CG44" s="39"/>
      <c r="CH44" s="39"/>
      <c r="CI44" s="39"/>
      <c r="CJ44" s="39"/>
      <c r="CK44" s="39"/>
      <c r="CL44" s="39"/>
      <c r="CM44" s="39"/>
      <c r="CN44" s="39"/>
      <c r="CO44" s="39"/>
      <c r="CP44" s="39"/>
      <c r="CQ44" s="39"/>
      <c r="CR44" s="39"/>
      <c r="CS44" s="39"/>
      <c r="CT44" s="39"/>
      <c r="CU44" s="39"/>
      <c r="CV44" s="39"/>
      <c r="CW44" s="39"/>
      <c r="CX44" s="39"/>
      <c r="CY44" s="39"/>
      <c r="CZ44" s="39"/>
      <c r="DA44" s="39"/>
      <c r="DB44" s="39"/>
      <c r="DC44" s="39"/>
      <c r="DD44" s="39"/>
      <c r="DE44" s="39"/>
      <c r="DF44" s="39"/>
      <c r="DH44" s="38"/>
      <c r="DI44" s="37"/>
    </row>
    <row r="45" spans="2:293" x14ac:dyDescent="0.35">
      <c r="B45" s="45"/>
      <c r="C45" s="30"/>
      <c r="D45" s="243"/>
      <c r="E45" s="27" t="s">
        <v>22</v>
      </c>
      <c r="F45" s="30"/>
      <c r="G45" s="30"/>
      <c r="H45" s="30"/>
      <c r="I45" s="30"/>
      <c r="J45" s="30"/>
      <c r="K45" s="30"/>
      <c r="L45" s="30"/>
      <c r="M45" s="30"/>
      <c r="S45" s="50">
        <f>IFERROR(S44/S43,0)</f>
        <v>1</v>
      </c>
      <c r="T45" s="50">
        <f t="shared" ref="T45:AW45" si="259">IFERROR(T44/T43,0)</f>
        <v>0.75</v>
      </c>
      <c r="U45" s="50">
        <f t="shared" si="259"/>
        <v>0.625</v>
      </c>
      <c r="V45" s="50">
        <f t="shared" si="259"/>
        <v>0.9375</v>
      </c>
      <c r="W45" s="50">
        <f t="shared" si="259"/>
        <v>1.0375000000000001</v>
      </c>
      <c r="X45" s="50">
        <f t="shared" si="259"/>
        <v>0.8125</v>
      </c>
      <c r="Y45" s="50">
        <f t="shared" si="259"/>
        <v>0.91249999999999998</v>
      </c>
      <c r="Z45" s="50">
        <f t="shared" si="259"/>
        <v>1</v>
      </c>
      <c r="AA45" s="50">
        <f t="shared" si="259"/>
        <v>0.75</v>
      </c>
      <c r="AB45" s="50">
        <f t="shared" si="259"/>
        <v>0.625</v>
      </c>
      <c r="AC45" s="50">
        <f t="shared" si="259"/>
        <v>0.9375</v>
      </c>
      <c r="AD45" s="50">
        <f t="shared" si="259"/>
        <v>1.0375000000000001</v>
      </c>
      <c r="AE45" s="50">
        <f t="shared" si="259"/>
        <v>0.8125</v>
      </c>
      <c r="AF45" s="50">
        <f t="shared" si="259"/>
        <v>0.91249999999999998</v>
      </c>
      <c r="AG45" s="50">
        <f t="shared" si="259"/>
        <v>1</v>
      </c>
      <c r="AH45" s="50">
        <f t="shared" si="259"/>
        <v>0.75</v>
      </c>
      <c r="AI45" s="50">
        <f t="shared" si="259"/>
        <v>0.625</v>
      </c>
      <c r="AJ45" s="50">
        <f t="shared" si="259"/>
        <v>0.9375</v>
      </c>
      <c r="AK45" s="50">
        <f t="shared" si="259"/>
        <v>1.0375000000000001</v>
      </c>
      <c r="AL45" s="50">
        <f t="shared" si="259"/>
        <v>0.8125</v>
      </c>
      <c r="AM45" s="50">
        <f t="shared" si="259"/>
        <v>0.91249999999999998</v>
      </c>
      <c r="AN45" s="50">
        <f t="shared" si="259"/>
        <v>1</v>
      </c>
      <c r="AO45" s="50">
        <f t="shared" si="259"/>
        <v>0.75</v>
      </c>
      <c r="AP45" s="50">
        <f t="shared" si="259"/>
        <v>0.625</v>
      </c>
      <c r="AQ45" s="50">
        <f t="shared" si="259"/>
        <v>0.9375</v>
      </c>
      <c r="AR45" s="50">
        <f t="shared" si="259"/>
        <v>1.0375000000000001</v>
      </c>
      <c r="AS45" s="50">
        <f t="shared" si="259"/>
        <v>0.8125</v>
      </c>
      <c r="AT45" s="50">
        <f t="shared" si="259"/>
        <v>0.91249999999999998</v>
      </c>
      <c r="AU45" s="50">
        <f t="shared" si="259"/>
        <v>0.9375</v>
      </c>
      <c r="AV45" s="50">
        <f t="shared" si="259"/>
        <v>1.0375000000000001</v>
      </c>
      <c r="AW45" s="50">
        <f t="shared" si="259"/>
        <v>0.8125</v>
      </c>
    </row>
    <row r="46" spans="2:293" x14ac:dyDescent="0.35">
      <c r="B46" s="45"/>
      <c r="C46" s="30"/>
      <c r="D46" s="244"/>
      <c r="E46" s="48" t="s">
        <v>39</v>
      </c>
      <c r="F46" s="30"/>
      <c r="G46" s="30"/>
      <c r="H46" s="30"/>
      <c r="I46" s="30"/>
      <c r="J46" s="30"/>
      <c r="K46" s="30"/>
      <c r="L46" s="30"/>
      <c r="M46" s="30"/>
    </row>
    <row r="47" spans="2:293" x14ac:dyDescent="0.35">
      <c r="B47" s="45"/>
      <c r="C47" s="30"/>
      <c r="D47" s="30"/>
      <c r="E47" s="30"/>
      <c r="F47" s="30"/>
      <c r="G47" s="30"/>
      <c r="H47" s="30"/>
      <c r="I47" s="30"/>
      <c r="J47" s="30"/>
      <c r="K47" s="30"/>
      <c r="L47" s="30"/>
      <c r="M47" s="30"/>
    </row>
    <row r="48" spans="2:293" x14ac:dyDescent="0.35">
      <c r="B48" s="45"/>
      <c r="C48" s="30"/>
      <c r="D48" s="30"/>
      <c r="E48" s="30"/>
      <c r="F48" s="30"/>
      <c r="G48" s="30"/>
      <c r="H48" s="30"/>
      <c r="I48" s="30"/>
      <c r="J48" s="30"/>
      <c r="K48" s="30"/>
      <c r="L48" s="30"/>
      <c r="M48" s="30"/>
    </row>
    <row r="49" spans="2:13" x14ac:dyDescent="0.35">
      <c r="B49" s="45"/>
      <c r="C49" s="30"/>
      <c r="D49" s="30"/>
      <c r="E49" s="30"/>
      <c r="F49" s="30"/>
      <c r="G49" s="30"/>
      <c r="H49" s="30"/>
      <c r="I49" s="30"/>
      <c r="J49" s="30"/>
      <c r="K49" s="30"/>
      <c r="L49" s="30"/>
      <c r="M49" s="30"/>
    </row>
    <row r="50" spans="2:13" x14ac:dyDescent="0.35">
      <c r="B50" s="45"/>
      <c r="C50" s="30"/>
      <c r="D50" s="30"/>
      <c r="E50" s="30"/>
      <c r="F50" s="30"/>
      <c r="G50" s="30"/>
      <c r="H50" s="30"/>
      <c r="I50" s="30"/>
      <c r="J50" s="30"/>
      <c r="K50" s="30"/>
      <c r="L50" s="30"/>
      <c r="M50" s="30"/>
    </row>
    <row r="51" spans="2:13" x14ac:dyDescent="0.35">
      <c r="B51" s="45"/>
      <c r="C51" s="30"/>
      <c r="D51" s="30"/>
      <c r="E51" s="30"/>
      <c r="F51" s="30"/>
      <c r="G51" s="30"/>
      <c r="H51" s="30"/>
      <c r="I51" s="30"/>
      <c r="J51" s="30"/>
      <c r="K51" s="30"/>
      <c r="L51" s="30"/>
      <c r="M51" s="30"/>
    </row>
    <row r="52" spans="2:13" x14ac:dyDescent="0.35">
      <c r="B52" s="45"/>
      <c r="C52" s="30"/>
      <c r="D52" s="30"/>
      <c r="E52" s="30"/>
      <c r="F52" s="30"/>
      <c r="G52" s="30"/>
      <c r="H52" s="30"/>
      <c r="I52" s="30"/>
      <c r="J52" s="30"/>
      <c r="K52" s="30"/>
      <c r="L52" s="30"/>
      <c r="M52" s="30"/>
    </row>
    <row r="53" spans="2:13" x14ac:dyDescent="0.35">
      <c r="B53" s="46"/>
      <c r="C53" s="47"/>
      <c r="D53" s="47"/>
      <c r="E53" s="47"/>
      <c r="F53" s="47"/>
      <c r="G53" s="47"/>
      <c r="H53" s="47"/>
      <c r="I53" s="47"/>
      <c r="J53" s="47"/>
      <c r="K53" s="47"/>
      <c r="L53" s="47"/>
      <c r="M53" s="47"/>
    </row>
    <row r="54" spans="2:13" x14ac:dyDescent="0.35">
      <c r="B54" s="37"/>
      <c r="C54" s="42"/>
      <c r="D54" s="37"/>
      <c r="E54" s="40"/>
      <c r="F54" s="37"/>
      <c r="G54" s="37"/>
      <c r="H54" s="37"/>
      <c r="I54" s="37"/>
      <c r="J54" s="37"/>
      <c r="K54" s="37"/>
      <c r="L54" s="37"/>
      <c r="M54" s="37"/>
    </row>
    <row r="67" spans="8:9" x14ac:dyDescent="0.35">
      <c r="H67" s="1" t="s">
        <v>14</v>
      </c>
      <c r="I67" s="1" t="s">
        <v>14</v>
      </c>
    </row>
  </sheetData>
  <mergeCells count="20">
    <mergeCell ref="DG5:GS5"/>
    <mergeCell ref="GU5:KG5"/>
    <mergeCell ref="D38:D40"/>
    <mergeCell ref="S5:DE5"/>
    <mergeCell ref="D35:D37"/>
    <mergeCell ref="H6:J6"/>
    <mergeCell ref="K6:M6"/>
    <mergeCell ref="Y2:Z2"/>
    <mergeCell ref="B4:D4"/>
    <mergeCell ref="B1:P2"/>
    <mergeCell ref="D44:D46"/>
    <mergeCell ref="D41:D43"/>
    <mergeCell ref="D34:E34"/>
    <mergeCell ref="B3:D3"/>
    <mergeCell ref="U2:V2"/>
    <mergeCell ref="S1:T2"/>
    <mergeCell ref="U1:V1"/>
    <mergeCell ref="W1:X1"/>
    <mergeCell ref="W2:X2"/>
    <mergeCell ref="Y1:Z1"/>
  </mergeCells>
  <conditionalFormatting sqref="E3:E4 E54:E1048576 E6:E32">
    <cfRule type="cellIs" dxfId="56" priority="139" operator="equal">
      <formula>"Long Term / Development"</formula>
    </cfRule>
    <cfRule type="cellIs" dxfId="55" priority="140" operator="equal">
      <formula>"Quick Action"</formula>
    </cfRule>
  </conditionalFormatting>
  <conditionalFormatting sqref="E35:E46 N44:O1048576 N6:O33">
    <cfRule type="containsText" dxfId="54" priority="136" operator="containsText" text="OPEN">
      <formula>NOT(ISERROR(SEARCH("OPEN",E6)))</formula>
    </cfRule>
  </conditionalFormatting>
  <conditionalFormatting sqref="N3:O4">
    <cfRule type="containsText" dxfId="51" priority="23" operator="containsText" text="OPEN">
      <formula>NOT(ISERROR(SEARCH("OPEN",N3)))</formula>
    </cfRule>
  </conditionalFormatting>
  <conditionalFormatting sqref="S36:AW36">
    <cfRule type="cellIs" dxfId="48" priority="128" operator="lessThan">
      <formula>0.8</formula>
    </cfRule>
    <cfRule type="cellIs" dxfId="47" priority="129" operator="between">
      <formula>0.8</formula>
      <formula>0.9</formula>
    </cfRule>
    <cfRule type="cellIs" dxfId="46" priority="130" operator="between">
      <formula>0.9</formula>
      <formula>0.95</formula>
    </cfRule>
    <cfRule type="cellIs" dxfId="45" priority="131" operator="greaterThan">
      <formula>1.05</formula>
    </cfRule>
    <cfRule type="cellIs" dxfId="44" priority="132" operator="between">
      <formula>0.95</formula>
      <formula>1.05</formula>
    </cfRule>
  </conditionalFormatting>
  <conditionalFormatting sqref="S39:AW39">
    <cfRule type="cellIs" dxfId="43" priority="123" operator="lessThan">
      <formula>0.8</formula>
    </cfRule>
    <cfRule type="cellIs" dxfId="42" priority="124" operator="between">
      <formula>0.8</formula>
      <formula>0.9</formula>
    </cfRule>
    <cfRule type="cellIs" dxfId="41" priority="125" operator="between">
      <formula>0.9</formula>
      <formula>0.95</formula>
    </cfRule>
    <cfRule type="cellIs" dxfId="40" priority="126" operator="greaterThan">
      <formula>1.05</formula>
    </cfRule>
    <cfRule type="cellIs" dxfId="39" priority="127" operator="between">
      <formula>0.95</formula>
      <formula>1.05</formula>
    </cfRule>
  </conditionalFormatting>
  <conditionalFormatting sqref="S42:AW42">
    <cfRule type="cellIs" dxfId="38" priority="118" operator="lessThan">
      <formula>0.8</formula>
    </cfRule>
    <cfRule type="cellIs" dxfId="37" priority="119" operator="between">
      <formula>0.8</formula>
      <formula>0.9</formula>
    </cfRule>
    <cfRule type="cellIs" dxfId="36" priority="120" operator="between">
      <formula>0.9</formula>
      <formula>0.95</formula>
    </cfRule>
    <cfRule type="cellIs" dxfId="35" priority="121" operator="greaterThan">
      <formula>1.05</formula>
    </cfRule>
    <cfRule type="cellIs" dxfId="34" priority="122" operator="between">
      <formula>0.95</formula>
      <formula>1.05</formula>
    </cfRule>
  </conditionalFormatting>
  <conditionalFormatting sqref="S45:AW45">
    <cfRule type="cellIs" dxfId="33" priority="26" operator="lessThan">
      <formula>0.8</formula>
    </cfRule>
    <cfRule type="cellIs" dxfId="32" priority="27" operator="between">
      <formula>0.8</formula>
      <formula>0.9</formula>
    </cfRule>
    <cfRule type="cellIs" dxfId="31" priority="28" operator="between">
      <formula>0.9</formula>
      <formula>0.95</formula>
    </cfRule>
    <cfRule type="cellIs" dxfId="30" priority="29" operator="greaterThan">
      <formula>1.05</formula>
    </cfRule>
    <cfRule type="cellIs" dxfId="29" priority="30" operator="between">
      <formula>0.95</formula>
      <formula>1.05</formula>
    </cfRule>
  </conditionalFormatting>
  <conditionalFormatting sqref="S8:DE31">
    <cfRule type="expression" dxfId="28" priority="78">
      <formula>AND(S8&gt;0,S8&lt;1)</formula>
    </cfRule>
    <cfRule type="expression" dxfId="27" priority="79">
      <formula>S8=1</formula>
    </cfRule>
    <cfRule type="expression" dxfId="26" priority="80">
      <formula>MOD(COLUMN(),2)=0</formula>
    </cfRule>
  </conditionalFormatting>
  <conditionalFormatting sqref="S33:DE33">
    <cfRule type="cellIs" dxfId="25" priority="113" operator="lessThan">
      <formula>0.8</formula>
    </cfRule>
    <cfRule type="cellIs" dxfId="24" priority="114" operator="between">
      <formula>0.8</formula>
      <formula>0.9</formula>
    </cfRule>
    <cfRule type="cellIs" dxfId="23" priority="115" operator="between">
      <formula>0.9</formula>
      <formula>0.95</formula>
    </cfRule>
    <cfRule type="cellIs" dxfId="22" priority="116" operator="greaterThan">
      <formula>1.05</formula>
    </cfRule>
    <cfRule type="cellIs" dxfId="21" priority="117" operator="between">
      <formula>0.95</formula>
      <formula>1.05</formula>
    </cfRule>
  </conditionalFormatting>
  <conditionalFormatting sqref="DG8:GS31">
    <cfRule type="expression" dxfId="20" priority="45" stopIfTrue="1">
      <formula>AND(DG8&lt;&gt;"", OFFSET(DG8,0,-92)&lt;&gt;"", DG8&lt;OFFSET(DG8,0,-92))</formula>
    </cfRule>
    <cfRule type="expression" dxfId="19" priority="46">
      <formula>AND(DG8&gt;0, DG8&lt;100%, OFFSET(DG8,0,-92)&gt;0)</formula>
    </cfRule>
    <cfRule type="expression" dxfId="18" priority="47">
      <formula>AND(DG8=100%, OFFSET(DG8,0,-92)&gt;0)</formula>
    </cfRule>
    <cfRule type="expression" dxfId="17" priority="48">
      <formula>AND(DG8&gt;0, OFFSET(DG8,0,-92)=0, SUMPRODUCT(($S8:$AW8&gt;0)*(COLUMN($S8:$AW8)&lt;COLUMN(DG8)-92))=0)</formula>
    </cfRule>
    <cfRule type="expression" dxfId="16" priority="49">
      <formula>AND(DG8&gt;0, OFFSET(DG8,0,-92)=0, COUNTIF($S8:DG8, "&gt;0")&gt;0)</formula>
    </cfRule>
    <cfRule type="expression" dxfId="15" priority="50">
      <formula>MOD(COLUMN(),2)=0</formula>
    </cfRule>
  </conditionalFormatting>
  <conditionalFormatting sqref="DG33:GS33">
    <cfRule type="cellIs" dxfId="14" priority="6" operator="lessThan">
      <formula>0.8</formula>
    </cfRule>
    <cfRule type="cellIs" dxfId="13" priority="7" operator="between">
      <formula>0.8</formula>
      <formula>0.9</formula>
    </cfRule>
    <cfRule type="cellIs" dxfId="12" priority="8" operator="between">
      <formula>0.9</formula>
      <formula>0.95</formula>
    </cfRule>
    <cfRule type="cellIs" dxfId="11" priority="9" operator="greaterThan">
      <formula>1.05</formula>
    </cfRule>
    <cfRule type="cellIs" dxfId="10" priority="10" operator="between">
      <formula>0.95</formula>
      <formula>1.05</formula>
    </cfRule>
  </conditionalFormatting>
  <conditionalFormatting sqref="GU8:KG31">
    <cfRule type="cellIs" priority="11" stopIfTrue="1" operator="equal">
      <formula>""</formula>
    </cfRule>
    <cfRule type="cellIs" dxfId="9" priority="12" operator="lessThan">
      <formula>0.8</formula>
    </cfRule>
    <cfRule type="cellIs" dxfId="8" priority="13" operator="between">
      <formula>0.8</formula>
      <formula>0.9</formula>
    </cfRule>
    <cfRule type="cellIs" dxfId="7" priority="14" operator="between">
      <formula>0.9</formula>
      <formula>0.95</formula>
    </cfRule>
    <cfRule type="cellIs" dxfId="6" priority="15" operator="greaterThan">
      <formula>1.05</formula>
    </cfRule>
    <cfRule type="cellIs" dxfId="5" priority="16" operator="between">
      <formula>0.95</formula>
      <formula>1.05</formula>
    </cfRule>
  </conditionalFormatting>
  <conditionalFormatting sqref="GU33:KG33">
    <cfRule type="cellIs" dxfId="4" priority="1" operator="lessThan">
      <formula>0.8</formula>
    </cfRule>
    <cfRule type="cellIs" dxfId="3" priority="2" operator="between">
      <formula>0.8</formula>
      <formula>0.9</formula>
    </cfRule>
    <cfRule type="cellIs" dxfId="2" priority="3" operator="between">
      <formula>0.9</formula>
      <formula>0.95</formula>
    </cfRule>
    <cfRule type="cellIs" dxfId="1" priority="4" operator="greaterThan">
      <formula>1.05</formula>
    </cfRule>
    <cfRule type="cellIs" dxfId="0" priority="5" operator="between">
      <formula>0.95</formula>
      <formula>1.05</formula>
    </cfRule>
  </conditionalFormatting>
  <conditionalFormatting sqref="P8:P32">
    <cfRule type="dataBar" priority="209">
      <dataBar>
        <cfvo type="min"/>
        <cfvo type="max"/>
        <color theme="5" tint="-0.499984740745262"/>
      </dataBar>
      <extLst>
        <ext xmlns:x14="http://schemas.microsoft.com/office/spreadsheetml/2009/9/main" uri="{B025F937-C7B1-47D3-B67F-A62EFF666E3E}">
          <x14:id>{F00E1CEB-05FB-4EFA-98D3-F1E0577B9300}</x14:id>
        </ext>
      </extLst>
    </cfRule>
    <cfRule type="dataBar" priority="210">
      <dataBar>
        <cfvo type="min"/>
        <cfvo type="max"/>
        <color theme="5" tint="-0.499984740745262"/>
      </dataBar>
      <extLst>
        <ext xmlns:x14="http://schemas.microsoft.com/office/spreadsheetml/2009/9/main" uri="{B025F937-C7B1-47D3-B67F-A62EFF666E3E}">
          <x14:id>{A885CBB9-14B2-4D45-9F88-C988BED7B0ED}</x14:id>
        </ext>
      </extLst>
    </cfRule>
  </conditionalFormatting>
  <pageMargins left="0.75" right="0.75" top="1" bottom="1" header="0.5" footer="0.5"/>
  <pageSetup paperSize="9" orientation="portrait" horizontalDpi="300" verticalDpi="300"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37" operator="containsText" id="{346EED60-7078-404B-8315-E5AE9EEDA326}">
            <xm:f>NOT(ISERROR(SEARCH("ON PROGRESS",E6)))</xm:f>
            <xm:f>"ON PROGRESS"</xm:f>
            <x14:dxf>
              <font>
                <b/>
                <i val="0"/>
                <color theme="1"/>
              </font>
              <fill>
                <patternFill>
                  <bgColor rgb="FFFFC000"/>
                </patternFill>
              </fill>
            </x14:dxf>
          </x14:cfRule>
          <x14:cfRule type="containsText" priority="138" operator="containsText" id="{83A34DE9-7488-4C75-9534-745251B85D58}">
            <xm:f>NOT(ISERROR(SEARCH("CLOSE",E6)))</xm:f>
            <xm:f>"CLOSE"</xm:f>
            <x14:dxf>
              <font>
                <b/>
                <i val="0"/>
                <color theme="0"/>
              </font>
              <fill>
                <patternFill>
                  <bgColor rgb="FF00B050"/>
                </patternFill>
              </fill>
            </x14:dxf>
          </x14:cfRule>
          <xm:sqref>E35:E46 N44:O1048576 N6:O33</xm:sqref>
        </x14:conditionalFormatting>
        <x14:conditionalFormatting xmlns:xm="http://schemas.microsoft.com/office/excel/2006/main">
          <x14:cfRule type="containsText" priority="24" operator="containsText" id="{C70813A9-CA83-4C53-BE94-FBD176CBF12E}">
            <xm:f>NOT(ISERROR(SEARCH("ON PROGRESS",N3)))</xm:f>
            <xm:f>"ON PROGRESS"</xm:f>
            <x14:dxf>
              <font>
                <b/>
                <i val="0"/>
                <color theme="1"/>
              </font>
              <fill>
                <patternFill>
                  <bgColor rgb="FFFFC000"/>
                </patternFill>
              </fill>
            </x14:dxf>
          </x14:cfRule>
          <x14:cfRule type="containsText" priority="25" operator="containsText" id="{8B7A9816-B502-4652-99B7-81640BC941CA}">
            <xm:f>NOT(ISERROR(SEARCH("CLOSE",N3)))</xm:f>
            <xm:f>"CLOSE"</xm:f>
            <x14:dxf>
              <font>
                <b/>
                <i val="0"/>
                <color theme="0"/>
              </font>
              <fill>
                <patternFill>
                  <bgColor rgb="FF00B050"/>
                </patternFill>
              </fill>
            </x14:dxf>
          </x14:cfRule>
          <xm:sqref>N3:O4</xm:sqref>
        </x14:conditionalFormatting>
        <x14:conditionalFormatting xmlns:xm="http://schemas.microsoft.com/office/excel/2006/main">
          <x14:cfRule type="dataBar" id="{F00E1CEB-05FB-4EFA-98D3-F1E0577B9300}">
            <x14:dataBar minLength="0" maxLength="100" gradient="0">
              <x14:cfvo type="autoMin"/>
              <x14:cfvo type="autoMax"/>
              <x14:negativeFillColor rgb="FFFF0000"/>
              <x14:axisColor rgb="FF000000"/>
            </x14:dataBar>
          </x14:cfRule>
          <x14:cfRule type="dataBar" id="{A885CBB9-14B2-4D45-9F88-C988BED7B0ED}">
            <x14:dataBar minLength="0" maxLength="100" direction="rightToLeft">
              <x14:cfvo type="autoMin"/>
              <x14:cfvo type="autoMax"/>
              <x14:negativeFillColor rgb="FFFF0000"/>
              <x14:axisColor rgb="FF000000"/>
            </x14:dataBar>
          </x14:cfRule>
          <xm:sqref>P8:P32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1D1BE826-C9AC-4AD5-BF3F-F72679032C36}">
          <x14:formula1>
            <xm:f>DATA!$CS$4:$CS$15</xm:f>
          </x14:formula1>
          <xm:sqref>U2:V2</xm:sqref>
        </x14:dataValidation>
        <x14:dataValidation type="list" allowBlank="1" showInputMessage="1" showErrorMessage="1" xr:uid="{D03C4AC7-CFE4-4FFE-9333-532E7260D615}">
          <x14:formula1>
            <xm:f>DATA!$CS$18:$CS$22</xm:f>
          </x14:formula1>
          <xm:sqref>C8:C32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DA8A-9B07-4FFA-A429-8F1B298D1D36}">
  <sheetPr codeName="Sheet5"/>
  <dimension ref="B1:DF787"/>
  <sheetViews>
    <sheetView zoomScale="55" zoomScaleNormal="55" workbookViewId="0">
      <selection activeCell="CS9" sqref="CS9"/>
    </sheetView>
  </sheetViews>
  <sheetFormatPr defaultRowHeight="14.5" x14ac:dyDescent="0.35"/>
  <cols>
    <col min="2" max="2" width="16.36328125" customWidth="1"/>
    <col min="3" max="3" width="11.81640625" customWidth="1"/>
    <col min="7" max="7" width="19.1796875" customWidth="1"/>
    <col min="10" max="11" width="8.7265625" style="68"/>
    <col min="12" max="12" width="19.1796875" customWidth="1"/>
    <col min="15" max="15" width="8.7265625" style="71"/>
    <col min="17" max="17" width="20.453125" customWidth="1"/>
    <col min="22" max="22" width="19.90625" customWidth="1"/>
    <col min="23" max="23" width="12.36328125" customWidth="1"/>
    <col min="24" max="24" width="10.54296875" style="70" customWidth="1"/>
    <col min="27" max="27" width="20.1796875" customWidth="1"/>
    <col min="28" max="28" width="11.90625" customWidth="1"/>
    <col min="33" max="33" width="12.7265625" customWidth="1"/>
    <col min="34" max="34" width="23.7265625" customWidth="1"/>
    <col min="35" max="35" width="12.453125" customWidth="1"/>
    <col min="36" max="36" width="11.90625" style="72" customWidth="1"/>
    <col min="37" max="37" width="13.54296875" style="72" customWidth="1"/>
    <col min="38" max="38" width="16.26953125" style="70" customWidth="1"/>
    <col min="39" max="39" width="13.54296875" style="72" customWidth="1"/>
    <col min="40" max="40" width="15.453125" style="72" customWidth="1"/>
    <col min="41" max="41" width="18.26953125" customWidth="1"/>
    <col min="42" max="42" width="16.6328125" customWidth="1"/>
    <col min="43" max="43" width="11.453125" customWidth="1"/>
    <col min="44" max="44" width="9" customWidth="1"/>
    <col min="45" max="45" width="17.6328125" style="70" customWidth="1"/>
    <col min="47" max="47" width="11.7265625" customWidth="1"/>
    <col min="48" max="48" width="12.36328125" style="70" customWidth="1"/>
    <col min="49" max="49" width="23.08984375" customWidth="1"/>
    <col min="84" max="84" width="7.81640625" bestFit="1" customWidth="1"/>
    <col min="85" max="85" width="14.26953125" bestFit="1" customWidth="1"/>
    <col min="86" max="86" width="24.6328125" bestFit="1" customWidth="1"/>
    <col min="87" max="87" width="12.453125" bestFit="1" customWidth="1"/>
    <col min="88" max="88" width="9.81640625" style="68" bestFit="1" customWidth="1"/>
    <col min="91" max="91" width="36.1796875" customWidth="1"/>
    <col min="92" max="92" width="11.90625" customWidth="1"/>
    <col min="96" max="96" width="9.90625" customWidth="1"/>
    <col min="97" max="97" width="17.26953125" customWidth="1"/>
    <col min="101" max="101" width="15" customWidth="1"/>
    <col min="105" max="105" width="13.08984375" customWidth="1"/>
    <col min="106" max="106" width="15.1796875" customWidth="1"/>
    <col min="107" max="107" width="19.1796875" style="143" customWidth="1"/>
    <col min="108" max="108" width="11.90625" customWidth="1"/>
  </cols>
  <sheetData>
    <row r="1" spans="2:110" x14ac:dyDescent="0.35">
      <c r="DC1"/>
    </row>
    <row r="2" spans="2:110" x14ac:dyDescent="0.35">
      <c r="B2" s="266" t="s">
        <v>86</v>
      </c>
      <c r="C2" s="267"/>
      <c r="D2" s="267"/>
      <c r="E2" s="268"/>
      <c r="G2" s="266" t="s">
        <v>46</v>
      </c>
      <c r="H2" s="267"/>
      <c r="I2" s="267"/>
      <c r="J2" s="268"/>
      <c r="L2" s="266" t="s">
        <v>47</v>
      </c>
      <c r="M2" s="267"/>
      <c r="N2" s="267"/>
      <c r="O2" s="268"/>
      <c r="Q2" s="266" t="s">
        <v>139</v>
      </c>
      <c r="R2" s="267"/>
      <c r="S2" s="267"/>
      <c r="T2" s="268"/>
      <c r="V2" s="266" t="s">
        <v>48</v>
      </c>
      <c r="W2" s="267"/>
      <c r="X2" s="267"/>
      <c r="Y2" s="268"/>
      <c r="AF2" s="190" t="s">
        <v>49</v>
      </c>
      <c r="AG2" s="190"/>
      <c r="AH2" s="190"/>
      <c r="AI2" s="190"/>
      <c r="AJ2" s="190"/>
      <c r="AK2" s="190"/>
      <c r="AL2" s="190"/>
      <c r="AM2" s="190"/>
      <c r="AN2" s="190"/>
      <c r="AO2" s="190"/>
      <c r="AP2" s="190"/>
      <c r="AQ2" s="190"/>
      <c r="AR2" s="190"/>
      <c r="AU2" s="265" t="s">
        <v>84</v>
      </c>
      <c r="AV2" s="265"/>
      <c r="AW2" s="265"/>
      <c r="AX2" s="265"/>
      <c r="AY2" s="265"/>
      <c r="AZ2" s="265"/>
      <c r="BA2" s="265"/>
      <c r="BB2" s="265"/>
      <c r="BC2" s="265"/>
      <c r="BD2" s="265"/>
      <c r="BE2" s="265"/>
      <c r="BF2" s="265"/>
      <c r="BG2" s="265"/>
      <c r="BH2" s="265"/>
      <c r="BI2" s="265"/>
      <c r="BJ2" s="265"/>
      <c r="BK2" s="265"/>
      <c r="BL2" s="265"/>
      <c r="BM2" s="265"/>
      <c r="BN2" s="265"/>
      <c r="BO2" s="265"/>
      <c r="BP2" s="265"/>
      <c r="BQ2" s="265"/>
      <c r="BR2" s="265"/>
      <c r="BS2" s="265"/>
      <c r="BT2" s="265"/>
      <c r="BU2" s="265"/>
      <c r="BV2" s="265"/>
      <c r="BW2" s="265"/>
      <c r="BX2" s="265"/>
      <c r="BY2" s="265"/>
      <c r="BZ2" s="265"/>
      <c r="CF2" s="260" t="s">
        <v>85</v>
      </c>
      <c r="CG2" s="260"/>
      <c r="CH2" s="260"/>
      <c r="CI2" s="260"/>
      <c r="CJ2" s="260"/>
      <c r="CZ2" s="260" t="s">
        <v>157</v>
      </c>
      <c r="DA2" s="260"/>
      <c r="DB2" s="260"/>
      <c r="DC2" s="260"/>
      <c r="DD2" s="260"/>
      <c r="DE2" s="260"/>
      <c r="DF2" s="260"/>
    </row>
    <row r="3" spans="2:110" ht="16" thickBot="1" x14ac:dyDescent="0.4">
      <c r="B3" t="s">
        <v>43</v>
      </c>
      <c r="C3" t="s">
        <v>29</v>
      </c>
      <c r="D3" t="s">
        <v>44</v>
      </c>
      <c r="E3" t="s">
        <v>45</v>
      </c>
      <c r="G3" t="s">
        <v>43</v>
      </c>
      <c r="H3" t="s">
        <v>29</v>
      </c>
      <c r="I3" t="s">
        <v>44</v>
      </c>
      <c r="J3" s="68" t="s">
        <v>45</v>
      </c>
      <c r="L3" t="s">
        <v>43</v>
      </c>
      <c r="M3" t="s">
        <v>29</v>
      </c>
      <c r="N3" t="s">
        <v>44</v>
      </c>
      <c r="O3" s="71" t="s">
        <v>45</v>
      </c>
      <c r="Q3" t="s">
        <v>43</v>
      </c>
      <c r="R3" t="s">
        <v>29</v>
      </c>
      <c r="S3" t="s">
        <v>44</v>
      </c>
      <c r="T3" s="71" t="s">
        <v>45</v>
      </c>
      <c r="U3" s="70"/>
      <c r="V3" t="s">
        <v>43</v>
      </c>
      <c r="W3" t="s">
        <v>29</v>
      </c>
      <c r="X3" s="70" t="s">
        <v>44</v>
      </c>
      <c r="Y3" t="s">
        <v>45</v>
      </c>
      <c r="AA3" s="149" t="s">
        <v>43</v>
      </c>
      <c r="AB3" s="149" t="s">
        <v>29</v>
      </c>
      <c r="AC3" s="150" t="s">
        <v>44</v>
      </c>
      <c r="AD3" s="149" t="s">
        <v>45</v>
      </c>
      <c r="AF3" s="74" t="s">
        <v>28</v>
      </c>
      <c r="AG3" s="74" t="s">
        <v>31</v>
      </c>
      <c r="AH3" s="74" t="s">
        <v>29</v>
      </c>
      <c r="AI3" s="74" t="s">
        <v>1</v>
      </c>
      <c r="AJ3" s="75" t="s">
        <v>23</v>
      </c>
      <c r="AK3" s="75" t="s">
        <v>26</v>
      </c>
      <c r="AL3" s="74" t="s">
        <v>36</v>
      </c>
      <c r="AM3" s="75" t="s">
        <v>24</v>
      </c>
      <c r="AN3" s="75" t="s">
        <v>25</v>
      </c>
      <c r="AO3" s="74" t="s">
        <v>37</v>
      </c>
      <c r="AP3" s="74" t="s">
        <v>27</v>
      </c>
      <c r="AQ3" s="74" t="s">
        <v>93</v>
      </c>
      <c r="AR3" s="74" t="s">
        <v>41</v>
      </c>
      <c r="AS3" s="70" t="s">
        <v>142</v>
      </c>
      <c r="AU3" s="78" t="s">
        <v>48</v>
      </c>
      <c r="AV3" s="79">
        <f>'Activity Plan'!S7</f>
        <v>46174</v>
      </c>
      <c r="AW3" s="79">
        <f>'Activity Plan'!T7</f>
        <v>46175</v>
      </c>
      <c r="AX3" s="79">
        <f>'Activity Plan'!U7</f>
        <v>46176</v>
      </c>
      <c r="AY3" s="79">
        <f>'Activity Plan'!V7</f>
        <v>46177</v>
      </c>
      <c r="AZ3" s="79">
        <f>'Activity Plan'!W7</f>
        <v>46178</v>
      </c>
      <c r="BA3" s="79">
        <f>'Activity Plan'!X7</f>
        <v>46179</v>
      </c>
      <c r="BB3" s="79">
        <f>'Activity Plan'!Y7</f>
        <v>46180</v>
      </c>
      <c r="BC3" s="79">
        <f>'Activity Plan'!Z7</f>
        <v>46181</v>
      </c>
      <c r="BD3" s="79">
        <f>'Activity Plan'!AA7</f>
        <v>46182</v>
      </c>
      <c r="BE3" s="79">
        <f>'Activity Plan'!AB7</f>
        <v>46183</v>
      </c>
      <c r="BF3" s="79">
        <f>'Activity Plan'!AC7</f>
        <v>46184</v>
      </c>
      <c r="BG3" s="79">
        <f>'Activity Plan'!AD7</f>
        <v>46185</v>
      </c>
      <c r="BH3" s="79">
        <f>'Activity Plan'!AE7</f>
        <v>46186</v>
      </c>
      <c r="BI3" s="79">
        <f>'Activity Plan'!AF7</f>
        <v>46187</v>
      </c>
      <c r="BJ3" s="79">
        <f>'Activity Plan'!AG7</f>
        <v>46188</v>
      </c>
      <c r="BK3" s="79">
        <f>'Activity Plan'!AH7</f>
        <v>46189</v>
      </c>
      <c r="BL3" s="79">
        <f>'Activity Plan'!AI7</f>
        <v>46190</v>
      </c>
      <c r="BM3" s="79">
        <f>'Activity Plan'!AJ7</f>
        <v>46191</v>
      </c>
      <c r="BN3" s="79">
        <f>'Activity Plan'!AK7</f>
        <v>46192</v>
      </c>
      <c r="BO3" s="79">
        <f>'Activity Plan'!AL7</f>
        <v>46193</v>
      </c>
      <c r="BP3" s="79">
        <f>'Activity Plan'!AM7</f>
        <v>46194</v>
      </c>
      <c r="BQ3" s="79">
        <f>'Activity Plan'!AN7</f>
        <v>46195</v>
      </c>
      <c r="BR3" s="79">
        <f>'Activity Plan'!AO7</f>
        <v>46196</v>
      </c>
      <c r="BS3" s="79">
        <f>'Activity Plan'!AP7</f>
        <v>46197</v>
      </c>
      <c r="BT3" s="79">
        <f>'Activity Plan'!AQ7</f>
        <v>46198</v>
      </c>
      <c r="BU3" s="79">
        <f>'Activity Plan'!AR7</f>
        <v>46199</v>
      </c>
      <c r="BV3" s="79">
        <f>'Activity Plan'!AS7</f>
        <v>46200</v>
      </c>
      <c r="BW3" s="79">
        <f>'Activity Plan'!AT7</f>
        <v>46201</v>
      </c>
      <c r="BX3" s="79">
        <f>'Activity Plan'!AU7</f>
        <v>46202</v>
      </c>
      <c r="BY3" s="79">
        <f>'Activity Plan'!AV7</f>
        <v>46203</v>
      </c>
      <c r="BZ3" s="79">
        <f>'Activity Plan'!AW7</f>
        <v>46204</v>
      </c>
      <c r="CA3" s="76"/>
      <c r="CB3" s="76"/>
      <c r="CC3" s="76"/>
      <c r="CD3" s="76"/>
      <c r="CE3" s="76"/>
      <c r="CF3" t="s">
        <v>28</v>
      </c>
      <c r="CG3" t="s">
        <v>31</v>
      </c>
      <c r="CH3" t="s">
        <v>29</v>
      </c>
      <c r="CI3" t="s">
        <v>81</v>
      </c>
      <c r="CJ3" s="68" t="s">
        <v>82</v>
      </c>
      <c r="CL3" s="196" t="s">
        <v>152</v>
      </c>
      <c r="CM3" s="196" t="s">
        <v>43</v>
      </c>
      <c r="CN3" s="196" t="s">
        <v>29</v>
      </c>
      <c r="CO3" s="196" t="s">
        <v>44</v>
      </c>
      <c r="CP3" s="197" t="s">
        <v>45</v>
      </c>
      <c r="CR3" s="261" t="s">
        <v>122</v>
      </c>
      <c r="CS3" s="261"/>
      <c r="CU3" t="s">
        <v>147</v>
      </c>
      <c r="CV3" t="s">
        <v>146</v>
      </c>
      <c r="CW3" t="s">
        <v>145</v>
      </c>
      <c r="CZ3" t="s">
        <v>44</v>
      </c>
      <c r="DA3" t="s">
        <v>153</v>
      </c>
      <c r="DB3" t="s">
        <v>154</v>
      </c>
      <c r="DC3" t="s">
        <v>155</v>
      </c>
      <c r="DD3" t="s">
        <v>156</v>
      </c>
      <c r="DE3" t="s">
        <v>20</v>
      </c>
      <c r="DF3" t="s">
        <v>138</v>
      </c>
    </row>
    <row r="4" spans="2:110" x14ac:dyDescent="0.35">
      <c r="B4" t="s">
        <v>19</v>
      </c>
      <c r="C4" t="s">
        <v>21</v>
      </c>
      <c r="D4">
        <v>1</v>
      </c>
      <c r="E4" cm="1">
        <f t="array" ref="E4">IF(INDEX('Activity Plan'!$S$34:$AW$99,
MATCH("*"&amp;TRIM($B4)&amp;"*",'Activity Plan'!$D$35:$D$100,0)+MATCH($C4,{"PLAN";"ACTUAL";"ACHIVE"},0)-1,
MATCH($D4,DAY('Activity Plan'!$S$7:$AW$7),0))=0,
"N/A",
INDEX('Activity Plan'!$S$34:$AW$99,
MATCH("*"&amp;TRIM($B4)&amp;"*",'Activity Plan'!$D$35:$D$100,0)+MATCH($C4,{"PLAN";"ACTUAL";"ACHIVE"},0)-1,
MATCH($D4,DAY('Activity Plan'!$S$7:$AW$7),0)))</f>
        <v>16</v>
      </c>
      <c r="G4" t="s">
        <v>18</v>
      </c>
      <c r="H4" t="s">
        <v>21</v>
      </c>
      <c r="I4">
        <v>1</v>
      </c>
      <c r="J4" s="68" cm="1">
        <f t="array" ref="J4">IF(INDEX('Activity Plan'!$S$34:$AW$99,
MATCH("*"&amp;TRIM($G4)&amp;"*",'Activity Plan'!$D$35:$D$100,0)+MATCH($H4,{"PLAN";"ACTUAL";"ACHIVE"},0)-1,
MATCH($I4,DAY('Activity Plan'!$S$7:$AW$7),0))=0,
"N/A",
INDEX('Activity Plan'!$S$34:$AW$99,
MATCH("*"&amp;TRIM($G4)&amp;"*",'Activity Plan'!$D$35:$D$100,0)+MATCH($H4,{"PLAN";"ACTUAL";"ACHIVE"},0)-1,
MATCH($I4,DAY('Activity Plan'!$S$7:$AW$7),0)))</f>
        <v>0.9</v>
      </c>
      <c r="L4" t="s">
        <v>20</v>
      </c>
      <c r="M4" t="s">
        <v>21</v>
      </c>
      <c r="N4">
        <v>1</v>
      </c>
      <c r="O4" s="71" cm="1">
        <f t="array" ref="O4">IF(INDEX('Activity Plan'!$S$34:$AW$99,
MATCH("*"&amp;TRIM($L4)&amp;"*",'Activity Plan'!$D$35:$D$100,0)+MATCH($M4,{"PLAN";"ACTUAL";"ACHIVE"},0)-1,
MATCH($N4,DAY('Activity Plan'!$S$7:$AW$7),0))=0,
"N/A",
INDEX('Activity Plan'!$S$34:$AW$99,
MATCH("*"&amp;TRIM($L4)&amp;"*",'Activity Plan'!$D$35:$D$100,0)+MATCH($M4,{"PLAN";"ACTUAL";"ACHIVE"},0)-1,
MATCH($N4,DAY('Activity Plan'!$S$7:$AW$7),0)))</f>
        <v>70</v>
      </c>
      <c r="Q4" t="s">
        <v>138</v>
      </c>
      <c r="R4" t="s">
        <v>21</v>
      </c>
      <c r="S4">
        <v>1</v>
      </c>
      <c r="T4" s="71" cm="1">
        <f t="array" ref="T4">IF(INDEX('Activity Plan'!$S$34:$AW$99,
MATCH("*"&amp;TRIM($Q4)&amp;"*",'Activity Plan'!$D$35:$D$100,0)+MATCH($R4,{"PLAN";"ACTUAL";"ACHIVE"},0)-1,
MATCH($S4,DAY('Activity Plan'!$S$7:$AW$7),0))=0,
"N/A",
INDEX('Activity Plan'!$S$34:$AW$99,
MATCH("*"&amp;TRIM($Q4)&amp;"*",'Activity Plan'!$D$35:$D$100,0)+MATCH($R4,{"PLAN";"ACTUAL";"ACHIVE"},0)-1,
MATCH($S4,DAY('Activity Plan'!$S$7:$AW$7),0)))</f>
        <v>80</v>
      </c>
      <c r="U4" s="71"/>
      <c r="V4" t="s">
        <v>19</v>
      </c>
      <c r="W4" t="s">
        <v>39</v>
      </c>
      <c r="X4" s="70">
        <v>1</v>
      </c>
      <c r="Y4" s="69" cm="1">
        <f t="array" ref="Y4">IF(INDEX('Activity Plan'!$S$34:$AW$99,
MATCH("*"&amp;TRIM($V4)&amp;"*",'Activity Plan'!$D$35:$D$100,0)+MATCH($W4,{"PLAN";"ACTUAL";"ACHIVE"},0)-1,
MATCH($X4,DAY('Activity Plan'!$S$7:$AW$7),0))=0,
"N/A",
INDEX('Activity Plan'!$S$34:$AW$99,
MATCH("*"&amp;TRIM($V4)&amp;"*",'Activity Plan'!$D$35:$D$100,0)+MATCH($W4,{"PLAN";"ACTUAL";"ACHIVE"},0)-1,
MATCH($X4,DAY('Activity Plan'!$S$7:$AW$7),0)))</f>
        <v>0.9375</v>
      </c>
      <c r="AA4" t="s">
        <v>40</v>
      </c>
      <c r="AB4" t="s">
        <v>21</v>
      </c>
      <c r="AC4" s="70">
        <v>1</v>
      </c>
      <c r="AD4" s="145">
        <f>'Activity Plan'!S33</f>
        <v>5.0000000000000017E-2</v>
      </c>
      <c r="AE4" s="69"/>
      <c r="AF4" s="70">
        <f>IF(ROWS($Z$15:Z15)&gt;COUNTA(Tbl_SM[NO]),"N/A",ROWS($Z$15:Z15))</f>
        <v>1</v>
      </c>
      <c r="AG4" t="str">
        <f>IF(OR(Tbl_Summary[[#This Row],[NO]]="",Tbl_Summary[[#This Row],[NO]]="N/A"),"",_xlfn.XLOOKUP(Tbl_Summary[[#This Row],[NO]],Tbl_SM[NO],Tbl_SM[5 FACTOR]))</f>
        <v>MAN</v>
      </c>
      <c r="AH4" t="str">
        <f>IF(OR(Tbl_Summary[[#This Row],[NO]]="",Tbl_Summary[[#This Row],[NO]]="N/A"),"",_xlfn.XLOOKUP(Tbl_Summary[[#This Row],[NO]],Tbl_SM[NO],Tbl_SM[CATEGORY]))</f>
        <v>Quick Action</v>
      </c>
      <c r="AI4" t="str">
        <f>IF(OR(Tbl_Summary[[#This Row],[NO]]="",Tbl_Summary[[#This Row],[NO]]="N/A"),"",_xlfn.XLOOKUP(Tbl_Summary[[#This Row],[NO]],Tbl_SM[NO],Tbl_SM[PIC]))</f>
        <v>GS-PLANT-SHE</v>
      </c>
      <c r="AJ4" s="72">
        <f>IF(OR(Tbl_Summary[[#This Row],[NO]]="",Tbl_Summary[[#This Row],[NO]]="N/A"),"",_xlfn.XLOOKUP(Tbl_Summary[[#This Row],[NO]],Tbl_SM[NO],Tbl_SM[PLAN START]))</f>
        <v>46181</v>
      </c>
      <c r="AK4" s="72">
        <f>IF(OR(Tbl_Summary[[#This Row],[NO]]="",Tbl_Summary[[#This Row],[NO]]="N/A"),"",_xlfn.XLOOKUP(Tbl_Summary[[#This Row],[NO]],Tbl_SM[NO],Tbl_SM[DUE DATA]))</f>
        <v>46192</v>
      </c>
      <c r="AL4" s="70">
        <f>IF(OR(Tbl_Summary[[#This Row],[NO]]="",Tbl_Summary[[#This Row],[NO]]="N/A"),"",_xlfn.XLOOKUP(Tbl_Summary[[#This Row],[NO]],Tbl_SM[NO],Tbl_SM[PLAN DURATION]))</f>
        <v>12</v>
      </c>
      <c r="AM4" s="72">
        <f>IFERROR(IF(OR(Tbl_Summary[[#This Row],[NO]]="",Tbl_Summary[[#This Row],[NO]]="N/A"),"",_xlfn.XLOOKUP(Tbl_Summary[[#This Row],[NO]],Tbl_SM[NO],Tbl_SM[ACTUAL START])),"")</f>
        <v>0</v>
      </c>
      <c r="AN4" s="72" t="str">
        <f>IFERROR(IF(OR(Tbl_Summary[[#This Row],[NO]]="",Tbl_Summary[[#This Row],[NO]]="N/A"),"N/A",
IF(_xlfn.XLOOKUP(Tbl_Summary[[#This Row],[NO]],Tbl_SM[NO],Tbl_SM[ACTUAL FINISH])=0,"N/A",
_xlfn.XLOOKUP(Tbl_Summary[[#This Row],[NO]],Tbl_SM[NO],Tbl_SM[ACTUAL FINISH]))),"N/A")</f>
        <v>N/A</v>
      </c>
      <c r="AO4" s="73" t="str">
        <f>IFERROR(IF(OR(Tbl_Summary[[#This Row],[NO]]="",Tbl_Summary[[#This Row],[NO]]="N/A"),"",_xlfn.XLOOKUP(Tbl_Summary[[#This Row],[NO]],Tbl_SM[NO],Tbl_SM[ACTUAL DURATION])),"")</f>
        <v>No Progress</v>
      </c>
      <c r="AP4" s="72" t="str">
        <f>IFERROR(IF(OR(Tbl_Summary[[#This Row],[NO]]="",Tbl_Summary[[#This Row],[NO]]="N/A"),"",_xlfn.XLOOKUP(Tbl_Summary[[#This Row],[NO]],Tbl_SM[NO],Tbl_SM[STATUS])),"")</f>
        <v>OPEN</v>
      </c>
      <c r="AQ4" s="72" t="str">
        <f ca="1">IFERROR(IF(OR(Tbl_Summary[[#This Row],[NO]]="",Tbl_Summary[[#This Row],[NO]]="N/A"),"",_xlfn.XLOOKUP(Tbl_Summary[[#This Row],[NO]],Tbl_SM[NO],Tbl_SM[DUE STATUS])),"")</f>
        <v>&lt; 14 HARI</v>
      </c>
      <c r="AR4" s="80">
        <f>IFERROR(IF(OR(Tbl_Summary[[#This Row],[NO]]="",Tbl_Summary[[#This Row],[NO]]="N/A"),"",_xlfn.XLOOKUP(Tbl_Summary[[#This Row],[NO]],Tbl_SM[NO],Tbl_SM[COMPLETION])),"")</f>
        <v>0.52666666666666595</v>
      </c>
      <c r="AS4" s="70">
        <f>IFERROR(IF(OR(Tbl_Summary[[#This Row],[NO]]="",Tbl_Summary[[#This Row],[NO]]="N/A"),"",_xlfn.XLOOKUP(Tbl_Summary[[#This Row],[NO]],Tbl_SM[NO],Tbl_SM[COMPLETION_FLAG])),"")</f>
        <v>0</v>
      </c>
      <c r="AU4" s="186" t="s">
        <v>21</v>
      </c>
      <c r="AV4" s="193">
        <f>IFERROR(IF('Activity Plan'!S33=0,"N/A",'Activity Plan'!S33),"N/A")</f>
        <v>5.0000000000000017E-2</v>
      </c>
      <c r="AW4" s="193">
        <f>IFERROR(IF('Activity Plan'!T33=0,"N/A",'Activity Plan'!T33),"N/A")</f>
        <v>8.0000000000000029E-2</v>
      </c>
      <c r="AX4" s="193">
        <f>IFERROR(IF('Activity Plan'!U33=0,"N/A",'Activity Plan'!U33),"N/A")</f>
        <v>0.10000000000000003</v>
      </c>
      <c r="AY4" s="193">
        <f>IFERROR(IF('Activity Plan'!V33=0,"N/A",'Activity Plan'!V33),"N/A")</f>
        <v>0.12666666666666695</v>
      </c>
      <c r="AZ4" s="193">
        <f>IFERROR(IF('Activity Plan'!W33=0,"N/A",'Activity Plan'!W33),"N/A")</f>
        <v>0.15166666666666695</v>
      </c>
      <c r="BA4" s="193">
        <f>IFERROR(IF('Activity Plan'!X33=0,"N/A",'Activity Plan'!X33),"N/A")</f>
        <v>0.17666666666666708</v>
      </c>
      <c r="BB4" s="193">
        <f>IFERROR(IF('Activity Plan'!Y33=0,"N/A",'Activity Plan'!Y33),"N/A")</f>
        <v>0.20166666666666708</v>
      </c>
      <c r="BC4" s="193">
        <f>IFERROR(IF('Activity Plan'!Z33=0,"N/A",'Activity Plan'!Z33),"N/A")</f>
        <v>0.22666666666666688</v>
      </c>
      <c r="BD4" s="193">
        <f>IFERROR(IF('Activity Plan'!AA33=0,"N/A",'Activity Plan'!AA33),"N/A")</f>
        <v>0.25166666666666698</v>
      </c>
      <c r="BE4" s="193">
        <f>IFERROR(IF('Activity Plan'!AB33=0,"N/A",'Activity Plan'!AB33),"N/A")</f>
        <v>0.27666666666666706</v>
      </c>
      <c r="BF4" s="193">
        <f>IFERROR(IF('Activity Plan'!AC33=0,"N/A",'Activity Plan'!AC33),"N/A")</f>
        <v>0.30166666666666692</v>
      </c>
      <c r="BG4" s="193">
        <f>IFERROR(IF('Activity Plan'!AD33=0,"N/A",'Activity Plan'!AD33),"N/A")</f>
        <v>0.32666666666666705</v>
      </c>
      <c r="BH4" s="193">
        <f>IFERROR(IF('Activity Plan'!AE33=0,"N/A",'Activity Plan'!AE33),"N/A")</f>
        <v>0.35166666666666679</v>
      </c>
      <c r="BI4" s="193">
        <f>IFERROR(IF('Activity Plan'!AF33=0,"N/A",'Activity Plan'!AF33),"N/A")</f>
        <v>0.37666666666666698</v>
      </c>
      <c r="BJ4" s="193">
        <f>IFERROR(IF('Activity Plan'!AG33=0,"N/A",'Activity Plan'!AG33),"N/A")</f>
        <v>0.40166666666666712</v>
      </c>
      <c r="BK4" s="193">
        <f>IFERROR(IF('Activity Plan'!AH33=0,"N/A",'Activity Plan'!AH33),"N/A")</f>
        <v>0.42666666666666714</v>
      </c>
      <c r="BL4" s="193">
        <f>IFERROR(IF('Activity Plan'!AI33=0,"N/A",'Activity Plan'!AI33),"N/A")</f>
        <v>0.45166666666666683</v>
      </c>
      <c r="BM4" s="193">
        <f>IFERROR(IF('Activity Plan'!AJ33=0,"N/A",'Activity Plan'!AJ33),"N/A")</f>
        <v>0.47666666666666674</v>
      </c>
      <c r="BN4" s="193">
        <f>IFERROR(IF('Activity Plan'!AK33=0,"N/A",'Activity Plan'!AK33),"N/A")</f>
        <v>0.50166666666666704</v>
      </c>
      <c r="BO4" s="193">
        <f>IFERROR(IF('Activity Plan'!AL33=0,"N/A",'Activity Plan'!AL33),"N/A")</f>
        <v>0.50166666666666704</v>
      </c>
      <c r="BP4" s="193">
        <f>IFERROR(IF('Activity Plan'!AM33=0,"N/A",'Activity Plan'!AM33),"N/A")</f>
        <v>0.50166666666666704</v>
      </c>
      <c r="BQ4" s="193">
        <f>IFERROR(IF('Activity Plan'!AN33=0,"N/A",'Activity Plan'!AN33),"N/A")</f>
        <v>0.50166666666666704</v>
      </c>
      <c r="BR4" s="193">
        <f>IFERROR(IF('Activity Plan'!AO33=0,"N/A",'Activity Plan'!AO33),"N/A")</f>
        <v>0.50166666666666704</v>
      </c>
      <c r="BS4" s="193">
        <f>IFERROR(IF('Activity Plan'!AP33=0,"N/A",'Activity Plan'!AP33),"N/A")</f>
        <v>0.50166666666666704</v>
      </c>
      <c r="BT4" s="193">
        <f>IFERROR(IF('Activity Plan'!AQ33=0,"N/A",'Activity Plan'!AQ33),"N/A")</f>
        <v>0.50166666666666704</v>
      </c>
      <c r="BU4" s="193">
        <f>IFERROR(IF('Activity Plan'!AR33=0,"N/A",'Activity Plan'!AR33),"N/A")</f>
        <v>0.50166666666666704</v>
      </c>
      <c r="BV4" s="193">
        <f>IFERROR(IF('Activity Plan'!AS33=0,"N/A",'Activity Plan'!AS33),"N/A")</f>
        <v>0.50166666666666704</v>
      </c>
      <c r="BW4" s="193">
        <f>IFERROR(IF('Activity Plan'!AT33=0,"N/A",'Activity Plan'!AT33),"N/A")</f>
        <v>0.50166666666666704</v>
      </c>
      <c r="BX4" s="193">
        <f>IFERROR(IF('Activity Plan'!AU33=0,"N/A",'Activity Plan'!AU33),"N/A")</f>
        <v>0.5099999999999999</v>
      </c>
      <c r="BY4" s="193">
        <f>IFERROR(IF('Activity Plan'!AV33=0,"N/A",'Activity Plan'!AV33),"N/A")</f>
        <v>0.51833333333333276</v>
      </c>
      <c r="BZ4" s="193">
        <f>IFERROR(IF('Activity Plan'!AW33=0,"N/A",'Activity Plan'!AW33),"N/A")</f>
        <v>0.52666666666666562</v>
      </c>
      <c r="CF4">
        <v>1</v>
      </c>
      <c r="CG4" t="s">
        <v>30</v>
      </c>
      <c r="CH4" t="s">
        <v>2</v>
      </c>
      <c r="CI4" t="s">
        <v>50</v>
      </c>
      <c r="CJ4" s="68">
        <v>0</v>
      </c>
      <c r="CL4" t="s">
        <v>150</v>
      </c>
      <c r="CM4" t="s">
        <v>19</v>
      </c>
      <c r="CN4" t="s">
        <v>21</v>
      </c>
      <c r="CO4">
        <v>1</v>
      </c>
      <c r="CP4" cm="1">
        <f t="array" ref="CP4">IF(INDEX('Activity Plan'!$S$34:$AW$99,
MATCH("*"&amp;TRIM($B4)&amp;"*",'Activity Plan'!$D$35:$D$100,0)+MATCH($C4,{"PLAN";"ACTUAL";"ACHIVE"},0)-1,
MATCH($D4,DAY('Activity Plan'!$S$7:$AW$7),0))=0,
"N/A",
INDEX('Activity Plan'!$S$34:$AW$99,
MATCH("*"&amp;TRIM($B4)&amp;"*",'Activity Plan'!$D$35:$D$100,0)+MATCH($C4,{"PLAN";"ACTUAL";"ACHIVE"},0)-1,
MATCH($D4,DAY('Activity Plan'!$S$7:$AW$7),0)))</f>
        <v>16</v>
      </c>
      <c r="CR4" s="163">
        <v>1</v>
      </c>
      <c r="CS4" s="163" t="s">
        <v>123</v>
      </c>
      <c r="CU4">
        <f>'Activity Plan'!S7</f>
        <v>46174</v>
      </c>
      <c r="CV4" t="s">
        <v>21</v>
      </c>
      <c r="CW4" s="194">
        <f>IFERROR(IF('Activity Plan'!S33=0,"N/A",'Activity Plan'!S33),"N/A")</f>
        <v>5.0000000000000017E-2</v>
      </c>
      <c r="CZ4">
        <v>1</v>
      </c>
      <c r="DA4" s="199">
        <f>SUMIFS(TBL_ACHIVEMENT[VALUE],
        TBL_ACHIVEMENT[DATE],TBL_ACHIVEMENT[[#This Row],[DATE]],
        TBL_ACHIVEMENT[CATEGORY],"PLAN")</f>
        <v>5.0000000000000017E-2</v>
      </c>
      <c r="DB4" s="144">
        <f>SUMIFS(TBL_ACHIVEMENT[VALUE],
        TBL_ACHIVEMENT[DATE],TBL_ACHIVEMENT[[#This Row],[DATE]],
        TBL_ACHIVEMENT[CATEGORY],"ACTUAL")</f>
        <v>0.53499999999999892</v>
      </c>
      <c r="DC4" s="198">
        <f>SUMIFS(TBL_DOZER_READINESS[VALUE],
        TBL_DOZER_READINESS[DATE],TBL_DOZER_READINESS[[#This Row],[DATE]],
        TBL_DOZER_READINESS[CATEGORY],"ACTUAL")</f>
        <v>15</v>
      </c>
      <c r="DD4" s="200">
        <f>SUMIFS(TBL_PA_DOZER[VALUE],
TBL_PA_DOZER[DATE],TBL_PA_DOZER[[#This Row],[DATE]],
TBL_PA_DOZER[CATEGORY],"ACTUAL")</f>
        <v>0.87</v>
      </c>
      <c r="DE4">
        <f>SUMIFS(Tbl_MTBF[VALUE],
Tbl_MTBF[DATE],Tbl_MTBF[[#This Row],[DATE]],
Tbl_MTBF[CATEGORY],"ACTUAL")</f>
        <v>80</v>
      </c>
      <c r="DF4">
        <f>SUMIFS(Tbl_MTTR[VALUE],
Tbl_MTTR[DATE],Tbl_MTTR[[#This Row],[DATE]],
Tbl_MTTR[CATEGORY],"ACTUAL")</f>
        <v>80</v>
      </c>
    </row>
    <row r="5" spans="2:110" x14ac:dyDescent="0.35">
      <c r="B5" t="s">
        <v>19</v>
      </c>
      <c r="C5" t="s">
        <v>22</v>
      </c>
      <c r="D5">
        <v>1</v>
      </c>
      <c r="E5" cm="1">
        <f t="array" ref="E5">IF(INDEX('Activity Plan'!$S$34:$AW$99,
MATCH("*"&amp;TRIM($B5)&amp;"*",'Activity Plan'!$D$35:$D$100,0)+MATCH($C5,{"PLAN";"ACTUAL";"ACHIVE"},0)-1,
MATCH($D5,DAY('Activity Plan'!$S$7:$AW$7),0))=0,
"N/A",
INDEX('Activity Plan'!$S$34:$AW$99,
MATCH("*"&amp;TRIM($B5)&amp;"*",'Activity Plan'!$D$35:$D$100,0)+MATCH($C5,{"PLAN";"ACTUAL";"ACHIVE"},0)-1,
MATCH($D5,DAY('Activity Plan'!$S$7:$AW$7),0)))</f>
        <v>15</v>
      </c>
      <c r="G5" t="s">
        <v>18</v>
      </c>
      <c r="H5" t="s">
        <v>22</v>
      </c>
      <c r="I5">
        <v>1</v>
      </c>
      <c r="J5" s="68" cm="1">
        <f t="array" ref="J5">IF(INDEX('Activity Plan'!$S$34:$AW$99,
MATCH("*"&amp;TRIM($G5)&amp;"*",'Activity Plan'!$D$35:$D$100,0)+MATCH($H5,{"PLAN";"ACTUAL";"ACHIVE"},0)-1,
MATCH($I5,DAY('Activity Plan'!$S$7:$AW$7),0))=0,
"N/A",
INDEX('Activity Plan'!$S$34:$AW$99,
MATCH("*"&amp;TRIM($G5)&amp;"*",'Activity Plan'!$D$35:$D$100,0)+MATCH($H5,{"PLAN";"ACTUAL";"ACHIVE"},0)-1,
MATCH($I5,DAY('Activity Plan'!$S$7:$AW$7),0)))</f>
        <v>0.87</v>
      </c>
      <c r="L5" t="s">
        <v>20</v>
      </c>
      <c r="M5" t="s">
        <v>22</v>
      </c>
      <c r="N5">
        <v>1</v>
      </c>
      <c r="O5" s="71" cm="1">
        <f t="array" ref="O5">IF(INDEX('Activity Plan'!$S$34:$AW$99,
MATCH("*"&amp;TRIM($L5)&amp;"*",'Activity Plan'!$D$35:$D$100,0)+MATCH($M5,{"PLAN";"ACTUAL";"ACHIVE"},0)-1,
MATCH($N5,DAY('Activity Plan'!$S$7:$AW$7),0))=0,
"N/A",
INDEX('Activity Plan'!$S$34:$AW$99,
MATCH("*"&amp;TRIM($L5)&amp;"*",'Activity Plan'!$D$35:$D$100,0)+MATCH($M5,{"PLAN";"ACTUAL";"ACHIVE"},0)-1,
MATCH($N5,DAY('Activity Plan'!$S$7:$AW$7),0)))</f>
        <v>80</v>
      </c>
      <c r="Q5" t="s">
        <v>138</v>
      </c>
      <c r="R5" t="s">
        <v>22</v>
      </c>
      <c r="S5">
        <v>1</v>
      </c>
      <c r="T5" s="71" cm="1">
        <f t="array" ref="T5">IF(INDEX('Activity Plan'!$S$34:$AW$99,
MATCH("*"&amp;TRIM($Q5)&amp;"*",'Activity Plan'!$D$35:$D$100,0)+MATCH($R5,{"PLAN";"ACTUAL";"ACHIVE"},0)-1,
MATCH($S5,DAY('Activity Plan'!$S$7:$AW$7),0))=0,
"N/A",
INDEX('Activity Plan'!$S$34:$AW$99,
MATCH("*"&amp;TRIM($Q5)&amp;"*",'Activity Plan'!$D$35:$D$100,0)+MATCH($R5,{"PLAN";"ACTUAL";"ACHIVE"},0)-1,
MATCH($S5,DAY('Activity Plan'!$S$7:$AW$7),0)))</f>
        <v>80</v>
      </c>
      <c r="U5" s="71"/>
      <c r="V5" t="s">
        <v>19</v>
      </c>
      <c r="W5" t="s">
        <v>39</v>
      </c>
      <c r="X5" s="70">
        <v>2</v>
      </c>
      <c r="Y5" s="69" cm="1">
        <f t="array" ref="Y5">IF(INDEX('Activity Plan'!$S$34:$AW$99,
MATCH("*"&amp;TRIM($V5)&amp;"*",'Activity Plan'!$D$35:$D$100,0)+MATCH($W5,{"PLAN";"ACTUAL";"ACHIVE"},0)-1,
MATCH($X5,DAY('Activity Plan'!$S$7:$AW$7),0))=0,
"N/A",
INDEX('Activity Plan'!$S$34:$AW$99,
MATCH("*"&amp;TRIM($V5)&amp;"*",'Activity Plan'!$D$35:$D$100,0)+MATCH($W5,{"PLAN";"ACTUAL";"ACHIVE"},0)-1,
MATCH($X5,DAY('Activity Plan'!$S$7:$AW$7),0)))</f>
        <v>0.8125</v>
      </c>
      <c r="AA5" t="s">
        <v>40</v>
      </c>
      <c r="AB5" t="s">
        <v>21</v>
      </c>
      <c r="AC5" s="70">
        <v>2</v>
      </c>
      <c r="AD5" s="77">
        <f>'Activity Plan'!T33</f>
        <v>8.0000000000000029E-2</v>
      </c>
      <c r="AF5" s="70">
        <f>IF(ROWS($Z$15:Z16)&gt;COUNTA(Tbl_SM[NO]),"N/A",ROWS($Z$15:Z16))</f>
        <v>2</v>
      </c>
      <c r="AG5" t="str">
        <f>IF(OR(Tbl_Summary[[#This Row],[NO]]="",Tbl_Summary[[#This Row],[NO]]="N/A"),"",_xlfn.XLOOKUP(Tbl_Summary[[#This Row],[NO]],Tbl_SM[NO],Tbl_SM[5 FACTOR]))</f>
        <v>MAN</v>
      </c>
      <c r="AH5" t="str">
        <f>IF(OR(Tbl_Summary[[#This Row],[NO]]="",Tbl_Summary[[#This Row],[NO]]="N/A"),"",_xlfn.XLOOKUP(Tbl_Summary[[#This Row],[NO]],Tbl_SM[NO],Tbl_SM[CATEGORY]))</f>
        <v>Long Term / Development</v>
      </c>
      <c r="AI5" t="str">
        <f>IF(OR(Tbl_Summary[[#This Row],[NO]]="",Tbl_Summary[[#This Row],[NO]]="N/A"),"",_xlfn.XLOOKUP(Tbl_Summary[[#This Row],[NO]],Tbl_SM[NO],Tbl_SM[PIC]))</f>
        <v>GS-HC-USER</v>
      </c>
      <c r="AJ5" s="72">
        <f>IF(OR(Tbl_Summary[[#This Row],[NO]]="",Tbl_Summary[[#This Row],[NO]]="N/A"),"",_xlfn.XLOOKUP(Tbl_Summary[[#This Row],[NO]],Tbl_SM[NO],Tbl_SM[PLAN START]))</f>
        <v>46188</v>
      </c>
      <c r="AK5" s="72">
        <f>IF(OR(Tbl_Summary[[#This Row],[NO]]="",Tbl_Summary[[#This Row],[NO]]="N/A"),"",_xlfn.XLOOKUP(Tbl_Summary[[#This Row],[NO]],Tbl_SM[NO],Tbl_SM[DUE DATA]))</f>
        <v>46220</v>
      </c>
      <c r="AL5" s="70">
        <f>IF(OR(Tbl_Summary[[#This Row],[NO]]="",Tbl_Summary[[#This Row],[NO]]="N/A"),"",_xlfn.XLOOKUP(Tbl_Summary[[#This Row],[NO]],Tbl_SM[NO],Tbl_SM[PLAN DURATION]))</f>
        <v>33</v>
      </c>
      <c r="AM5" s="72">
        <f>IFERROR(IF(OR(Tbl_Summary[[#This Row],[NO]]="",Tbl_Summary[[#This Row],[NO]]="N/A"),"",_xlfn.XLOOKUP(Tbl_Summary[[#This Row],[NO]],Tbl_SM[NO],Tbl_SM[ACTUAL START])),"")</f>
        <v>0</v>
      </c>
      <c r="AN5" s="72" t="str">
        <f>IFERROR(IF(OR(Tbl_Summary[[#This Row],[NO]]="",Tbl_Summary[[#This Row],[NO]]="N/A"),"N/A",
IF(_xlfn.XLOOKUP(Tbl_Summary[[#This Row],[NO]],Tbl_SM[NO],Tbl_SM[ACTUAL FINISH])=0,"N/A",
_xlfn.XLOOKUP(Tbl_Summary[[#This Row],[NO]],Tbl_SM[NO],Tbl_SM[ACTUAL FINISH]))),"N/A")</f>
        <v>N/A</v>
      </c>
      <c r="AO5" s="73" t="str">
        <f>IFERROR(IF(OR(Tbl_Summary[[#This Row],[NO]]="",Tbl_Summary[[#This Row],[NO]]="N/A"),"",_xlfn.XLOOKUP(Tbl_Summary[[#This Row],[NO]],Tbl_SM[NO],Tbl_SM[ACTUAL DURATION])),"")</f>
        <v>No Progress</v>
      </c>
      <c r="AP5" s="72" t="str">
        <f>IFERROR(IF(OR(Tbl_Summary[[#This Row],[NO]]="",Tbl_Summary[[#This Row],[NO]]="N/A"),"",_xlfn.XLOOKUP(Tbl_Summary[[#This Row],[NO]],Tbl_SM[NO],Tbl_SM[STATUS])),"")</f>
        <v>OPEN</v>
      </c>
      <c r="AQ5" s="72" t="str">
        <f ca="1">IFERROR(IF(OR(Tbl_Summary[[#This Row],[NO]]="",Tbl_Summary[[#This Row],[NO]]="N/A"),"",_xlfn.XLOOKUP(Tbl_Summary[[#This Row],[NO]],Tbl_SM[NO],Tbl_SM[DUE STATUS])),"")</f>
        <v>&gt; 14 HARI</v>
      </c>
      <c r="AR5" s="80">
        <f>IFERROR(IF(OR(Tbl_Summary[[#This Row],[NO]]="",Tbl_Summary[[#This Row],[NO]]="N/A"),"",_xlfn.XLOOKUP(Tbl_Summary[[#This Row],[NO]],Tbl_SM[NO],Tbl_SM[COMPLETION])),"")</f>
        <v>0.52666666666666595</v>
      </c>
      <c r="AS5" s="70">
        <f>IFERROR(IF(OR(Tbl_Summary[[#This Row],[NO]]="",Tbl_Summary[[#This Row],[NO]]="N/A"),"",_xlfn.XLOOKUP(Tbl_Summary[[#This Row],[NO]],Tbl_SM[NO],Tbl_SM[COMPLETION_FLAG])),"")</f>
        <v>0</v>
      </c>
      <c r="AU5" s="191" t="s">
        <v>22</v>
      </c>
      <c r="AV5" s="192">
        <f>IFERROR(IF('Activity Plan'!AX33=0,"N/A",'Activity Plan'!AX33),"N/A")</f>
        <v>0.53499999999999892</v>
      </c>
      <c r="AW5" s="192">
        <f>IFERROR(IF('Activity Plan'!AY33=0,"N/A",'Activity Plan'!AY33),"N/A")</f>
        <v>0.54333333333333178</v>
      </c>
      <c r="AX5" s="192">
        <f>IFERROR(IF('Activity Plan'!AZ33=0,"N/A",'Activity Plan'!AZ33),"N/A")</f>
        <v>0.55166666666666531</v>
      </c>
      <c r="AY5" s="192">
        <f>IFERROR(IF('Activity Plan'!BA33=0,"N/A",'Activity Plan'!BA33),"N/A")</f>
        <v>0.55999999999999817</v>
      </c>
      <c r="AZ5" s="192">
        <f>IFERROR(IF('Activity Plan'!BB33=0,"N/A",'Activity Plan'!BB33),"N/A")</f>
        <v>0.56833333333333114</v>
      </c>
      <c r="BA5" s="192">
        <f>IFERROR(IF('Activity Plan'!BC33=0,"N/A",'Activity Plan'!BC33),"N/A")</f>
        <v>0.59999999999999976</v>
      </c>
      <c r="BB5" s="192">
        <f>IFERROR(IF('Activity Plan'!BD33=0,"N/A",'Activity Plan'!BD33),"N/A")</f>
        <v>0.63000000000000034</v>
      </c>
      <c r="BC5" s="192">
        <f>IFERROR(IF('Activity Plan'!BE33=0,"N/A",'Activity Plan'!BE33),"N/A")</f>
        <v>0.66</v>
      </c>
      <c r="BD5" s="192">
        <f>IFERROR(IF('Activity Plan'!BF33=0,"N/A",'Activity Plan'!BF33),"N/A")</f>
        <v>0.68999999999999961</v>
      </c>
      <c r="BE5" s="192">
        <f>IFERROR(IF('Activity Plan'!BG33=0,"N/A",'Activity Plan'!BG33),"N/A")</f>
        <v>0.7200000000000002</v>
      </c>
      <c r="BF5" s="192">
        <f>IFERROR(IF('Activity Plan'!BH33=0,"N/A",'Activity Plan'!BH33),"N/A")</f>
        <v>0.75</v>
      </c>
      <c r="BG5" s="192">
        <f>IFERROR(IF('Activity Plan'!BI33=0,"N/A",'Activity Plan'!BI33),"N/A")</f>
        <v>0.77999999999999992</v>
      </c>
      <c r="BH5" s="192">
        <f>IFERROR(IF('Activity Plan'!BJ33=0,"N/A",'Activity Plan'!BJ33),"N/A")</f>
        <v>0.81</v>
      </c>
      <c r="BI5" s="192">
        <f>IFERROR(IF('Activity Plan'!BK33=0,"N/A",'Activity Plan'!BK33),"N/A")</f>
        <v>0.84</v>
      </c>
      <c r="BJ5" s="192">
        <f>IFERROR(IF('Activity Plan'!BL33=0,"N/A",'Activity Plan'!BL33),"N/A")</f>
        <v>0.87</v>
      </c>
      <c r="BK5" s="192">
        <f>IFERROR(IF('Activity Plan'!BM33=0,"N/A",'Activity Plan'!BM33),"N/A")</f>
        <v>0.8999999999999998</v>
      </c>
      <c r="BL5" s="192">
        <f>IFERROR(IF('Activity Plan'!BN33=0,"N/A",'Activity Plan'!BN33),"N/A")</f>
        <v>0.92999999999999983</v>
      </c>
      <c r="BM5" s="192">
        <f>IFERROR(IF('Activity Plan'!BO33=0,"N/A",'Activity Plan'!BO33),"N/A")</f>
        <v>0.96000000000000052</v>
      </c>
      <c r="BN5" s="192">
        <f>IFERROR(IF('Activity Plan'!BP33=0,"N/A",'Activity Plan'!BP33),"N/A")</f>
        <v>0.98999999999999966</v>
      </c>
      <c r="BO5" s="192">
        <f>IFERROR(IF('Activity Plan'!BQ33=0,"N/A",'Activity Plan'!BQ33),"N/A")</f>
        <v>1</v>
      </c>
      <c r="BP5" s="192">
        <f>IFERROR(IF('Activity Plan'!BR33=0,"N/A",'Activity Plan'!BR33),"N/A")</f>
        <v>1</v>
      </c>
      <c r="BQ5" s="192">
        <f>IFERROR(IF('Activity Plan'!BS33=0,"N/A",'Activity Plan'!BS33),"N/A")</f>
        <v>1</v>
      </c>
      <c r="BR5" s="192">
        <f>IFERROR(IF('Activity Plan'!BT33=0,"N/A",'Activity Plan'!BT33),"N/A")</f>
        <v>1</v>
      </c>
      <c r="BS5" s="192">
        <f>IFERROR(IF('Activity Plan'!BU33=0,"N/A",'Activity Plan'!BU33),"N/A")</f>
        <v>1</v>
      </c>
      <c r="BT5" s="192">
        <f>IFERROR(IF('Activity Plan'!BV33=0,"N/A",'Activity Plan'!BV33),"N/A")</f>
        <v>1</v>
      </c>
      <c r="BU5" s="192">
        <f>IFERROR(IF('Activity Plan'!BW33=0,"N/A",'Activity Plan'!BW33),"N/A")</f>
        <v>1</v>
      </c>
      <c r="BV5" s="192">
        <f>IFERROR(IF('Activity Plan'!BX33=0,"N/A",'Activity Plan'!BX33),"N/A")</f>
        <v>1</v>
      </c>
      <c r="BW5" s="192">
        <f>IFERROR(IF('Activity Plan'!BY33=0,"N/A",'Activity Plan'!BY33),"N/A")</f>
        <v>1</v>
      </c>
      <c r="BX5" s="192">
        <f>IFERROR(IF('Activity Plan'!BZ33=0,"N/A",'Activity Plan'!BZ33),"N/A")</f>
        <v>1</v>
      </c>
      <c r="BY5" s="192">
        <f>IFERROR(IF('Activity Plan'!CA33=0,"N/A",'Activity Plan'!CA33),"N/A")</f>
        <v>1</v>
      </c>
      <c r="BZ5" s="192" t="str">
        <f>IFERROR(IF('Activity Plan'!DF33=0,"N/A",'Activity Plan'!DF33),"N/A")</f>
        <v>N/A</v>
      </c>
      <c r="CF5">
        <v>1</v>
      </c>
      <c r="CG5" t="s">
        <v>30</v>
      </c>
      <c r="CH5" t="s">
        <v>2</v>
      </c>
      <c r="CI5" t="s">
        <v>51</v>
      </c>
      <c r="CJ5" s="68">
        <v>0</v>
      </c>
      <c r="CL5" t="s">
        <v>150</v>
      </c>
      <c r="CM5" t="s">
        <v>19</v>
      </c>
      <c r="CN5" t="s">
        <v>22</v>
      </c>
      <c r="CO5">
        <v>1</v>
      </c>
      <c r="CP5" cm="1">
        <f t="array" ref="CP5">IF(INDEX('Activity Plan'!$S$34:$AW$99,
MATCH("*"&amp;TRIM($B5)&amp;"*",'Activity Plan'!$D$35:$D$100,0)+MATCH($C5,{"PLAN";"ACTUAL";"ACHIVE"},0)-1,
MATCH($D5,DAY('Activity Plan'!$S$7:$AW$7),0))=0,
"N/A",
INDEX('Activity Plan'!$S$34:$AW$99,
MATCH("*"&amp;TRIM($B5)&amp;"*",'Activity Plan'!$D$35:$D$100,0)+MATCH($C5,{"PLAN";"ACTUAL";"ACHIVE"},0)-1,
MATCH($D5,DAY('Activity Plan'!$S$7:$AW$7),0)))</f>
        <v>15</v>
      </c>
      <c r="CR5" s="163">
        <v>2</v>
      </c>
      <c r="CS5" s="163" t="s">
        <v>124</v>
      </c>
      <c r="CU5">
        <f>'Activity Plan'!S7</f>
        <v>46174</v>
      </c>
      <c r="CV5" t="s">
        <v>22</v>
      </c>
      <c r="CW5" s="194">
        <f>IFERROR(IF('Activity Plan'!AX33=0,"N/A",'Activity Plan'!AX33),"N/A")</f>
        <v>0.53499999999999892</v>
      </c>
      <c r="CZ5">
        <f>CZ4+1</f>
        <v>2</v>
      </c>
      <c r="DA5" s="199">
        <f>SUMIFS(TBL_ACHIVEMENT[VALUE],
        TBL_ACHIVEMENT[DATE],TBL_ACHIVEMENT[[#This Row],[DATE]],
        TBL_ACHIVEMENT[CATEGORY],"PLAN")</f>
        <v>8.0000000000000029E-2</v>
      </c>
      <c r="DB5" s="144">
        <f>SUMIFS(TBL_ACHIVEMENT[VALUE],
        TBL_ACHIVEMENT[DATE],TBL_ACHIVEMENT[[#This Row],[DATE]],
        TBL_ACHIVEMENT[CATEGORY],"ACTUAL")</f>
        <v>0.54333333333333178</v>
      </c>
      <c r="DC5" s="198">
        <f>SUMIFS(TBL_DOZER_READINESS[VALUE],
        TBL_DOZER_READINESS[DATE],TBL_DOZER_READINESS[[#This Row],[DATE]],
        TBL_DOZER_READINESS[CATEGORY],"ACTUAL")</f>
        <v>15</v>
      </c>
      <c r="DD5" s="200">
        <f>SUMIFS(TBL_PA_DOZER[VALUE],
TBL_PA_DOZER[DATE],TBL_PA_DOZER[[#This Row],[DATE]],
TBL_PA_DOZER[CATEGORY],"ACTUAL")</f>
        <v>0.87</v>
      </c>
      <c r="DE5">
        <f>SUMIFS(Tbl_MTBF[VALUE],
Tbl_MTBF[DATE],Tbl_MTBF[[#This Row],[DATE]],
Tbl_MTBF[CATEGORY],"ACTUAL")</f>
        <v>80</v>
      </c>
      <c r="DF5">
        <f>SUMIFS(Tbl_MTTR[VALUE],
Tbl_MTTR[DATE],Tbl_MTTR[[#This Row],[DATE]],
Tbl_MTTR[CATEGORY],"ACTUAL")</f>
        <v>80</v>
      </c>
    </row>
    <row r="6" spans="2:110" x14ac:dyDescent="0.35">
      <c r="B6" t="s">
        <v>19</v>
      </c>
      <c r="C6" t="s">
        <v>21</v>
      </c>
      <c r="D6">
        <v>2</v>
      </c>
      <c r="E6" cm="1">
        <f t="array" ref="E6">IF(INDEX('Activity Plan'!$S$34:$AW$99,
MATCH("*"&amp;TRIM($B6)&amp;"*",'Activity Plan'!$D$35:$D$100,0)+MATCH($C6,{"PLAN";"ACTUAL";"ACHIVE"},0)-1,
MATCH($D6,DAY('Activity Plan'!$S$7:$AW$7),0))=0,
"N/A",
INDEX('Activity Plan'!$S$34:$AW$99,
MATCH("*"&amp;TRIM($B6)&amp;"*",'Activity Plan'!$D$35:$D$100,0)+MATCH($C6,{"PLAN";"ACTUAL";"ACHIVE"},0)-1,
MATCH($D6,DAY('Activity Plan'!$S$7:$AW$7),0)))</f>
        <v>16</v>
      </c>
      <c r="G6" t="s">
        <v>18</v>
      </c>
      <c r="H6" t="s">
        <v>21</v>
      </c>
      <c r="I6">
        <v>2</v>
      </c>
      <c r="J6" s="68" cm="1">
        <f t="array" ref="J6">IF(INDEX('Activity Plan'!$S$34:$AW$99,
MATCH("*"&amp;TRIM($G6)&amp;"*",'Activity Plan'!$D$35:$D$100,0)+MATCH($H6,{"PLAN";"ACTUAL";"ACHIVE"},0)-1,
MATCH($I6,DAY('Activity Plan'!$S$7:$AW$7),0))=0,
"N/A",
INDEX('Activity Plan'!$S$34:$AW$99,
MATCH("*"&amp;TRIM($G6)&amp;"*",'Activity Plan'!$D$35:$D$100,0)+MATCH($H6,{"PLAN";"ACTUAL";"ACHIVE"},0)-1,
MATCH($I6,DAY('Activity Plan'!$S$7:$AW$7),0)))</f>
        <v>0.9</v>
      </c>
      <c r="L6" t="s">
        <v>20</v>
      </c>
      <c r="M6" t="s">
        <v>21</v>
      </c>
      <c r="N6">
        <v>2</v>
      </c>
      <c r="O6" s="71" cm="1">
        <f t="array" ref="O6">IF(INDEX('Activity Plan'!$S$34:$AW$99,
MATCH("*"&amp;TRIM($L6)&amp;"*",'Activity Plan'!$D$35:$D$100,0)+MATCH($M6,{"PLAN";"ACTUAL";"ACHIVE"},0)-1,
MATCH($N6,DAY('Activity Plan'!$S$7:$AW$7),0))=0,
"N/A",
INDEX('Activity Plan'!$S$34:$AW$99,
MATCH("*"&amp;TRIM($L6)&amp;"*",'Activity Plan'!$D$35:$D$100,0)+MATCH($M6,{"PLAN";"ACTUAL";"ACHIVE"},0)-1,
MATCH($N6,DAY('Activity Plan'!$S$7:$AW$7),0)))</f>
        <v>70</v>
      </c>
      <c r="Q6" t="s">
        <v>138</v>
      </c>
      <c r="R6" t="s">
        <v>21</v>
      </c>
      <c r="S6">
        <v>2</v>
      </c>
      <c r="T6" s="71" cm="1">
        <f t="array" ref="T6">IF(INDEX('Activity Plan'!$S$34:$AW$99,
MATCH("*"&amp;TRIM($Q6)&amp;"*",'Activity Plan'!$D$35:$D$100,0)+MATCH($R6,{"PLAN";"ACTUAL";"ACHIVE"},0)-1,
MATCH($S6,DAY('Activity Plan'!$S$7:$AW$7),0))=0,
"N/A",
INDEX('Activity Plan'!$S$34:$AW$99,
MATCH("*"&amp;TRIM($Q6)&amp;"*",'Activity Plan'!$D$35:$D$100,0)+MATCH($R6,{"PLAN";"ACTUAL";"ACHIVE"},0)-1,
MATCH($S6,DAY('Activity Plan'!$S$7:$AW$7),0)))</f>
        <v>80</v>
      </c>
      <c r="U6" s="71"/>
      <c r="V6" t="s">
        <v>19</v>
      </c>
      <c r="W6" t="s">
        <v>39</v>
      </c>
      <c r="X6" s="70">
        <v>3</v>
      </c>
      <c r="Y6" s="69" cm="1">
        <f t="array" ref="Y6">IF(INDEX('Activity Plan'!$S$34:$AW$99,
MATCH("*"&amp;TRIM($V6)&amp;"*",'Activity Plan'!$D$35:$D$100,0)+MATCH($W6,{"PLAN";"ACTUAL";"ACHIVE"},0)-1,
MATCH($X6,DAY('Activity Plan'!$S$7:$AW$7),0))=0,
"N/A",
INDEX('Activity Plan'!$S$34:$AW$99,
MATCH("*"&amp;TRIM($V6)&amp;"*",'Activity Plan'!$D$35:$D$100,0)+MATCH($W6,{"PLAN";"ACTUAL";"ACHIVE"},0)-1,
MATCH($X6,DAY('Activity Plan'!$S$7:$AW$7),0)))</f>
        <v>0.875</v>
      </c>
      <c r="AA6" t="s">
        <v>40</v>
      </c>
      <c r="AB6" t="s">
        <v>21</v>
      </c>
      <c r="AC6" s="70">
        <v>3</v>
      </c>
      <c r="AD6" s="77">
        <f>'Activity Plan'!U33</f>
        <v>0.10000000000000003</v>
      </c>
      <c r="AF6" s="70">
        <f>IF(ROWS($Z$15:Z17)&gt;COUNTA(Tbl_SM[NO]),"N/A",ROWS($Z$15:Z17))</f>
        <v>3</v>
      </c>
      <c r="AG6" t="str">
        <f>IF(OR(Tbl_Summary[[#This Row],[NO]]="",Tbl_Summary[[#This Row],[NO]]="N/A"),"",_xlfn.XLOOKUP(Tbl_Summary[[#This Row],[NO]],Tbl_SM[NO],Tbl_SM[5 FACTOR]))</f>
        <v>MAN</v>
      </c>
      <c r="AH6" t="str">
        <f>IF(OR(Tbl_Summary[[#This Row],[NO]]="",Tbl_Summary[[#This Row],[NO]]="N/A"),"",_xlfn.XLOOKUP(Tbl_Summary[[#This Row],[NO]],Tbl_SM[NO],Tbl_SM[CATEGORY]))</f>
        <v>Quick Action</v>
      </c>
      <c r="AI6" t="str">
        <f>IF(OR(Tbl_Summary[[#This Row],[NO]]="",Tbl_Summary[[#This Row],[NO]]="N/A"),"",_xlfn.XLOOKUP(Tbl_Summary[[#This Row],[NO]],Tbl_SM[NO],Tbl_SM[PIC]))</f>
        <v>GS-PIC LV</v>
      </c>
      <c r="AJ6" s="72">
        <f>IF(OR(Tbl_Summary[[#This Row],[NO]]="",Tbl_Summary[[#This Row],[NO]]="N/A"),"",_xlfn.XLOOKUP(Tbl_Summary[[#This Row],[NO]],Tbl_SM[NO],Tbl_SM[PLAN START]))</f>
        <v>46181</v>
      </c>
      <c r="AK6" s="72">
        <f>IF(OR(Tbl_Summary[[#This Row],[NO]]="",Tbl_Summary[[#This Row],[NO]]="N/A"),"",_xlfn.XLOOKUP(Tbl_Summary[[#This Row],[NO]],Tbl_SM[NO],Tbl_SM[DUE DATA]))</f>
        <v>46188</v>
      </c>
      <c r="AL6" s="70">
        <f>IF(OR(Tbl_Summary[[#This Row],[NO]]="",Tbl_Summary[[#This Row],[NO]]="N/A"),"",_xlfn.XLOOKUP(Tbl_Summary[[#This Row],[NO]],Tbl_SM[NO],Tbl_SM[PLAN DURATION]))</f>
        <v>8</v>
      </c>
      <c r="AM6" s="72">
        <f>IFERROR(IF(OR(Tbl_Summary[[#This Row],[NO]]="",Tbl_Summary[[#This Row],[NO]]="N/A"),"",_xlfn.XLOOKUP(Tbl_Summary[[#This Row],[NO]],Tbl_SM[NO],Tbl_SM[ACTUAL START])),"")</f>
        <v>0</v>
      </c>
      <c r="AN6" s="72" t="str">
        <f>IFERROR(IF(OR(Tbl_Summary[[#This Row],[NO]]="",Tbl_Summary[[#This Row],[NO]]="N/A"),"N/A",
IF(_xlfn.XLOOKUP(Tbl_Summary[[#This Row],[NO]],Tbl_SM[NO],Tbl_SM[ACTUAL FINISH])=0,"N/A",
_xlfn.XLOOKUP(Tbl_Summary[[#This Row],[NO]],Tbl_SM[NO],Tbl_SM[ACTUAL FINISH]))),"N/A")</f>
        <v>N/A</v>
      </c>
      <c r="AO6" s="73" t="str">
        <f>IFERROR(IF(OR(Tbl_Summary[[#This Row],[NO]]="",Tbl_Summary[[#This Row],[NO]]="N/A"),"",_xlfn.XLOOKUP(Tbl_Summary[[#This Row],[NO]],Tbl_SM[NO],Tbl_SM[ACTUAL DURATION])),"")</f>
        <v>No Progress</v>
      </c>
      <c r="AP6" s="72" t="str">
        <f>IFERROR(IF(OR(Tbl_Summary[[#This Row],[NO]]="",Tbl_Summary[[#This Row],[NO]]="N/A"),"",_xlfn.XLOOKUP(Tbl_Summary[[#This Row],[NO]],Tbl_SM[NO],Tbl_SM[STATUS])),"")</f>
        <v>OPEN</v>
      </c>
      <c r="AQ6" s="72" t="str">
        <f ca="1">IFERROR(IF(OR(Tbl_Summary[[#This Row],[NO]]="",Tbl_Summary[[#This Row],[NO]]="N/A"),"",_xlfn.XLOOKUP(Tbl_Summary[[#This Row],[NO]],Tbl_SM[NO],Tbl_SM[DUE STATUS])),"")</f>
        <v>&lt; 7 HARI</v>
      </c>
      <c r="AR6" s="80">
        <f>IFERROR(IF(OR(Tbl_Summary[[#This Row],[NO]]="",Tbl_Summary[[#This Row],[NO]]="N/A"),"",_xlfn.XLOOKUP(Tbl_Summary[[#This Row],[NO]],Tbl_SM[NO],Tbl_SM[COMPLETION])),"")</f>
        <v>0.52666666666666595</v>
      </c>
      <c r="AS6" s="70">
        <f>IFERROR(IF(OR(Tbl_Summary[[#This Row],[NO]]="",Tbl_Summary[[#This Row],[NO]]="N/A"),"",_xlfn.XLOOKUP(Tbl_Summary[[#This Row],[NO]],Tbl_SM[NO],Tbl_SM[COMPLETION_FLAG])),"")</f>
        <v>0</v>
      </c>
      <c r="AU6" s="31"/>
      <c r="AV6" s="82"/>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c r="BZ6" s="83"/>
      <c r="CA6" s="31"/>
      <c r="CB6" s="31"/>
      <c r="CF6">
        <v>1</v>
      </c>
      <c r="CG6" t="s">
        <v>30</v>
      </c>
      <c r="CH6" t="s">
        <v>2</v>
      </c>
      <c r="CI6" t="s">
        <v>52</v>
      </c>
      <c r="CJ6" s="68">
        <v>0</v>
      </c>
      <c r="CL6" t="s">
        <v>150</v>
      </c>
      <c r="CM6" t="s">
        <v>19</v>
      </c>
      <c r="CN6" t="s">
        <v>21</v>
      </c>
      <c r="CO6">
        <v>2</v>
      </c>
      <c r="CP6" cm="1">
        <f t="array" ref="CP6">IF(INDEX('Activity Plan'!$S$34:$AW$99,
MATCH("*"&amp;TRIM($B6)&amp;"*",'Activity Plan'!$D$35:$D$100,0)+MATCH($C6,{"PLAN";"ACTUAL";"ACHIVE"},0)-1,
MATCH($D6,DAY('Activity Plan'!$S$7:$AW$7),0))=0,
"N/A",
INDEX('Activity Plan'!$S$34:$AW$99,
MATCH("*"&amp;TRIM($B6)&amp;"*",'Activity Plan'!$D$35:$D$100,0)+MATCH($C6,{"PLAN";"ACTUAL";"ACHIVE"},0)-1,
MATCH($D6,DAY('Activity Plan'!$S$7:$AW$7),0)))</f>
        <v>16</v>
      </c>
      <c r="CR6" s="163">
        <v>3</v>
      </c>
      <c r="CS6" s="163" t="s">
        <v>125</v>
      </c>
      <c r="CU6">
        <f>'Activity Plan'!T7</f>
        <v>46175</v>
      </c>
      <c r="CV6" t="s">
        <v>21</v>
      </c>
      <c r="CW6" s="194">
        <f>IFERROR(IF('Activity Plan'!T33=0,"N/A",'Activity Plan'!T33),"N/A")</f>
        <v>8.0000000000000029E-2</v>
      </c>
      <c r="CZ6">
        <f t="shared" ref="CZ6:CZ34" si="0">CZ5+1</f>
        <v>3</v>
      </c>
      <c r="DA6" s="199">
        <f>SUMIFS(TBL_ACHIVEMENT[VALUE],
        TBL_ACHIVEMENT[DATE],TBL_ACHIVEMENT[[#This Row],[DATE]],
        TBL_ACHIVEMENT[CATEGORY],"PLAN")</f>
        <v>0.10000000000000003</v>
      </c>
      <c r="DB6" s="144">
        <f>SUMIFS(TBL_ACHIVEMENT[VALUE],
        TBL_ACHIVEMENT[DATE],TBL_ACHIVEMENT[[#This Row],[DATE]],
        TBL_ACHIVEMENT[CATEGORY],"ACTUAL")</f>
        <v>0.55166666666666531</v>
      </c>
      <c r="DC6" s="198">
        <f>SUMIFS(TBL_DOZER_READINESS[VALUE],
        TBL_DOZER_READINESS[DATE],TBL_DOZER_READINESS[[#This Row],[DATE]],
        TBL_DOZER_READINESS[CATEGORY],"ACTUAL")</f>
        <v>13</v>
      </c>
      <c r="DD6" s="200">
        <f>SUMIFS(TBL_PA_DOZER[VALUE],
TBL_PA_DOZER[DATE],TBL_PA_DOZER[[#This Row],[DATE]],
TBL_PA_DOZER[CATEGORY],"ACTUAL")</f>
        <v>0.8</v>
      </c>
      <c r="DE6">
        <f>SUMIFS(Tbl_MTBF[VALUE],
Tbl_MTBF[DATE],Tbl_MTBF[[#This Row],[DATE]],
Tbl_MTBF[CATEGORY],"ACTUAL")</f>
        <v>60</v>
      </c>
      <c r="DF6">
        <f>SUMIFS(Tbl_MTTR[VALUE],
Tbl_MTTR[DATE],Tbl_MTTR[[#This Row],[DATE]],
Tbl_MTTR[CATEGORY],"ACTUAL")</f>
        <v>60</v>
      </c>
    </row>
    <row r="7" spans="2:110" x14ac:dyDescent="0.35">
      <c r="B7" t="s">
        <v>19</v>
      </c>
      <c r="C7" t="s">
        <v>22</v>
      </c>
      <c r="D7">
        <v>2</v>
      </c>
      <c r="E7" cm="1">
        <f t="array" ref="E7">IF(INDEX('Activity Plan'!$S$34:$AW$99,
MATCH("*"&amp;TRIM($B7)&amp;"*",'Activity Plan'!$D$35:$D$100,0)+MATCH($C7,{"PLAN";"ACTUAL";"ACHIVE"},0)-1,
MATCH($D7,DAY('Activity Plan'!$S$7:$AW$7),0))=0,
"N/A",
INDEX('Activity Plan'!$S$34:$AW$99,
MATCH("*"&amp;TRIM($B7)&amp;"*",'Activity Plan'!$D$35:$D$100,0)+MATCH($C7,{"PLAN";"ACTUAL";"ACHIVE"},0)-1,
MATCH($D7,DAY('Activity Plan'!$S$7:$AW$7),0)))</f>
        <v>13</v>
      </c>
      <c r="G7" t="s">
        <v>18</v>
      </c>
      <c r="H7" t="s">
        <v>22</v>
      </c>
      <c r="I7">
        <v>2</v>
      </c>
      <c r="J7" s="68" cm="1">
        <f t="array" ref="J7">IF(INDEX('Activity Plan'!$S$34:$AW$99,
MATCH("*"&amp;TRIM($G7)&amp;"*",'Activity Plan'!$D$35:$D$100,0)+MATCH($H7,{"PLAN";"ACTUAL";"ACHIVE"},0)-1,
MATCH($I7,DAY('Activity Plan'!$S$7:$AW$7),0))=0,
"N/A",
INDEX('Activity Plan'!$S$34:$AW$99,
MATCH("*"&amp;TRIM($G7)&amp;"*",'Activity Plan'!$D$35:$D$100,0)+MATCH($H7,{"PLAN";"ACTUAL";"ACHIVE"},0)-1,
MATCH($I7,DAY('Activity Plan'!$S$7:$AW$7),0)))</f>
        <v>0.8</v>
      </c>
      <c r="L7" t="s">
        <v>20</v>
      </c>
      <c r="M7" t="s">
        <v>22</v>
      </c>
      <c r="N7">
        <v>2</v>
      </c>
      <c r="O7" s="71" cm="1">
        <f t="array" ref="O7">IF(INDEX('Activity Plan'!$S$34:$AW$99,
MATCH("*"&amp;TRIM($L7)&amp;"*",'Activity Plan'!$D$35:$D$100,0)+MATCH($M7,{"PLAN";"ACTUAL";"ACHIVE"},0)-1,
MATCH($N7,DAY('Activity Plan'!$S$7:$AW$7),0))=0,
"N/A",
INDEX('Activity Plan'!$S$34:$AW$99,
MATCH("*"&amp;TRIM($L7)&amp;"*",'Activity Plan'!$D$35:$D$100,0)+MATCH($M7,{"PLAN";"ACTUAL";"ACHIVE"},0)-1,
MATCH($N7,DAY('Activity Plan'!$S$7:$AW$7),0)))</f>
        <v>60</v>
      </c>
      <c r="Q7" t="s">
        <v>138</v>
      </c>
      <c r="R7" t="s">
        <v>22</v>
      </c>
      <c r="S7">
        <v>2</v>
      </c>
      <c r="T7" s="71" cm="1">
        <f t="array" ref="T7">IF(INDEX('Activity Plan'!$S$34:$AW$99,
MATCH("*"&amp;TRIM($Q7)&amp;"*",'Activity Plan'!$D$35:$D$100,0)+MATCH($R7,{"PLAN";"ACTUAL";"ACHIVE"},0)-1,
MATCH($S7,DAY('Activity Plan'!$S$7:$AW$7),0))=0,
"N/A",
INDEX('Activity Plan'!$S$34:$AW$99,
MATCH("*"&amp;TRIM($Q7)&amp;"*",'Activity Plan'!$D$35:$D$100,0)+MATCH($R7,{"PLAN";"ACTUAL";"ACHIVE"},0)-1,
MATCH($S7,DAY('Activity Plan'!$S$7:$AW$7),0)))</f>
        <v>60</v>
      </c>
      <c r="U7" s="71"/>
      <c r="V7" t="s">
        <v>19</v>
      </c>
      <c r="W7" t="s">
        <v>39</v>
      </c>
      <c r="X7" s="70">
        <v>4</v>
      </c>
      <c r="Y7" s="69" cm="1">
        <f t="array" ref="Y7">IF(INDEX('Activity Plan'!$S$34:$AW$99,
MATCH("*"&amp;TRIM($V7)&amp;"*",'Activity Plan'!$D$35:$D$100,0)+MATCH($W7,{"PLAN";"ACTUAL";"ACHIVE"},0)-1,
MATCH($X7,DAY('Activity Plan'!$S$7:$AW$7),0))=0,
"N/A",
INDEX('Activity Plan'!$S$34:$AW$99,
MATCH("*"&amp;TRIM($V7)&amp;"*",'Activity Plan'!$D$35:$D$100,0)+MATCH($W7,{"PLAN";"ACTUAL";"ACHIVE"},0)-1,
MATCH($X7,DAY('Activity Plan'!$S$7:$AW$7),0)))</f>
        <v>0.6875</v>
      </c>
      <c r="AA7" t="s">
        <v>40</v>
      </c>
      <c r="AB7" t="s">
        <v>21</v>
      </c>
      <c r="AC7" s="70">
        <v>4</v>
      </c>
      <c r="AD7" s="77">
        <f>'Activity Plan'!V33</f>
        <v>0.12666666666666695</v>
      </c>
      <c r="AF7" s="70">
        <f>IF(ROWS($Z$15:Z18)&gt;COUNTA(Tbl_SM[NO]),"N/A",ROWS($Z$15:Z18))</f>
        <v>4</v>
      </c>
      <c r="AG7" t="str">
        <f>IF(OR(Tbl_Summary[[#This Row],[NO]]="",Tbl_Summary[[#This Row],[NO]]="N/A"),"",_xlfn.XLOOKUP(Tbl_Summary[[#This Row],[NO]],Tbl_SM[NO],Tbl_SM[5 FACTOR]))</f>
        <v>MAN</v>
      </c>
      <c r="AH7" t="str">
        <f>IF(OR(Tbl_Summary[[#This Row],[NO]]="",Tbl_Summary[[#This Row],[NO]]="N/A"),"",_xlfn.XLOOKUP(Tbl_Summary[[#This Row],[NO]],Tbl_SM[NO],Tbl_SM[CATEGORY]))</f>
        <v>Quick Action</v>
      </c>
      <c r="AI7" t="str">
        <f>IF(OR(Tbl_Summary[[#This Row],[NO]]="",Tbl_Summary[[#This Row],[NO]]="N/A"),"",_xlfn.XLOOKUP(Tbl_Summary[[#This Row],[NO]],Tbl_SM[NO],Tbl_SM[PIC]))</f>
        <v>PLANT-GS</v>
      </c>
      <c r="AJ7" s="72">
        <f>IF(OR(Tbl_Summary[[#This Row],[NO]]="",Tbl_Summary[[#This Row],[NO]]="N/A"),"",_xlfn.XLOOKUP(Tbl_Summary[[#This Row],[NO]],Tbl_SM[NO],Tbl_SM[PLAN START]))</f>
        <v>46183</v>
      </c>
      <c r="AK7" s="72">
        <f>IF(OR(Tbl_Summary[[#This Row],[NO]]="",Tbl_Summary[[#This Row],[NO]]="N/A"),"",_xlfn.XLOOKUP(Tbl_Summary[[#This Row],[NO]],Tbl_SM[NO],Tbl_SM[DUE DATA]))</f>
        <v>46206</v>
      </c>
      <c r="AL7" s="70">
        <f>IF(OR(Tbl_Summary[[#This Row],[NO]]="",Tbl_Summary[[#This Row],[NO]]="N/A"),"",_xlfn.XLOOKUP(Tbl_Summary[[#This Row],[NO]],Tbl_SM[NO],Tbl_SM[PLAN DURATION]))</f>
        <v>24</v>
      </c>
      <c r="AM7" s="72">
        <f>IFERROR(IF(OR(Tbl_Summary[[#This Row],[NO]]="",Tbl_Summary[[#This Row],[NO]]="N/A"),"",_xlfn.XLOOKUP(Tbl_Summary[[#This Row],[NO]],Tbl_SM[NO],Tbl_SM[ACTUAL START])),"")</f>
        <v>0</v>
      </c>
      <c r="AN7" s="72" t="str">
        <f>IFERROR(IF(OR(Tbl_Summary[[#This Row],[NO]]="",Tbl_Summary[[#This Row],[NO]]="N/A"),"N/A",
IF(_xlfn.XLOOKUP(Tbl_Summary[[#This Row],[NO]],Tbl_SM[NO],Tbl_SM[ACTUAL FINISH])=0,"N/A",
_xlfn.XLOOKUP(Tbl_Summary[[#This Row],[NO]],Tbl_SM[NO],Tbl_SM[ACTUAL FINISH]))),"N/A")</f>
        <v>N/A</v>
      </c>
      <c r="AO7" s="73" t="str">
        <f>IFERROR(IF(OR(Tbl_Summary[[#This Row],[NO]]="",Tbl_Summary[[#This Row],[NO]]="N/A"),"",_xlfn.XLOOKUP(Tbl_Summary[[#This Row],[NO]],Tbl_SM[NO],Tbl_SM[ACTUAL DURATION])),"")</f>
        <v>No Progress</v>
      </c>
      <c r="AP7" s="72" t="str">
        <f>IFERROR(IF(OR(Tbl_Summary[[#This Row],[NO]]="",Tbl_Summary[[#This Row],[NO]]="N/A"),"",_xlfn.XLOOKUP(Tbl_Summary[[#This Row],[NO]],Tbl_SM[NO],Tbl_SM[STATUS])),"")</f>
        <v>OPEN</v>
      </c>
      <c r="AQ7" s="72" t="str">
        <f ca="1">IFERROR(IF(OR(Tbl_Summary[[#This Row],[NO]]="",Tbl_Summary[[#This Row],[NO]]="N/A"),"",_xlfn.XLOOKUP(Tbl_Summary[[#This Row],[NO]],Tbl_SM[NO],Tbl_SM[DUE STATUS])),"")</f>
        <v>&gt; 14 HARI</v>
      </c>
      <c r="AR7" s="80">
        <f>IFERROR(IF(OR(Tbl_Summary[[#This Row],[NO]]="",Tbl_Summary[[#This Row],[NO]]="N/A"),"",_xlfn.XLOOKUP(Tbl_Summary[[#This Row],[NO]],Tbl_SM[NO],Tbl_SM[COMPLETION])),"")</f>
        <v>0.52666666666666595</v>
      </c>
      <c r="AS7" s="70">
        <f>IFERROR(IF(OR(Tbl_Summary[[#This Row],[NO]]="",Tbl_Summary[[#This Row],[NO]]="N/A"),"",_xlfn.XLOOKUP(Tbl_Summary[[#This Row],[NO]],Tbl_SM[NO],Tbl_SM[COMPLETION_FLAG])),"")</f>
        <v>0</v>
      </c>
      <c r="AU7" s="262" t="s">
        <v>83</v>
      </c>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c r="BV7" s="263"/>
      <c r="BW7" s="263"/>
      <c r="BX7" s="263"/>
      <c r="BY7" s="263"/>
      <c r="BZ7" s="263"/>
      <c r="CA7" s="263"/>
      <c r="CB7" s="264"/>
      <c r="CF7">
        <v>1</v>
      </c>
      <c r="CG7" t="s">
        <v>30</v>
      </c>
      <c r="CH7" t="s">
        <v>2</v>
      </c>
      <c r="CI7" t="s">
        <v>53</v>
      </c>
      <c r="CJ7" s="68">
        <v>0</v>
      </c>
      <c r="CL7" t="s">
        <v>150</v>
      </c>
      <c r="CM7" t="s">
        <v>19</v>
      </c>
      <c r="CN7" t="s">
        <v>22</v>
      </c>
      <c r="CO7">
        <v>2</v>
      </c>
      <c r="CP7" cm="1">
        <f t="array" ref="CP7">IF(INDEX('Activity Plan'!$S$34:$AW$99,
MATCH("*"&amp;TRIM($B7)&amp;"*",'Activity Plan'!$D$35:$D$100,0)+MATCH($C7,{"PLAN";"ACTUAL";"ACHIVE"},0)-1,
MATCH($D7,DAY('Activity Plan'!$S$7:$AW$7),0))=0,
"N/A",
INDEX('Activity Plan'!$S$34:$AW$99,
MATCH("*"&amp;TRIM($B7)&amp;"*",'Activity Plan'!$D$35:$D$100,0)+MATCH($C7,{"PLAN";"ACTUAL";"ACHIVE"},0)-1,
MATCH($D7,DAY('Activity Plan'!$S$7:$AW$7),0)))</f>
        <v>13</v>
      </c>
      <c r="CR7" s="163">
        <v>4</v>
      </c>
      <c r="CS7" s="163" t="s">
        <v>126</v>
      </c>
      <c r="CU7">
        <f>'Activity Plan'!T7</f>
        <v>46175</v>
      </c>
      <c r="CV7" t="s">
        <v>22</v>
      </c>
      <c r="CW7" s="194">
        <f>IFERROR(IF('Activity Plan'!AY33=0,"N/A",'Activity Plan'!AY33),"N/A")</f>
        <v>0.54333333333333178</v>
      </c>
      <c r="CZ7">
        <f t="shared" si="0"/>
        <v>4</v>
      </c>
      <c r="DA7" s="199">
        <f>SUMIFS(TBL_ACHIVEMENT[VALUE],
        TBL_ACHIVEMENT[DATE],TBL_ACHIVEMENT[[#This Row],[DATE]],
        TBL_ACHIVEMENT[CATEGORY],"PLAN")</f>
        <v>0.12666666666666695</v>
      </c>
      <c r="DB7" s="144">
        <f>SUMIFS(TBL_ACHIVEMENT[VALUE],
        TBL_ACHIVEMENT[DATE],TBL_ACHIVEMENT[[#This Row],[DATE]],
        TBL_ACHIVEMENT[CATEGORY],"ACTUAL")</f>
        <v>0.55999999999999817</v>
      </c>
      <c r="DC7" s="198">
        <f>SUMIFS(TBL_DOZER_READINESS[VALUE],
        TBL_DOZER_READINESS[DATE],TBL_DOZER_READINESS[[#This Row],[DATE]],
        TBL_DOZER_READINESS[CATEGORY],"ACTUAL")</f>
        <v>13</v>
      </c>
      <c r="DD7" s="200">
        <f>SUMIFS(TBL_PA_DOZER[VALUE],
TBL_PA_DOZER[DATE],TBL_PA_DOZER[[#This Row],[DATE]],
TBL_PA_DOZER[CATEGORY],"ACTUAL")</f>
        <v>0.8</v>
      </c>
      <c r="DE7">
        <f>SUMIFS(Tbl_MTBF[VALUE],
Tbl_MTBF[DATE],Tbl_MTBF[[#This Row],[DATE]],
Tbl_MTBF[CATEGORY],"ACTUAL")</f>
        <v>60</v>
      </c>
      <c r="DF7">
        <f>SUMIFS(Tbl_MTTR[VALUE],
Tbl_MTTR[DATE],Tbl_MTTR[[#This Row],[DATE]],
Tbl_MTTR[CATEGORY],"ACTUAL")</f>
        <v>60</v>
      </c>
    </row>
    <row r="8" spans="2:110" ht="15.5" x14ac:dyDescent="0.35">
      <c r="B8" t="s">
        <v>19</v>
      </c>
      <c r="C8" t="s">
        <v>21</v>
      </c>
      <c r="D8">
        <v>3</v>
      </c>
      <c r="E8" cm="1">
        <f t="array" ref="E8">IF(INDEX('Activity Plan'!$S$34:$AW$99,
MATCH("*"&amp;TRIM($B8)&amp;"*",'Activity Plan'!$D$35:$D$100,0)+MATCH($C8,{"PLAN";"ACTUAL";"ACHIVE"},0)-1,
MATCH($D8,DAY('Activity Plan'!$S$7:$AW$7),0))=0,
"N/A",
INDEX('Activity Plan'!$S$34:$AW$99,
MATCH("*"&amp;TRIM($B8)&amp;"*",'Activity Plan'!$D$35:$D$100,0)+MATCH($C8,{"PLAN";"ACTUAL";"ACHIVE"},0)-1,
MATCH($D8,DAY('Activity Plan'!$S$7:$AW$7),0)))</f>
        <v>16</v>
      </c>
      <c r="G8" t="s">
        <v>18</v>
      </c>
      <c r="H8" t="s">
        <v>21</v>
      </c>
      <c r="I8">
        <v>3</v>
      </c>
      <c r="J8" s="68" cm="1">
        <f t="array" ref="J8">IF(INDEX('Activity Plan'!$S$34:$AW$99,
MATCH("*"&amp;TRIM($G8)&amp;"*",'Activity Plan'!$D$35:$D$100,0)+MATCH($H8,{"PLAN";"ACTUAL";"ACHIVE"},0)-1,
MATCH($I8,DAY('Activity Plan'!$S$7:$AW$7),0))=0,
"N/A",
INDEX('Activity Plan'!$S$34:$AW$99,
MATCH("*"&amp;TRIM($G8)&amp;"*",'Activity Plan'!$D$35:$D$100,0)+MATCH($H8,{"PLAN";"ACTUAL";"ACHIVE"},0)-1,
MATCH($I8,DAY('Activity Plan'!$S$7:$AW$7),0)))</f>
        <v>0.9</v>
      </c>
      <c r="L8" t="s">
        <v>20</v>
      </c>
      <c r="M8" t="s">
        <v>21</v>
      </c>
      <c r="N8">
        <v>3</v>
      </c>
      <c r="O8" s="71" cm="1">
        <f t="array" ref="O8">IF(INDEX('Activity Plan'!$S$34:$AW$99,
MATCH("*"&amp;TRIM($L8)&amp;"*",'Activity Plan'!$D$35:$D$100,0)+MATCH($M8,{"PLAN";"ACTUAL";"ACHIVE"},0)-1,
MATCH($N8,DAY('Activity Plan'!$S$7:$AW$7),0))=0,
"N/A",
INDEX('Activity Plan'!$S$34:$AW$99,
MATCH("*"&amp;TRIM($L8)&amp;"*",'Activity Plan'!$D$35:$D$100,0)+MATCH($M8,{"PLAN";"ACTUAL";"ACHIVE"},0)-1,
MATCH($N8,DAY('Activity Plan'!$S$7:$AW$7),0)))</f>
        <v>70</v>
      </c>
      <c r="Q8" t="s">
        <v>138</v>
      </c>
      <c r="R8" t="s">
        <v>21</v>
      </c>
      <c r="S8">
        <v>3</v>
      </c>
      <c r="T8" s="71" cm="1">
        <f t="array" ref="T8">IF(INDEX('Activity Plan'!$S$34:$AW$99,
MATCH("*"&amp;TRIM($Q8)&amp;"*",'Activity Plan'!$D$35:$D$100,0)+MATCH($R8,{"PLAN";"ACTUAL";"ACHIVE"},0)-1,
MATCH($S8,DAY('Activity Plan'!$S$7:$AW$7),0))=0,
"N/A",
INDEX('Activity Plan'!$S$34:$AW$99,
MATCH("*"&amp;TRIM($Q8)&amp;"*",'Activity Plan'!$D$35:$D$100,0)+MATCH($R8,{"PLAN";"ACTUAL";"ACHIVE"},0)-1,
MATCH($S8,DAY('Activity Plan'!$S$7:$AW$7),0)))</f>
        <v>80</v>
      </c>
      <c r="U8" s="71"/>
      <c r="V8" t="s">
        <v>19</v>
      </c>
      <c r="W8" t="s">
        <v>39</v>
      </c>
      <c r="X8" s="70">
        <v>5</v>
      </c>
      <c r="Y8" s="69" cm="1">
        <f t="array" ref="Y8">IF(INDEX('Activity Plan'!$S$34:$AW$99,
MATCH("*"&amp;TRIM($V8)&amp;"*",'Activity Plan'!$D$35:$D$100,0)+MATCH($W8,{"PLAN";"ACTUAL";"ACHIVE"},0)-1,
MATCH($X8,DAY('Activity Plan'!$S$7:$AW$7),0))=0,
"N/A",
INDEX('Activity Plan'!$S$34:$AW$99,
MATCH("*"&amp;TRIM($V8)&amp;"*",'Activity Plan'!$D$35:$D$100,0)+MATCH($W8,{"PLAN";"ACTUAL";"ACHIVE"},0)-1,
MATCH($X8,DAY('Activity Plan'!$S$7:$AW$7),0)))</f>
        <v>1</v>
      </c>
      <c r="AA8" t="s">
        <v>40</v>
      </c>
      <c r="AB8" t="s">
        <v>21</v>
      </c>
      <c r="AC8" s="70">
        <v>5</v>
      </c>
      <c r="AD8" s="77">
        <f>'Activity Plan'!W33</f>
        <v>0.15166666666666695</v>
      </c>
      <c r="AF8" s="70">
        <f>IF(ROWS($Z$15:Z19)&gt;COUNTA(Tbl_SM[NO]),"N/A",ROWS($Z$15:Z19))</f>
        <v>5</v>
      </c>
      <c r="AG8" t="str">
        <f>IF(OR(Tbl_Summary[[#This Row],[NO]]="",Tbl_Summary[[#This Row],[NO]]="N/A"),"",_xlfn.XLOOKUP(Tbl_Summary[[#This Row],[NO]],Tbl_SM[NO],Tbl_SM[5 FACTOR]))</f>
        <v>MAN</v>
      </c>
      <c r="AH8" t="str">
        <f>IF(OR(Tbl_Summary[[#This Row],[NO]]="",Tbl_Summary[[#This Row],[NO]]="N/A"),"",_xlfn.XLOOKUP(Tbl_Summary[[#This Row],[NO]],Tbl_SM[NO],Tbl_SM[CATEGORY]))</f>
        <v>Long Term / Development</v>
      </c>
      <c r="AI8" t="str">
        <f>IF(OR(Tbl_Summary[[#This Row],[NO]]="",Tbl_Summary[[#This Row],[NO]]="N/A"),"",_xlfn.XLOOKUP(Tbl_Summary[[#This Row],[NO]],Tbl_SM[NO],Tbl_SM[PIC]))</f>
        <v>PLANT-SLD</v>
      </c>
      <c r="AJ8" s="72">
        <f>IF(OR(Tbl_Summary[[#This Row],[NO]]="",Tbl_Summary[[#This Row],[NO]]="N/A"),"",_xlfn.XLOOKUP(Tbl_Summary[[#This Row],[NO]],Tbl_SM[NO],Tbl_SM[PLAN START]))</f>
        <v>46195</v>
      </c>
      <c r="AK8" s="72">
        <f>IF(OR(Tbl_Summary[[#This Row],[NO]]="",Tbl_Summary[[#This Row],[NO]]="N/A"),"",_xlfn.XLOOKUP(Tbl_Summary[[#This Row],[NO]],Tbl_SM[NO],Tbl_SM[DUE DATA]))</f>
        <v>46248</v>
      </c>
      <c r="AL8" s="70">
        <f>IF(OR(Tbl_Summary[[#This Row],[NO]]="",Tbl_Summary[[#This Row],[NO]]="N/A"),"",_xlfn.XLOOKUP(Tbl_Summary[[#This Row],[NO]],Tbl_SM[NO],Tbl_SM[PLAN DURATION]))</f>
        <v>54</v>
      </c>
      <c r="AM8" s="72">
        <f>IFERROR(IF(OR(Tbl_Summary[[#This Row],[NO]]="",Tbl_Summary[[#This Row],[NO]]="N/A"),"",_xlfn.XLOOKUP(Tbl_Summary[[#This Row],[NO]],Tbl_SM[NO],Tbl_SM[ACTUAL START])),"")</f>
        <v>0</v>
      </c>
      <c r="AN8" s="72" t="str">
        <f>IFERROR(IF(OR(Tbl_Summary[[#This Row],[NO]]="",Tbl_Summary[[#This Row],[NO]]="N/A"),"N/A",
IF(_xlfn.XLOOKUP(Tbl_Summary[[#This Row],[NO]],Tbl_SM[NO],Tbl_SM[ACTUAL FINISH])=0,"N/A",
_xlfn.XLOOKUP(Tbl_Summary[[#This Row],[NO]],Tbl_SM[NO],Tbl_SM[ACTUAL FINISH]))),"N/A")</f>
        <v>N/A</v>
      </c>
      <c r="AO8" s="73" t="str">
        <f>IFERROR(IF(OR(Tbl_Summary[[#This Row],[NO]]="",Tbl_Summary[[#This Row],[NO]]="N/A"),"",_xlfn.XLOOKUP(Tbl_Summary[[#This Row],[NO]],Tbl_SM[NO],Tbl_SM[ACTUAL DURATION])),"")</f>
        <v>No Progress</v>
      </c>
      <c r="AP8" s="72" t="str">
        <f>IFERROR(IF(OR(Tbl_Summary[[#This Row],[NO]]="",Tbl_Summary[[#This Row],[NO]]="N/A"),"",_xlfn.XLOOKUP(Tbl_Summary[[#This Row],[NO]],Tbl_SM[NO],Tbl_SM[STATUS])),"")</f>
        <v>OPEN</v>
      </c>
      <c r="AQ8" s="72" t="str">
        <f ca="1">IFERROR(IF(OR(Tbl_Summary[[#This Row],[NO]]="",Tbl_Summary[[#This Row],[NO]]="N/A"),"",_xlfn.XLOOKUP(Tbl_Summary[[#This Row],[NO]],Tbl_SM[NO],Tbl_SM[DUE STATUS])),"")</f>
        <v>&gt; 14 HARI</v>
      </c>
      <c r="AR8" s="80">
        <f>IFERROR(IF(OR(Tbl_Summary[[#This Row],[NO]]="",Tbl_Summary[[#This Row],[NO]]="N/A"),"",_xlfn.XLOOKUP(Tbl_Summary[[#This Row],[NO]],Tbl_SM[NO],Tbl_SM[COMPLETION])),"")</f>
        <v>0.52666666666666595</v>
      </c>
      <c r="AS8" s="70">
        <f>IFERROR(IF(OR(Tbl_Summary[[#This Row],[NO]]="",Tbl_Summary[[#This Row],[NO]]="N/A"),"",_xlfn.XLOOKUP(Tbl_Summary[[#This Row],[NO]],Tbl_SM[NO],Tbl_SM[COMPLETION_FLAG])),"")</f>
        <v>0</v>
      </c>
      <c r="AU8" s="84" t="s">
        <v>28</v>
      </c>
      <c r="AV8" s="85" t="s">
        <v>31</v>
      </c>
      <c r="AW8" s="85" t="s">
        <v>29</v>
      </c>
      <c r="AX8" s="86" t="s">
        <v>50</v>
      </c>
      <c r="AY8" s="86" t="s">
        <v>51</v>
      </c>
      <c r="AZ8" s="86" t="s">
        <v>52</v>
      </c>
      <c r="BA8" s="86" t="s">
        <v>53</v>
      </c>
      <c r="BB8" s="86" t="s">
        <v>54</v>
      </c>
      <c r="BC8" s="86" t="s">
        <v>55</v>
      </c>
      <c r="BD8" s="86" t="s">
        <v>56</v>
      </c>
      <c r="BE8" s="86" t="s">
        <v>57</v>
      </c>
      <c r="BF8" s="86" t="s">
        <v>58</v>
      </c>
      <c r="BG8" s="86" t="s">
        <v>59</v>
      </c>
      <c r="BH8" s="86" t="s">
        <v>60</v>
      </c>
      <c r="BI8" s="86" t="s">
        <v>61</v>
      </c>
      <c r="BJ8" s="86" t="s">
        <v>62</v>
      </c>
      <c r="BK8" s="86" t="s">
        <v>63</v>
      </c>
      <c r="BL8" s="86" t="s">
        <v>64</v>
      </c>
      <c r="BM8" s="86" t="s">
        <v>65</v>
      </c>
      <c r="BN8" s="86" t="s">
        <v>66</v>
      </c>
      <c r="BO8" s="86" t="s">
        <v>67</v>
      </c>
      <c r="BP8" s="86" t="s">
        <v>68</v>
      </c>
      <c r="BQ8" s="86" t="s">
        <v>69</v>
      </c>
      <c r="BR8" s="86" t="s">
        <v>70</v>
      </c>
      <c r="BS8" s="86" t="s">
        <v>71</v>
      </c>
      <c r="BT8" s="86" t="s">
        <v>72</v>
      </c>
      <c r="BU8" s="86" t="s">
        <v>73</v>
      </c>
      <c r="BV8" s="86" t="s">
        <v>74</v>
      </c>
      <c r="BW8" s="86" t="s">
        <v>75</v>
      </c>
      <c r="BX8" s="86" t="s">
        <v>76</v>
      </c>
      <c r="BY8" s="86" t="s">
        <v>77</v>
      </c>
      <c r="BZ8" s="86" t="s">
        <v>78</v>
      </c>
      <c r="CA8" s="86" t="s">
        <v>79</v>
      </c>
      <c r="CB8" s="86" t="s">
        <v>80</v>
      </c>
      <c r="CF8">
        <v>1</v>
      </c>
      <c r="CG8" t="s">
        <v>30</v>
      </c>
      <c r="CH8" t="s">
        <v>2</v>
      </c>
      <c r="CI8" t="s">
        <v>54</v>
      </c>
      <c r="CJ8" s="68">
        <v>0</v>
      </c>
      <c r="CL8" t="s">
        <v>150</v>
      </c>
      <c r="CM8" t="s">
        <v>19</v>
      </c>
      <c r="CN8" t="s">
        <v>21</v>
      </c>
      <c r="CO8">
        <v>3</v>
      </c>
      <c r="CP8" cm="1">
        <f t="array" ref="CP8">IF(INDEX('Activity Plan'!$S$34:$AW$99,
MATCH("*"&amp;TRIM($B8)&amp;"*",'Activity Plan'!$D$35:$D$100,0)+MATCH($C8,{"PLAN";"ACTUAL";"ACHIVE"},0)-1,
MATCH($D8,DAY('Activity Plan'!$S$7:$AW$7),0))=0,
"N/A",
INDEX('Activity Plan'!$S$34:$AW$99,
MATCH("*"&amp;TRIM($B8)&amp;"*",'Activity Plan'!$D$35:$D$100,0)+MATCH($C8,{"PLAN";"ACTUAL";"ACHIVE"},0)-1,
MATCH($D8,DAY('Activity Plan'!$S$7:$AW$7),0)))</f>
        <v>16</v>
      </c>
      <c r="CR8" s="163">
        <v>5</v>
      </c>
      <c r="CS8" s="163" t="s">
        <v>127</v>
      </c>
      <c r="CU8">
        <f>'Activity Plan'!U7</f>
        <v>46176</v>
      </c>
      <c r="CV8" t="s">
        <v>21</v>
      </c>
      <c r="CW8" s="194">
        <f>IFERROR(IF('Activity Plan'!U33=0,"N/A",'Activity Plan'!U33),"N/A")</f>
        <v>0.10000000000000003</v>
      </c>
      <c r="CZ8">
        <f t="shared" si="0"/>
        <v>5</v>
      </c>
      <c r="DA8" s="199">
        <f>SUMIFS(TBL_ACHIVEMENT[VALUE],
        TBL_ACHIVEMENT[DATE],TBL_ACHIVEMENT[[#This Row],[DATE]],
        TBL_ACHIVEMENT[CATEGORY],"PLAN")</f>
        <v>0.15166666666666695</v>
      </c>
      <c r="DB8" s="144">
        <f>SUMIFS(TBL_ACHIVEMENT[VALUE],
        TBL_ACHIVEMENT[DATE],TBL_ACHIVEMENT[[#This Row],[DATE]],
        TBL_ACHIVEMENT[CATEGORY],"ACTUAL")</f>
        <v>0.56833333333333114</v>
      </c>
      <c r="DC8" s="198">
        <f>SUMIFS(TBL_DOZER_READINESS[VALUE],
        TBL_DOZER_READINESS[DATE],TBL_DOZER_READINESS[[#This Row],[DATE]],
        TBL_DOZER_READINESS[CATEGORY],"ACTUAL")</f>
        <v>14</v>
      </c>
      <c r="DD8" s="200">
        <f>SUMIFS(TBL_PA_DOZER[VALUE],
TBL_PA_DOZER[DATE],TBL_PA_DOZER[[#This Row],[DATE]],
TBL_PA_DOZER[CATEGORY],"ACTUAL")</f>
        <v>0.83</v>
      </c>
      <c r="DE8">
        <f>SUMIFS(Tbl_MTBF[VALUE],
Tbl_MTBF[DATE],Tbl_MTBF[[#This Row],[DATE]],
Tbl_MTBF[CATEGORY],"ACTUAL")</f>
        <v>50</v>
      </c>
      <c r="DF8">
        <f>SUMIFS(Tbl_MTTR[VALUE],
Tbl_MTTR[DATE],Tbl_MTTR[[#This Row],[DATE]],
Tbl_MTTR[CATEGORY],"ACTUAL")</f>
        <v>50</v>
      </c>
    </row>
    <row r="9" spans="2:110" x14ac:dyDescent="0.35">
      <c r="B9" t="s">
        <v>19</v>
      </c>
      <c r="C9" t="s">
        <v>22</v>
      </c>
      <c r="D9">
        <v>3</v>
      </c>
      <c r="E9" cm="1">
        <f t="array" ref="E9">IF(INDEX('Activity Plan'!$S$34:$AW$99,
MATCH("*"&amp;TRIM($B9)&amp;"*",'Activity Plan'!$D$35:$D$100,0)+MATCH($C9,{"PLAN";"ACTUAL";"ACHIVE"},0)-1,
MATCH($D9,DAY('Activity Plan'!$S$7:$AW$7),0))=0,
"N/A",
INDEX('Activity Plan'!$S$34:$AW$99,
MATCH("*"&amp;TRIM($B9)&amp;"*",'Activity Plan'!$D$35:$D$100,0)+MATCH($C9,{"PLAN";"ACTUAL";"ACHIVE"},0)-1,
MATCH($D9,DAY('Activity Plan'!$S$7:$AW$7),0)))</f>
        <v>14</v>
      </c>
      <c r="G9" t="s">
        <v>18</v>
      </c>
      <c r="H9" t="s">
        <v>22</v>
      </c>
      <c r="I9">
        <v>3</v>
      </c>
      <c r="J9" s="68" cm="1">
        <f t="array" ref="J9">IF(INDEX('Activity Plan'!$S$34:$AW$99,
MATCH("*"&amp;TRIM($G9)&amp;"*",'Activity Plan'!$D$35:$D$100,0)+MATCH($H9,{"PLAN";"ACTUAL";"ACHIVE"},0)-1,
MATCH($I9,DAY('Activity Plan'!$S$7:$AW$7),0))=0,
"N/A",
INDEX('Activity Plan'!$S$34:$AW$99,
MATCH("*"&amp;TRIM($G9)&amp;"*",'Activity Plan'!$D$35:$D$100,0)+MATCH($H9,{"PLAN";"ACTUAL";"ACHIVE"},0)-1,
MATCH($I9,DAY('Activity Plan'!$S$7:$AW$7),0)))</f>
        <v>0.83</v>
      </c>
      <c r="L9" t="s">
        <v>20</v>
      </c>
      <c r="M9" t="s">
        <v>22</v>
      </c>
      <c r="N9">
        <v>3</v>
      </c>
      <c r="O9" s="71" cm="1">
        <f t="array" ref="O9">IF(INDEX('Activity Plan'!$S$34:$AW$99,
MATCH("*"&amp;TRIM($L9)&amp;"*",'Activity Plan'!$D$35:$D$100,0)+MATCH($M9,{"PLAN";"ACTUAL";"ACHIVE"},0)-1,
MATCH($N9,DAY('Activity Plan'!$S$7:$AW$7),0))=0,
"N/A",
INDEX('Activity Plan'!$S$34:$AW$99,
MATCH("*"&amp;TRIM($L9)&amp;"*",'Activity Plan'!$D$35:$D$100,0)+MATCH($M9,{"PLAN";"ACTUAL";"ACHIVE"},0)-1,
MATCH($N9,DAY('Activity Plan'!$S$7:$AW$7),0)))</f>
        <v>50</v>
      </c>
      <c r="Q9" t="s">
        <v>138</v>
      </c>
      <c r="R9" t="s">
        <v>22</v>
      </c>
      <c r="S9">
        <v>3</v>
      </c>
      <c r="T9" s="71" cm="1">
        <f t="array" ref="T9">IF(INDEX('Activity Plan'!$S$34:$AW$99,
MATCH("*"&amp;TRIM($Q9)&amp;"*",'Activity Plan'!$D$35:$D$100,0)+MATCH($R9,{"PLAN";"ACTUAL";"ACHIVE"},0)-1,
MATCH($S9,DAY('Activity Plan'!$S$7:$AW$7),0))=0,
"N/A",
INDEX('Activity Plan'!$S$34:$AW$99,
MATCH("*"&amp;TRIM($Q9)&amp;"*",'Activity Plan'!$D$35:$D$100,0)+MATCH($R9,{"PLAN";"ACTUAL";"ACHIVE"},0)-1,
MATCH($S9,DAY('Activity Plan'!$S$7:$AW$7),0)))</f>
        <v>50</v>
      </c>
      <c r="U9" s="71"/>
      <c r="V9" t="s">
        <v>19</v>
      </c>
      <c r="W9" t="s">
        <v>39</v>
      </c>
      <c r="X9" s="70">
        <v>6</v>
      </c>
      <c r="Y9" s="69" cm="1">
        <f t="array" ref="Y9">IF(INDEX('Activity Plan'!$S$34:$AW$99,
MATCH("*"&amp;TRIM($V9)&amp;"*",'Activity Plan'!$D$35:$D$100,0)+MATCH($W9,{"PLAN";"ACTUAL";"ACHIVE"},0)-1,
MATCH($X9,DAY('Activity Plan'!$S$7:$AW$7),0))=0,
"N/A",
INDEX('Activity Plan'!$S$34:$AW$99,
MATCH("*"&amp;TRIM($V9)&amp;"*",'Activity Plan'!$D$35:$D$100,0)+MATCH($W9,{"PLAN";"ACTUAL";"ACHIVE"},0)-1,
MATCH($X9,DAY('Activity Plan'!$S$7:$AW$7),0)))</f>
        <v>0.875</v>
      </c>
      <c r="AA9" t="s">
        <v>40</v>
      </c>
      <c r="AB9" t="s">
        <v>21</v>
      </c>
      <c r="AC9" s="70">
        <v>6</v>
      </c>
      <c r="AD9" s="77">
        <f>'Activity Plan'!X33</f>
        <v>0.17666666666666708</v>
      </c>
      <c r="AF9" s="70">
        <f>IF(ROWS($Z$15:Z20)&gt;COUNTA(Tbl_SM[NO]),"N/A",ROWS($Z$15:Z20))</f>
        <v>6</v>
      </c>
      <c r="AG9" t="str">
        <f>IF(OR(Tbl_Summary[[#This Row],[NO]]="",Tbl_Summary[[#This Row],[NO]]="N/A"),"",_xlfn.XLOOKUP(Tbl_Summary[[#This Row],[NO]],Tbl_SM[NO],Tbl_SM[5 FACTOR]))</f>
        <v>METHOD</v>
      </c>
      <c r="AH9" t="str">
        <f>IF(OR(Tbl_Summary[[#This Row],[NO]]="",Tbl_Summary[[#This Row],[NO]]="N/A"),"",_xlfn.XLOOKUP(Tbl_Summary[[#This Row],[NO]],Tbl_SM[NO],Tbl_SM[CATEGORY]))</f>
        <v>Quick Action</v>
      </c>
      <c r="AI9" t="str">
        <f>IF(OR(Tbl_Summary[[#This Row],[NO]]="",Tbl_Summary[[#This Row],[NO]]="N/A"),"",_xlfn.XLOOKUP(Tbl_Summary[[#This Row],[NO]],Tbl_SM[NO],Tbl_SM[PIC]))</f>
        <v>GS-PLANT-SHE</v>
      </c>
      <c r="AJ9" s="72">
        <f>IF(OR(Tbl_Summary[[#This Row],[NO]]="",Tbl_Summary[[#This Row],[NO]]="N/A"),"",_xlfn.XLOOKUP(Tbl_Summary[[#This Row],[NO]],Tbl_SM[NO],Tbl_SM[PLAN START]))</f>
        <v>46181</v>
      </c>
      <c r="AK9" s="72">
        <f>IF(OR(Tbl_Summary[[#This Row],[NO]]="",Tbl_Summary[[#This Row],[NO]]="N/A"),"",_xlfn.XLOOKUP(Tbl_Summary[[#This Row],[NO]],Tbl_SM[NO],Tbl_SM[DUE DATA]))</f>
        <v>46199</v>
      </c>
      <c r="AL9" s="70">
        <f>IF(OR(Tbl_Summary[[#This Row],[NO]]="",Tbl_Summary[[#This Row],[NO]]="N/A"),"",_xlfn.XLOOKUP(Tbl_Summary[[#This Row],[NO]],Tbl_SM[NO],Tbl_SM[PLAN DURATION]))</f>
        <v>19</v>
      </c>
      <c r="AM9" s="72">
        <f>IFERROR(IF(OR(Tbl_Summary[[#This Row],[NO]]="",Tbl_Summary[[#This Row],[NO]]="N/A"),"",_xlfn.XLOOKUP(Tbl_Summary[[#This Row],[NO]],Tbl_SM[NO],Tbl_SM[ACTUAL START])),"")</f>
        <v>0</v>
      </c>
      <c r="AN9" s="72" t="str">
        <f>IFERROR(IF(OR(Tbl_Summary[[#This Row],[NO]]="",Tbl_Summary[[#This Row],[NO]]="N/A"),"N/A",
IF(_xlfn.XLOOKUP(Tbl_Summary[[#This Row],[NO]],Tbl_SM[NO],Tbl_SM[ACTUAL FINISH])=0,"N/A",
_xlfn.XLOOKUP(Tbl_Summary[[#This Row],[NO]],Tbl_SM[NO],Tbl_SM[ACTUAL FINISH]))),"N/A")</f>
        <v>N/A</v>
      </c>
      <c r="AO9" s="73" t="str">
        <f>IFERROR(IF(OR(Tbl_Summary[[#This Row],[NO]]="",Tbl_Summary[[#This Row],[NO]]="N/A"),"",_xlfn.XLOOKUP(Tbl_Summary[[#This Row],[NO]],Tbl_SM[NO],Tbl_SM[ACTUAL DURATION])),"")</f>
        <v>No Progress</v>
      </c>
      <c r="AP9" s="72" t="str">
        <f>IFERROR(IF(OR(Tbl_Summary[[#This Row],[NO]]="",Tbl_Summary[[#This Row],[NO]]="N/A"),"",_xlfn.XLOOKUP(Tbl_Summary[[#This Row],[NO]],Tbl_SM[NO],Tbl_SM[STATUS])),"")</f>
        <v>OPEN</v>
      </c>
      <c r="AQ9" s="72" t="str">
        <f ca="1">IFERROR(IF(OR(Tbl_Summary[[#This Row],[NO]]="",Tbl_Summary[[#This Row],[NO]]="N/A"),"",_xlfn.XLOOKUP(Tbl_Summary[[#This Row],[NO]],Tbl_SM[NO],Tbl_SM[DUE STATUS])),"")</f>
        <v>&gt; 14 HARI</v>
      </c>
      <c r="AR9" s="80">
        <f>IFERROR(IF(OR(Tbl_Summary[[#This Row],[NO]]="",Tbl_Summary[[#This Row],[NO]]="N/A"),"",_xlfn.XLOOKUP(Tbl_Summary[[#This Row],[NO]],Tbl_SM[NO],Tbl_SM[COMPLETION])),"")</f>
        <v>0.52666666666666595</v>
      </c>
      <c r="AS9" s="70">
        <f>IFERROR(IF(OR(Tbl_Summary[[#This Row],[NO]]="",Tbl_Summary[[#This Row],[NO]]="N/A"),"",_xlfn.XLOOKUP(Tbl_Summary[[#This Row],[NO]],Tbl_SM[NO],Tbl_SM[COMPLETION_FLAG])),"")</f>
        <v>0</v>
      </c>
      <c r="AU9" s="70">
        <f>IF(ROWS($Z$15:Z15)&gt;COUNTA(Tbl_SM[NO]),"N/A",ROWS($Z$15:Z15))</f>
        <v>1</v>
      </c>
      <c r="AV9" s="81" t="str">
        <f>IF(OR(Table8[[#This Row],[NO]]="",Table8[[#This Row],[NO]]="N/A"),"",_xlfn.XLOOKUP(Table8[[#This Row],[NO]],Tbl_SM[NO],Tbl_SM[5 FACTOR]))</f>
        <v>MAN</v>
      </c>
      <c r="AW9" t="str">
        <f>IF(OR(Table8[[#This Row],[NO]]="",Table8[[#This Row],[NO]]="N/A"),"",_xlfn.XLOOKUP(Table8[[#This Row],[NO]],Tbl_SM[NO],Tbl_SM[CATEGORY]))</f>
        <v>Quick Action</v>
      </c>
      <c r="AX9" s="77">
        <f>'Activity Plan'!GU8</f>
        <v>1</v>
      </c>
      <c r="AY9" s="77">
        <f>'Activity Plan'!GV8</f>
        <v>1</v>
      </c>
      <c r="AZ9" s="77">
        <f>'Activity Plan'!GW8</f>
        <v>1</v>
      </c>
      <c r="BA9" s="77">
        <f>'Activity Plan'!GX8</f>
        <v>1</v>
      </c>
      <c r="BB9" s="77">
        <f>'Activity Plan'!GY8</f>
        <v>1</v>
      </c>
      <c r="BC9" s="77">
        <f>'Activity Plan'!GZ8</f>
        <v>1</v>
      </c>
      <c r="BD9" s="77">
        <f>'Activity Plan'!HA8</f>
        <v>1</v>
      </c>
      <c r="BE9" s="77">
        <f>'Activity Plan'!HB8</f>
        <v>1</v>
      </c>
      <c r="BF9" s="77">
        <f>'Activity Plan'!HC8</f>
        <v>1</v>
      </c>
      <c r="BG9" s="77">
        <f>'Activity Plan'!HD8</f>
        <v>1</v>
      </c>
      <c r="BH9" s="77">
        <f>'Activity Plan'!HE8</f>
        <v>1</v>
      </c>
      <c r="BI9" s="77">
        <f>'Activity Plan'!HF8</f>
        <v>1</v>
      </c>
      <c r="BJ9" s="77">
        <f>'Activity Plan'!HG8</f>
        <v>1</v>
      </c>
      <c r="BK9" s="77">
        <f>'Activity Plan'!HH8</f>
        <v>1</v>
      </c>
      <c r="BL9" s="77">
        <f>'Activity Plan'!HI8</f>
        <v>1</v>
      </c>
      <c r="BM9" s="77">
        <f>'Activity Plan'!HJ8</f>
        <v>1</v>
      </c>
      <c r="BN9" s="77">
        <f>'Activity Plan'!HK8</f>
        <v>1</v>
      </c>
      <c r="BO9" s="77">
        <f>'Activity Plan'!HL8</f>
        <v>1</v>
      </c>
      <c r="BP9" s="77">
        <f>'Activity Plan'!HM8</f>
        <v>1</v>
      </c>
      <c r="BQ9" s="77">
        <f>'Activity Plan'!HN8</f>
        <v>1</v>
      </c>
      <c r="BR9" s="77">
        <f>'Activity Plan'!HO8</f>
        <v>1</v>
      </c>
      <c r="BS9" s="77">
        <f>'Activity Plan'!HP8</f>
        <v>1</v>
      </c>
      <c r="BT9" s="77">
        <f>'Activity Plan'!HQ8</f>
        <v>1</v>
      </c>
      <c r="BU9" s="77">
        <f>'Activity Plan'!HR8</f>
        <v>1</v>
      </c>
      <c r="BV9" s="77">
        <f>'Activity Plan'!HS8</f>
        <v>1</v>
      </c>
      <c r="BW9" s="77">
        <f>'Activity Plan'!HT8</f>
        <v>1</v>
      </c>
      <c r="BX9" s="77">
        <f>'Activity Plan'!HU8</f>
        <v>1</v>
      </c>
      <c r="BY9" s="77">
        <f>'Activity Plan'!HV8</f>
        <v>1</v>
      </c>
      <c r="BZ9" s="77">
        <f>'Activity Plan'!HW8</f>
        <v>1</v>
      </c>
      <c r="CA9" s="77">
        <f>'Activity Plan'!HX8</f>
        <v>1</v>
      </c>
      <c r="CB9" s="77">
        <f>'Activity Plan'!HY8</f>
        <v>1</v>
      </c>
      <c r="CF9">
        <v>1</v>
      </c>
      <c r="CG9" t="s">
        <v>30</v>
      </c>
      <c r="CH9" t="s">
        <v>2</v>
      </c>
      <c r="CI9" t="s">
        <v>55</v>
      </c>
      <c r="CJ9" s="68">
        <v>0</v>
      </c>
      <c r="CL9" t="s">
        <v>150</v>
      </c>
      <c r="CM9" t="s">
        <v>19</v>
      </c>
      <c r="CN9" t="s">
        <v>22</v>
      </c>
      <c r="CO9">
        <v>3</v>
      </c>
      <c r="CP9" cm="1">
        <f t="array" ref="CP9">IF(INDEX('Activity Plan'!$S$34:$AW$99,
MATCH("*"&amp;TRIM($B9)&amp;"*",'Activity Plan'!$D$35:$D$100,0)+MATCH($C9,{"PLAN";"ACTUAL";"ACHIVE"},0)-1,
MATCH($D9,DAY('Activity Plan'!$S$7:$AW$7),0))=0,
"N/A",
INDEX('Activity Plan'!$S$34:$AW$99,
MATCH("*"&amp;TRIM($B9)&amp;"*",'Activity Plan'!$D$35:$D$100,0)+MATCH($C9,{"PLAN";"ACTUAL";"ACHIVE"},0)-1,
MATCH($D9,DAY('Activity Plan'!$S$7:$AW$7),0)))</f>
        <v>14</v>
      </c>
      <c r="CR9" s="163">
        <v>6</v>
      </c>
      <c r="CS9" s="163" t="s">
        <v>17</v>
      </c>
      <c r="CU9">
        <f>'Activity Plan'!U7</f>
        <v>46176</v>
      </c>
      <c r="CV9" t="s">
        <v>22</v>
      </c>
      <c r="CW9" s="194">
        <f>IFERROR(IF('Activity Plan'!AZ33=0,"N/A",'Activity Plan'!AZ33),"N/A")</f>
        <v>0.55166666666666531</v>
      </c>
      <c r="CZ9">
        <f t="shared" si="0"/>
        <v>6</v>
      </c>
      <c r="DA9" s="199">
        <f>SUMIFS(TBL_ACHIVEMENT[VALUE],
        TBL_ACHIVEMENT[DATE],TBL_ACHIVEMENT[[#This Row],[DATE]],
        TBL_ACHIVEMENT[CATEGORY],"PLAN")</f>
        <v>0.17666666666666708</v>
      </c>
      <c r="DB9" s="144">
        <f>SUMIFS(TBL_ACHIVEMENT[VALUE],
        TBL_ACHIVEMENT[DATE],TBL_ACHIVEMENT[[#This Row],[DATE]],
        TBL_ACHIVEMENT[CATEGORY],"ACTUAL")</f>
        <v>0.59999999999999976</v>
      </c>
      <c r="DC9" s="198">
        <f>SUMIFS(TBL_DOZER_READINESS[VALUE],
        TBL_DOZER_READINESS[DATE],TBL_DOZER_READINESS[[#This Row],[DATE]],
        TBL_DOZER_READINESS[CATEGORY],"ACTUAL")</f>
        <v>14</v>
      </c>
      <c r="DD9" s="200">
        <f>SUMIFS(TBL_PA_DOZER[VALUE],
TBL_PA_DOZER[DATE],TBL_PA_DOZER[[#This Row],[DATE]],
TBL_PA_DOZER[CATEGORY],"ACTUAL")</f>
        <v>0.83</v>
      </c>
      <c r="DE9">
        <f>SUMIFS(Tbl_MTBF[VALUE],
Tbl_MTBF[DATE],Tbl_MTBF[[#This Row],[DATE]],
Tbl_MTBF[CATEGORY],"ACTUAL")</f>
        <v>50</v>
      </c>
      <c r="DF9">
        <f>SUMIFS(Tbl_MTTR[VALUE],
Tbl_MTTR[DATE],Tbl_MTTR[[#This Row],[DATE]],
Tbl_MTTR[CATEGORY],"ACTUAL")</f>
        <v>50</v>
      </c>
    </row>
    <row r="10" spans="2:110" x14ac:dyDescent="0.35">
      <c r="B10" t="s">
        <v>19</v>
      </c>
      <c r="C10" t="s">
        <v>21</v>
      </c>
      <c r="D10">
        <v>4</v>
      </c>
      <c r="E10" cm="1">
        <f t="array" ref="E10">IF(INDEX('Activity Plan'!$S$34:$AW$99,
MATCH("*"&amp;TRIM($B10)&amp;"*",'Activity Plan'!$D$35:$D$100,0)+MATCH($C10,{"PLAN";"ACTUAL";"ACHIVE"},0)-1,
MATCH($D10,DAY('Activity Plan'!$S$7:$AW$7),0))=0,
"N/A",
INDEX('Activity Plan'!$S$34:$AW$99,
MATCH("*"&amp;TRIM($B10)&amp;"*",'Activity Plan'!$D$35:$D$100,0)+MATCH($C10,{"PLAN";"ACTUAL";"ACHIVE"},0)-1,
MATCH($D10,DAY('Activity Plan'!$S$7:$AW$7),0)))</f>
        <v>16</v>
      </c>
      <c r="G10" t="s">
        <v>18</v>
      </c>
      <c r="H10" t="s">
        <v>21</v>
      </c>
      <c r="I10">
        <v>4</v>
      </c>
      <c r="J10" s="68" cm="1">
        <f t="array" ref="J10">IF(INDEX('Activity Plan'!$S$34:$AW$99,
MATCH("*"&amp;TRIM($G10)&amp;"*",'Activity Plan'!$D$35:$D$100,0)+MATCH($H10,{"PLAN";"ACTUAL";"ACHIVE"},0)-1,
MATCH($I10,DAY('Activity Plan'!$S$7:$AW$7),0))=0,
"N/A",
INDEX('Activity Plan'!$S$34:$AW$99,
MATCH("*"&amp;TRIM($G10)&amp;"*",'Activity Plan'!$D$35:$D$100,0)+MATCH($H10,{"PLAN";"ACTUAL";"ACHIVE"},0)-1,
MATCH($I10,DAY('Activity Plan'!$S$7:$AW$7),0)))</f>
        <v>0.9</v>
      </c>
      <c r="L10" t="s">
        <v>20</v>
      </c>
      <c r="M10" t="s">
        <v>21</v>
      </c>
      <c r="N10">
        <v>4</v>
      </c>
      <c r="O10" s="71" cm="1">
        <f t="array" ref="O10">IF(INDEX('Activity Plan'!$S$34:$AW$99,
MATCH("*"&amp;TRIM($L10)&amp;"*",'Activity Plan'!$D$35:$D$100,0)+MATCH($M10,{"PLAN";"ACTUAL";"ACHIVE"},0)-1,
MATCH($N10,DAY('Activity Plan'!$S$7:$AW$7),0))=0,
"N/A",
INDEX('Activity Plan'!$S$34:$AW$99,
MATCH("*"&amp;TRIM($L10)&amp;"*",'Activity Plan'!$D$35:$D$100,0)+MATCH($M10,{"PLAN";"ACTUAL";"ACHIVE"},0)-1,
MATCH($N10,DAY('Activity Plan'!$S$7:$AW$7),0)))</f>
        <v>70</v>
      </c>
      <c r="Q10" t="s">
        <v>138</v>
      </c>
      <c r="R10" t="s">
        <v>21</v>
      </c>
      <c r="S10">
        <v>4</v>
      </c>
      <c r="T10" s="71" cm="1">
        <f t="array" ref="T10">IF(INDEX('Activity Plan'!$S$34:$AW$99,
MATCH("*"&amp;TRIM($Q10)&amp;"*",'Activity Plan'!$D$35:$D$100,0)+MATCH($R10,{"PLAN";"ACTUAL";"ACHIVE"},0)-1,
MATCH($S10,DAY('Activity Plan'!$S$7:$AW$7),0))=0,
"N/A",
INDEX('Activity Plan'!$S$34:$AW$99,
MATCH("*"&amp;TRIM($Q10)&amp;"*",'Activity Plan'!$D$35:$D$100,0)+MATCH($R10,{"PLAN";"ACTUAL";"ACHIVE"},0)-1,
MATCH($S10,DAY('Activity Plan'!$S$7:$AW$7),0)))</f>
        <v>80</v>
      </c>
      <c r="U10" s="71"/>
      <c r="V10" t="s">
        <v>19</v>
      </c>
      <c r="W10" t="s">
        <v>39</v>
      </c>
      <c r="X10" s="70">
        <v>7</v>
      </c>
      <c r="Y10" s="69" cm="1">
        <f t="array" ref="Y10">IF(INDEX('Activity Plan'!$S$34:$AW$99,
MATCH("*"&amp;TRIM($V10)&amp;"*",'Activity Plan'!$D$35:$D$100,0)+MATCH($W10,{"PLAN";"ACTUAL";"ACHIVE"},0)-1,
MATCH($X10,DAY('Activity Plan'!$S$7:$AW$7),0))=0,
"N/A",
INDEX('Activity Plan'!$S$34:$AW$99,
MATCH("*"&amp;TRIM($V10)&amp;"*",'Activity Plan'!$D$35:$D$100,0)+MATCH($W10,{"PLAN";"ACTUAL";"ACHIVE"},0)-1,
MATCH($X10,DAY('Activity Plan'!$S$7:$AW$7),0)))</f>
        <v>1</v>
      </c>
      <c r="AA10" t="s">
        <v>40</v>
      </c>
      <c r="AB10" t="s">
        <v>21</v>
      </c>
      <c r="AC10" s="70">
        <v>7</v>
      </c>
      <c r="AD10" s="77">
        <f>'Activity Plan'!Y33</f>
        <v>0.20166666666666708</v>
      </c>
      <c r="AF10" s="70">
        <f>IF(ROWS($Z$15:Z21)&gt;COUNTA(Tbl_SM[NO]),"N/A",ROWS($Z$15:Z21))</f>
        <v>7</v>
      </c>
      <c r="AG10" t="str">
        <f>IF(OR(Tbl_Summary[[#This Row],[NO]]="",Tbl_Summary[[#This Row],[NO]]="N/A"),"",_xlfn.XLOOKUP(Tbl_Summary[[#This Row],[NO]],Tbl_SM[NO],Tbl_SM[5 FACTOR]))</f>
        <v>METHOD</v>
      </c>
      <c r="AH10" t="str">
        <f>IF(OR(Tbl_Summary[[#This Row],[NO]]="",Tbl_Summary[[#This Row],[NO]]="N/A"),"",_xlfn.XLOOKUP(Tbl_Summary[[#This Row],[NO]],Tbl_SM[NO],Tbl_SM[CATEGORY]))</f>
        <v>Quick Action</v>
      </c>
      <c r="AI10" t="str">
        <f>IF(OR(Tbl_Summary[[#This Row],[NO]]="",Tbl_Summary[[#This Row],[NO]]="N/A"),"",_xlfn.XLOOKUP(Tbl_Summary[[#This Row],[NO]],Tbl_SM[NO],Tbl_SM[PIC]))</f>
        <v>GS-PLANT</v>
      </c>
      <c r="AJ10" s="72">
        <f>IF(OR(Tbl_Summary[[#This Row],[NO]]="",Tbl_Summary[[#This Row],[NO]]="N/A"),"",_xlfn.XLOOKUP(Tbl_Summary[[#This Row],[NO]],Tbl_SM[NO],Tbl_SM[PLAN START]))</f>
        <v>46188</v>
      </c>
      <c r="AK10" s="72">
        <f>IF(OR(Tbl_Summary[[#This Row],[NO]]="",Tbl_Summary[[#This Row],[NO]]="N/A"),"",_xlfn.XLOOKUP(Tbl_Summary[[#This Row],[NO]],Tbl_SM[NO],Tbl_SM[DUE DATA]))</f>
        <v>46206</v>
      </c>
      <c r="AL10" s="70">
        <f>IF(OR(Tbl_Summary[[#This Row],[NO]]="",Tbl_Summary[[#This Row],[NO]]="N/A"),"",_xlfn.XLOOKUP(Tbl_Summary[[#This Row],[NO]],Tbl_SM[NO],Tbl_SM[PLAN DURATION]))</f>
        <v>19</v>
      </c>
      <c r="AM10" s="72">
        <f>IFERROR(IF(OR(Tbl_Summary[[#This Row],[NO]]="",Tbl_Summary[[#This Row],[NO]]="N/A"),"",_xlfn.XLOOKUP(Tbl_Summary[[#This Row],[NO]],Tbl_SM[NO],Tbl_SM[ACTUAL START])),"")</f>
        <v>0</v>
      </c>
      <c r="AN10" s="72" t="str">
        <f>IFERROR(IF(OR(Tbl_Summary[[#This Row],[NO]]="",Tbl_Summary[[#This Row],[NO]]="N/A"),"N/A",
IF(_xlfn.XLOOKUP(Tbl_Summary[[#This Row],[NO]],Tbl_SM[NO],Tbl_SM[ACTUAL FINISH])=0,"N/A",
_xlfn.XLOOKUP(Tbl_Summary[[#This Row],[NO]],Tbl_SM[NO],Tbl_SM[ACTUAL FINISH]))),"N/A")</f>
        <v>N/A</v>
      </c>
      <c r="AO10" s="73" t="str">
        <f>IFERROR(IF(OR(Tbl_Summary[[#This Row],[NO]]="",Tbl_Summary[[#This Row],[NO]]="N/A"),"",_xlfn.XLOOKUP(Tbl_Summary[[#This Row],[NO]],Tbl_SM[NO],Tbl_SM[ACTUAL DURATION])),"")</f>
        <v>No Progress</v>
      </c>
      <c r="AP10" s="72" t="str">
        <f>IFERROR(IF(OR(Tbl_Summary[[#This Row],[NO]]="",Tbl_Summary[[#This Row],[NO]]="N/A"),"",_xlfn.XLOOKUP(Tbl_Summary[[#This Row],[NO]],Tbl_SM[NO],Tbl_SM[STATUS])),"")</f>
        <v>OPEN</v>
      </c>
      <c r="AQ10" s="72" t="str">
        <f ca="1">IFERROR(IF(OR(Tbl_Summary[[#This Row],[NO]]="",Tbl_Summary[[#This Row],[NO]]="N/A"),"",_xlfn.XLOOKUP(Tbl_Summary[[#This Row],[NO]],Tbl_SM[NO],Tbl_SM[DUE STATUS])),"")</f>
        <v>&gt; 14 HARI</v>
      </c>
      <c r="AR10" s="80">
        <f>IFERROR(IF(OR(Tbl_Summary[[#This Row],[NO]]="",Tbl_Summary[[#This Row],[NO]]="N/A"),"",_xlfn.XLOOKUP(Tbl_Summary[[#This Row],[NO]],Tbl_SM[NO],Tbl_SM[COMPLETION])),"")</f>
        <v>0.52666666666666595</v>
      </c>
      <c r="AS10" s="70">
        <f>IFERROR(IF(OR(Tbl_Summary[[#This Row],[NO]]="",Tbl_Summary[[#This Row],[NO]]="N/A"),"",_xlfn.XLOOKUP(Tbl_Summary[[#This Row],[NO]],Tbl_SM[NO],Tbl_SM[COMPLETION_FLAG])),"")</f>
        <v>0</v>
      </c>
      <c r="AU10" s="70">
        <f>IF(ROWS($Z$15:Z16)&gt;COUNTA(Tbl_SM[NO]),"N/A",ROWS($Z$15:Z16))</f>
        <v>2</v>
      </c>
      <c r="AV10" s="70" t="str">
        <f>IF(OR(Table8[[#This Row],[NO]]="",Table8[[#This Row],[NO]]="N/A"),"",_xlfn.XLOOKUP(Table8[[#This Row],[NO]],Tbl_SM[NO],Tbl_SM[5 FACTOR]))</f>
        <v>MAN</v>
      </c>
      <c r="AW10" t="str">
        <f>IF(OR(Table8[[#This Row],[NO]]="",Table8[[#This Row],[NO]]="N/A"),"",_xlfn.XLOOKUP(Table8[[#This Row],[NO]],Tbl_SM[NO],Tbl_SM[CATEGORY]))</f>
        <v>Long Term / Development</v>
      </c>
      <c r="AX10" s="77">
        <f>'Activity Plan'!GU9</f>
        <v>1</v>
      </c>
      <c r="AY10" s="77">
        <f>'Activity Plan'!GV9</f>
        <v>1</v>
      </c>
      <c r="AZ10" s="77">
        <f>'Activity Plan'!GW9</f>
        <v>1</v>
      </c>
      <c r="BA10" s="77">
        <f>'Activity Plan'!GX9</f>
        <v>1</v>
      </c>
      <c r="BB10" s="77">
        <f>'Activity Plan'!GY9</f>
        <v>1</v>
      </c>
      <c r="BC10" s="77">
        <f>'Activity Plan'!GZ9</f>
        <v>1</v>
      </c>
      <c r="BD10" s="77">
        <f>'Activity Plan'!HA9</f>
        <v>1</v>
      </c>
      <c r="BE10" s="77">
        <f>'Activity Plan'!HB9</f>
        <v>1</v>
      </c>
      <c r="BF10" s="77">
        <f>'Activity Plan'!HC9</f>
        <v>1</v>
      </c>
      <c r="BG10" s="77">
        <f>'Activity Plan'!HD9</f>
        <v>1</v>
      </c>
      <c r="BH10" s="77">
        <f>'Activity Plan'!HE9</f>
        <v>1</v>
      </c>
      <c r="BI10" s="77">
        <f>'Activity Plan'!HF9</f>
        <v>1</v>
      </c>
      <c r="BJ10" s="77">
        <f>'Activity Plan'!HG9</f>
        <v>1</v>
      </c>
      <c r="BK10" s="77">
        <f>'Activity Plan'!HH9</f>
        <v>1</v>
      </c>
      <c r="BL10" s="77">
        <f>'Activity Plan'!HI9</f>
        <v>1</v>
      </c>
      <c r="BM10" s="77">
        <f>'Activity Plan'!HJ9</f>
        <v>1</v>
      </c>
      <c r="BN10" s="77">
        <f>'Activity Plan'!HK9</f>
        <v>1</v>
      </c>
      <c r="BO10" s="77">
        <f>'Activity Plan'!HL9</f>
        <v>1</v>
      </c>
      <c r="BP10" s="77">
        <f>'Activity Plan'!HM9</f>
        <v>1</v>
      </c>
      <c r="BQ10" s="77">
        <f>'Activity Plan'!HN9</f>
        <v>1</v>
      </c>
      <c r="BR10" s="77">
        <f>'Activity Plan'!HO9</f>
        <v>1</v>
      </c>
      <c r="BS10" s="77">
        <f>'Activity Plan'!HP9</f>
        <v>1</v>
      </c>
      <c r="BT10" s="77">
        <f>'Activity Plan'!HQ9</f>
        <v>1</v>
      </c>
      <c r="BU10" s="77">
        <f>'Activity Plan'!HR9</f>
        <v>1</v>
      </c>
      <c r="BV10" s="77">
        <f>'Activity Plan'!HS9</f>
        <v>1</v>
      </c>
      <c r="BW10" s="77">
        <f>'Activity Plan'!HT9</f>
        <v>1</v>
      </c>
      <c r="BX10" s="77">
        <f>'Activity Plan'!HU9</f>
        <v>1</v>
      </c>
      <c r="BY10" s="77">
        <f>'Activity Plan'!HV9</f>
        <v>1</v>
      </c>
      <c r="BZ10" s="77">
        <f>'Activity Plan'!HW9</f>
        <v>1</v>
      </c>
      <c r="CA10" s="77">
        <f>'Activity Plan'!HX9</f>
        <v>1</v>
      </c>
      <c r="CB10" s="77">
        <f>'Activity Plan'!HY9</f>
        <v>1</v>
      </c>
      <c r="CF10">
        <v>1</v>
      </c>
      <c r="CG10" t="s">
        <v>30</v>
      </c>
      <c r="CH10" t="s">
        <v>2</v>
      </c>
      <c r="CI10" t="s">
        <v>56</v>
      </c>
      <c r="CJ10" s="68">
        <v>1</v>
      </c>
      <c r="CL10" t="s">
        <v>150</v>
      </c>
      <c r="CM10" t="s">
        <v>19</v>
      </c>
      <c r="CN10" t="s">
        <v>21</v>
      </c>
      <c r="CO10">
        <v>4</v>
      </c>
      <c r="CP10" cm="1">
        <f t="array" ref="CP10">IF(INDEX('Activity Plan'!$S$34:$AW$99,
MATCH("*"&amp;TRIM($B10)&amp;"*",'Activity Plan'!$D$35:$D$100,0)+MATCH($C10,{"PLAN";"ACTUAL";"ACHIVE"},0)-1,
MATCH($D10,DAY('Activity Plan'!$S$7:$AW$7),0))=0,
"N/A",
INDEX('Activity Plan'!$S$34:$AW$99,
MATCH("*"&amp;TRIM($B10)&amp;"*",'Activity Plan'!$D$35:$D$100,0)+MATCH($C10,{"PLAN";"ACTUAL";"ACHIVE"},0)-1,
MATCH($D10,DAY('Activity Plan'!$S$7:$AW$7),0)))</f>
        <v>16</v>
      </c>
      <c r="CR10" s="163">
        <v>7</v>
      </c>
      <c r="CS10" s="163" t="s">
        <v>128</v>
      </c>
      <c r="CU10">
        <f>'Activity Plan'!V7</f>
        <v>46177</v>
      </c>
      <c r="CV10" t="s">
        <v>21</v>
      </c>
      <c r="CW10" s="194">
        <f>IFERROR(IF('Activity Plan'!V33=0,"N/A",'Activity Plan'!V33),"N/A")</f>
        <v>0.12666666666666695</v>
      </c>
      <c r="CZ10">
        <f t="shared" si="0"/>
        <v>7</v>
      </c>
      <c r="DA10" s="199">
        <f>SUMIFS(TBL_ACHIVEMENT[VALUE],
        TBL_ACHIVEMENT[DATE],TBL_ACHIVEMENT[[#This Row],[DATE]],
        TBL_ACHIVEMENT[CATEGORY],"PLAN")</f>
        <v>0.20166666666666708</v>
      </c>
      <c r="DB10" s="144">
        <f>SUMIFS(TBL_ACHIVEMENT[VALUE],
        TBL_ACHIVEMENT[DATE],TBL_ACHIVEMENT[[#This Row],[DATE]],
        TBL_ACHIVEMENT[CATEGORY],"ACTUAL")</f>
        <v>0.63000000000000034</v>
      </c>
      <c r="DC10" s="198">
        <f>SUMIFS(TBL_DOZER_READINESS[VALUE],
        TBL_DOZER_READINESS[DATE],TBL_DOZER_READINESS[[#This Row],[DATE]],
        TBL_DOZER_READINESS[CATEGORY],"ACTUAL")</f>
        <v>11</v>
      </c>
      <c r="DD10" s="200">
        <f>SUMIFS(TBL_PA_DOZER[VALUE],
TBL_PA_DOZER[DATE],TBL_PA_DOZER[[#This Row],[DATE]],
TBL_PA_DOZER[CATEGORY],"ACTUAL")</f>
        <v>0.72</v>
      </c>
      <c r="DE10">
        <f>SUMIFS(Tbl_MTBF[VALUE],
Tbl_MTBF[DATE],Tbl_MTBF[[#This Row],[DATE]],
Tbl_MTBF[CATEGORY],"ACTUAL")</f>
        <v>75</v>
      </c>
      <c r="DF10">
        <f>SUMIFS(Tbl_MTTR[VALUE],
Tbl_MTTR[DATE],Tbl_MTTR[[#This Row],[DATE]],
Tbl_MTTR[CATEGORY],"ACTUAL")</f>
        <v>75</v>
      </c>
    </row>
    <row r="11" spans="2:110" x14ac:dyDescent="0.35">
      <c r="B11" t="s">
        <v>19</v>
      </c>
      <c r="C11" t="s">
        <v>22</v>
      </c>
      <c r="D11">
        <v>4</v>
      </c>
      <c r="E11" cm="1">
        <f t="array" ref="E11">IF(INDEX('Activity Plan'!$S$34:$AW$99,
MATCH("*"&amp;TRIM($B11)&amp;"*",'Activity Plan'!$D$35:$D$100,0)+MATCH($C11,{"PLAN";"ACTUAL";"ACHIVE"},0)-1,
MATCH($D11,DAY('Activity Plan'!$S$7:$AW$7),0))=0,
"N/A",
INDEX('Activity Plan'!$S$34:$AW$99,
MATCH("*"&amp;TRIM($B11)&amp;"*",'Activity Plan'!$D$35:$D$100,0)+MATCH($C11,{"PLAN";"ACTUAL";"ACHIVE"},0)-1,
MATCH($D11,DAY('Activity Plan'!$S$7:$AW$7),0)))</f>
        <v>11</v>
      </c>
      <c r="G11" t="s">
        <v>18</v>
      </c>
      <c r="H11" t="s">
        <v>22</v>
      </c>
      <c r="I11">
        <v>4</v>
      </c>
      <c r="J11" s="68" cm="1">
        <f t="array" ref="J11">IF(INDEX('Activity Plan'!$S$34:$AW$99,
MATCH("*"&amp;TRIM($G11)&amp;"*",'Activity Plan'!$D$35:$D$100,0)+MATCH($H11,{"PLAN";"ACTUAL";"ACHIVE"},0)-1,
MATCH($I11,DAY('Activity Plan'!$S$7:$AW$7),0))=0,
"N/A",
INDEX('Activity Plan'!$S$34:$AW$99,
MATCH("*"&amp;TRIM($G11)&amp;"*",'Activity Plan'!$D$35:$D$100,0)+MATCH($H11,{"PLAN";"ACTUAL";"ACHIVE"},0)-1,
MATCH($I11,DAY('Activity Plan'!$S$7:$AW$7),0)))</f>
        <v>0.72</v>
      </c>
      <c r="L11" t="s">
        <v>20</v>
      </c>
      <c r="M11" t="s">
        <v>22</v>
      </c>
      <c r="N11">
        <v>4</v>
      </c>
      <c r="O11" s="71" cm="1">
        <f t="array" ref="O11">IF(INDEX('Activity Plan'!$S$34:$AW$99,
MATCH("*"&amp;TRIM($L11)&amp;"*",'Activity Plan'!$D$35:$D$100,0)+MATCH($M11,{"PLAN";"ACTUAL";"ACHIVE"},0)-1,
MATCH($N11,DAY('Activity Plan'!$S$7:$AW$7),0))=0,
"N/A",
INDEX('Activity Plan'!$S$34:$AW$99,
MATCH("*"&amp;TRIM($L11)&amp;"*",'Activity Plan'!$D$35:$D$100,0)+MATCH($M11,{"PLAN";"ACTUAL";"ACHIVE"},0)-1,
MATCH($N11,DAY('Activity Plan'!$S$7:$AW$7),0)))</f>
        <v>75</v>
      </c>
      <c r="Q11" t="s">
        <v>138</v>
      </c>
      <c r="R11" t="s">
        <v>22</v>
      </c>
      <c r="S11">
        <v>4</v>
      </c>
      <c r="T11" s="71" cm="1">
        <f t="array" ref="T11">IF(INDEX('Activity Plan'!$S$34:$AW$99,
MATCH("*"&amp;TRIM($Q11)&amp;"*",'Activity Plan'!$D$35:$D$100,0)+MATCH($R11,{"PLAN";"ACTUAL";"ACHIVE"},0)-1,
MATCH($S11,DAY('Activity Plan'!$S$7:$AW$7),0))=0,
"N/A",
INDEX('Activity Plan'!$S$34:$AW$99,
MATCH("*"&amp;TRIM($Q11)&amp;"*",'Activity Plan'!$D$35:$D$100,0)+MATCH($R11,{"PLAN";"ACTUAL";"ACHIVE"},0)-1,
MATCH($S11,DAY('Activity Plan'!$S$7:$AW$7),0)))</f>
        <v>75</v>
      </c>
      <c r="U11" s="71"/>
      <c r="V11" t="s">
        <v>19</v>
      </c>
      <c r="W11" t="s">
        <v>39</v>
      </c>
      <c r="X11" s="70">
        <v>8</v>
      </c>
      <c r="Y11" s="69" cm="1">
        <f t="array" ref="Y11">IF(INDEX('Activity Plan'!$S$34:$AW$99,
MATCH("*"&amp;TRIM($V11)&amp;"*",'Activity Plan'!$D$35:$D$100,0)+MATCH($W11,{"PLAN";"ACTUAL";"ACHIVE"},0)-1,
MATCH($X11,DAY('Activity Plan'!$S$7:$AW$7),0))=0,
"N/A",
INDEX('Activity Plan'!$S$34:$AW$99,
MATCH("*"&amp;TRIM($V11)&amp;"*",'Activity Plan'!$D$35:$D$100,0)+MATCH($W11,{"PLAN";"ACTUAL";"ACHIVE"},0)-1,
MATCH($X11,DAY('Activity Plan'!$S$7:$AW$7),0)))</f>
        <v>0.9375</v>
      </c>
      <c r="AA11" t="s">
        <v>40</v>
      </c>
      <c r="AB11" t="s">
        <v>21</v>
      </c>
      <c r="AC11" s="70">
        <v>8</v>
      </c>
      <c r="AD11" s="77">
        <f>'Activity Plan'!Z33</f>
        <v>0.22666666666666688</v>
      </c>
      <c r="AF11" s="70">
        <f>IF(ROWS($Z$15:Z22)&gt;COUNTA(Tbl_SM[NO]),"N/A",ROWS($Z$15:Z22))</f>
        <v>8</v>
      </c>
      <c r="AG11" t="str">
        <f>IF(OR(Tbl_Summary[[#This Row],[NO]]="",Tbl_Summary[[#This Row],[NO]]="N/A"),"",_xlfn.XLOOKUP(Tbl_Summary[[#This Row],[NO]],Tbl_SM[NO],Tbl_SM[5 FACTOR]))</f>
        <v>METHOD</v>
      </c>
      <c r="AH11" t="str">
        <f>IF(OR(Tbl_Summary[[#This Row],[NO]]="",Tbl_Summary[[#This Row],[NO]]="N/A"),"",_xlfn.XLOOKUP(Tbl_Summary[[#This Row],[NO]],Tbl_SM[NO],Tbl_SM[CATEGORY]))</f>
        <v>Long Term / Development</v>
      </c>
      <c r="AI11" t="str">
        <f>IF(OR(Tbl_Summary[[#This Row],[NO]]="",Tbl_Summary[[#This Row],[NO]]="N/A"),"",_xlfn.XLOOKUP(Tbl_Summary[[#This Row],[NO]],Tbl_SM[NO],Tbl_SM[PIC]))</f>
        <v>PLANT</v>
      </c>
      <c r="AJ11" s="72">
        <f>IF(OR(Tbl_Summary[[#This Row],[NO]]="",Tbl_Summary[[#This Row],[NO]]="N/A"),"",_xlfn.XLOOKUP(Tbl_Summary[[#This Row],[NO]],Tbl_SM[NO],Tbl_SM[PLAN START]))</f>
        <v>46195</v>
      </c>
      <c r="AK11" s="72">
        <f>IF(OR(Tbl_Summary[[#This Row],[NO]]="",Tbl_Summary[[#This Row],[NO]]="N/A"),"",_xlfn.XLOOKUP(Tbl_Summary[[#This Row],[NO]],Tbl_SM[NO],Tbl_SM[DUE DATA]))</f>
        <v>46227</v>
      </c>
      <c r="AL11" s="70">
        <f>IF(OR(Tbl_Summary[[#This Row],[NO]]="",Tbl_Summary[[#This Row],[NO]]="N/A"),"",_xlfn.XLOOKUP(Tbl_Summary[[#This Row],[NO]],Tbl_SM[NO],Tbl_SM[PLAN DURATION]))</f>
        <v>33</v>
      </c>
      <c r="AM11" s="72">
        <f>IFERROR(IF(OR(Tbl_Summary[[#This Row],[NO]]="",Tbl_Summary[[#This Row],[NO]]="N/A"),"",_xlfn.XLOOKUP(Tbl_Summary[[#This Row],[NO]],Tbl_SM[NO],Tbl_SM[ACTUAL START])),"")</f>
        <v>0</v>
      </c>
      <c r="AN11" s="72" t="str">
        <f>IFERROR(IF(OR(Tbl_Summary[[#This Row],[NO]]="",Tbl_Summary[[#This Row],[NO]]="N/A"),"N/A",
IF(_xlfn.XLOOKUP(Tbl_Summary[[#This Row],[NO]],Tbl_SM[NO],Tbl_SM[ACTUAL FINISH])=0,"N/A",
_xlfn.XLOOKUP(Tbl_Summary[[#This Row],[NO]],Tbl_SM[NO],Tbl_SM[ACTUAL FINISH]))),"N/A")</f>
        <v>N/A</v>
      </c>
      <c r="AO11" s="73" t="str">
        <f>IFERROR(IF(OR(Tbl_Summary[[#This Row],[NO]]="",Tbl_Summary[[#This Row],[NO]]="N/A"),"",_xlfn.XLOOKUP(Tbl_Summary[[#This Row],[NO]],Tbl_SM[NO],Tbl_SM[ACTUAL DURATION])),"")</f>
        <v>No Progress</v>
      </c>
      <c r="AP11" s="72" t="str">
        <f>IFERROR(IF(OR(Tbl_Summary[[#This Row],[NO]]="",Tbl_Summary[[#This Row],[NO]]="N/A"),"",_xlfn.XLOOKUP(Tbl_Summary[[#This Row],[NO]],Tbl_SM[NO],Tbl_SM[STATUS])),"")</f>
        <v>OPEN</v>
      </c>
      <c r="AQ11" s="72" t="str">
        <f ca="1">IFERROR(IF(OR(Tbl_Summary[[#This Row],[NO]]="",Tbl_Summary[[#This Row],[NO]]="N/A"),"",_xlfn.XLOOKUP(Tbl_Summary[[#This Row],[NO]],Tbl_SM[NO],Tbl_SM[DUE STATUS])),"")</f>
        <v>&gt; 14 HARI</v>
      </c>
      <c r="AR11" s="80">
        <f>IFERROR(IF(OR(Tbl_Summary[[#This Row],[NO]]="",Tbl_Summary[[#This Row],[NO]]="N/A"),"",_xlfn.XLOOKUP(Tbl_Summary[[#This Row],[NO]],Tbl_SM[NO],Tbl_SM[COMPLETION])),"")</f>
        <v>0.52666666666666595</v>
      </c>
      <c r="AS11" s="70">
        <f>IFERROR(IF(OR(Tbl_Summary[[#This Row],[NO]]="",Tbl_Summary[[#This Row],[NO]]="N/A"),"",_xlfn.XLOOKUP(Tbl_Summary[[#This Row],[NO]],Tbl_SM[NO],Tbl_SM[COMPLETION_FLAG])),"")</f>
        <v>0</v>
      </c>
      <c r="AU11" s="70">
        <f>IF(ROWS($Z$15:Z17)&gt;COUNTA(Tbl_SM[NO]),"N/A",ROWS($Z$15:Z17))</f>
        <v>3</v>
      </c>
      <c r="AV11" s="70" t="str">
        <f>IF(OR(Table8[[#This Row],[NO]]="",Table8[[#This Row],[NO]]="N/A"),"",_xlfn.XLOOKUP(Table8[[#This Row],[NO]],Tbl_SM[NO],Tbl_SM[5 FACTOR]))</f>
        <v>MAN</v>
      </c>
      <c r="AW11" t="str">
        <f>IF(OR(Table8[[#This Row],[NO]]="",Table8[[#This Row],[NO]]="N/A"),"",_xlfn.XLOOKUP(Table8[[#This Row],[NO]],Tbl_SM[NO],Tbl_SM[CATEGORY]))</f>
        <v>Quick Action</v>
      </c>
      <c r="AX11" s="77">
        <f>'Activity Plan'!GU10</f>
        <v>1</v>
      </c>
      <c r="AY11" s="77">
        <f>'Activity Plan'!GV10</f>
        <v>1</v>
      </c>
      <c r="AZ11" s="77">
        <f>'Activity Plan'!GW10</f>
        <v>1</v>
      </c>
      <c r="BA11" s="77">
        <f>'Activity Plan'!GX10</f>
        <v>1</v>
      </c>
      <c r="BB11" s="77">
        <f>'Activity Plan'!GY10</f>
        <v>1</v>
      </c>
      <c r="BC11" s="77">
        <f>'Activity Plan'!GZ10</f>
        <v>1</v>
      </c>
      <c r="BD11" s="77">
        <f>'Activity Plan'!HA10</f>
        <v>1</v>
      </c>
      <c r="BE11" s="77">
        <f>'Activity Plan'!HB10</f>
        <v>1</v>
      </c>
      <c r="BF11" s="77">
        <f>'Activity Plan'!HC10</f>
        <v>1</v>
      </c>
      <c r="BG11" s="77">
        <f>'Activity Plan'!HD10</f>
        <v>1</v>
      </c>
      <c r="BH11" s="77">
        <f>'Activity Plan'!HE10</f>
        <v>1</v>
      </c>
      <c r="BI11" s="77">
        <f>'Activity Plan'!HF10</f>
        <v>1</v>
      </c>
      <c r="BJ11" s="77">
        <f>'Activity Plan'!HG10</f>
        <v>1</v>
      </c>
      <c r="BK11" s="77">
        <f>'Activity Plan'!HH10</f>
        <v>1</v>
      </c>
      <c r="BL11" s="77">
        <f>'Activity Plan'!HI10</f>
        <v>1</v>
      </c>
      <c r="BM11" s="77">
        <f>'Activity Plan'!HJ10</f>
        <v>1</v>
      </c>
      <c r="BN11" s="77">
        <f>'Activity Plan'!HK10</f>
        <v>1</v>
      </c>
      <c r="BO11" s="77">
        <f>'Activity Plan'!HL10</f>
        <v>1</v>
      </c>
      <c r="BP11" s="77">
        <f>'Activity Plan'!HM10</f>
        <v>1</v>
      </c>
      <c r="BQ11" s="77">
        <f>'Activity Plan'!HN10</f>
        <v>1</v>
      </c>
      <c r="BR11" s="77">
        <f>'Activity Plan'!HO10</f>
        <v>1</v>
      </c>
      <c r="BS11" s="77">
        <f>'Activity Plan'!HP10</f>
        <v>1</v>
      </c>
      <c r="BT11" s="77">
        <f>'Activity Plan'!HQ10</f>
        <v>1</v>
      </c>
      <c r="BU11" s="77">
        <f>'Activity Plan'!HR10</f>
        <v>1</v>
      </c>
      <c r="BV11" s="77">
        <f>'Activity Plan'!HS10</f>
        <v>1</v>
      </c>
      <c r="BW11" s="77">
        <f>'Activity Plan'!HT10</f>
        <v>1</v>
      </c>
      <c r="BX11" s="77">
        <f>'Activity Plan'!HU10</f>
        <v>1</v>
      </c>
      <c r="BY11" s="77">
        <f>'Activity Plan'!HV10</f>
        <v>1</v>
      </c>
      <c r="BZ11" s="77">
        <f>'Activity Plan'!HW10</f>
        <v>1</v>
      </c>
      <c r="CA11" s="77">
        <f>'Activity Plan'!HX10</f>
        <v>1</v>
      </c>
      <c r="CB11" s="77">
        <f>'Activity Plan'!HY10</f>
        <v>1</v>
      </c>
      <c r="CF11">
        <v>1</v>
      </c>
      <c r="CG11" t="s">
        <v>30</v>
      </c>
      <c r="CH11" t="s">
        <v>2</v>
      </c>
      <c r="CI11" t="s">
        <v>57</v>
      </c>
      <c r="CJ11" s="68">
        <v>1</v>
      </c>
      <c r="CL11" t="s">
        <v>150</v>
      </c>
      <c r="CM11" t="s">
        <v>19</v>
      </c>
      <c r="CN11" t="s">
        <v>22</v>
      </c>
      <c r="CO11">
        <v>4</v>
      </c>
      <c r="CP11" cm="1">
        <f t="array" ref="CP11">IF(INDEX('Activity Plan'!$S$34:$AW$99,
MATCH("*"&amp;TRIM($B11)&amp;"*",'Activity Plan'!$D$35:$D$100,0)+MATCH($C11,{"PLAN";"ACTUAL";"ACHIVE"},0)-1,
MATCH($D11,DAY('Activity Plan'!$S$7:$AW$7),0))=0,
"N/A",
INDEX('Activity Plan'!$S$34:$AW$99,
MATCH("*"&amp;TRIM($B11)&amp;"*",'Activity Plan'!$D$35:$D$100,0)+MATCH($C11,{"PLAN";"ACTUAL";"ACHIVE"},0)-1,
MATCH($D11,DAY('Activity Plan'!$S$7:$AW$7),0)))</f>
        <v>11</v>
      </c>
      <c r="CR11" s="163">
        <v>8</v>
      </c>
      <c r="CS11" s="163" t="s">
        <v>129</v>
      </c>
      <c r="CU11">
        <f>'Activity Plan'!V7</f>
        <v>46177</v>
      </c>
      <c r="CV11" t="s">
        <v>22</v>
      </c>
      <c r="CW11" s="194">
        <f>IFERROR(IF('Activity Plan'!BA33=0,"N/A",'Activity Plan'!BA33),"N/A")</f>
        <v>0.55999999999999817</v>
      </c>
      <c r="CZ11">
        <f t="shared" si="0"/>
        <v>8</v>
      </c>
      <c r="DA11" s="199">
        <f>SUMIFS(TBL_ACHIVEMENT[VALUE],
        TBL_ACHIVEMENT[DATE],TBL_ACHIVEMENT[[#This Row],[DATE]],
        TBL_ACHIVEMENT[CATEGORY],"PLAN")</f>
        <v>0.22666666666666688</v>
      </c>
      <c r="DB11" s="144">
        <f>SUMIFS(TBL_ACHIVEMENT[VALUE],
        TBL_ACHIVEMENT[DATE],TBL_ACHIVEMENT[[#This Row],[DATE]],
        TBL_ACHIVEMENT[CATEGORY],"ACTUAL")</f>
        <v>0.66</v>
      </c>
      <c r="DC11" s="198">
        <f>SUMIFS(TBL_DOZER_READINESS[VALUE],
        TBL_DOZER_READINESS[DATE],TBL_DOZER_READINESS[[#This Row],[DATE]],
        TBL_DOZER_READINESS[CATEGORY],"ACTUAL")</f>
        <v>11</v>
      </c>
      <c r="DD11" s="200">
        <f>SUMIFS(TBL_PA_DOZER[VALUE],
TBL_PA_DOZER[DATE],TBL_PA_DOZER[[#This Row],[DATE]],
TBL_PA_DOZER[CATEGORY],"ACTUAL")</f>
        <v>0.72</v>
      </c>
      <c r="DE11">
        <f>SUMIFS(Tbl_MTBF[VALUE],
Tbl_MTBF[DATE],Tbl_MTBF[[#This Row],[DATE]],
Tbl_MTBF[CATEGORY],"ACTUAL")</f>
        <v>75</v>
      </c>
      <c r="DF11">
        <f>SUMIFS(Tbl_MTTR[VALUE],
Tbl_MTTR[DATE],Tbl_MTTR[[#This Row],[DATE]],
Tbl_MTTR[CATEGORY],"ACTUAL")</f>
        <v>75</v>
      </c>
    </row>
    <row r="12" spans="2:110" x14ac:dyDescent="0.35">
      <c r="B12" t="s">
        <v>19</v>
      </c>
      <c r="C12" t="s">
        <v>21</v>
      </c>
      <c r="D12">
        <v>5</v>
      </c>
      <c r="E12" cm="1">
        <f t="array" ref="E12">IF(INDEX('Activity Plan'!$S$34:$AW$99,
MATCH("*"&amp;TRIM($B12)&amp;"*",'Activity Plan'!$D$35:$D$100,0)+MATCH($C12,{"PLAN";"ACTUAL";"ACHIVE"},0)-1,
MATCH($D12,DAY('Activity Plan'!$S$7:$AW$7),0))=0,
"N/A",
INDEX('Activity Plan'!$S$34:$AW$99,
MATCH("*"&amp;TRIM($B12)&amp;"*",'Activity Plan'!$D$35:$D$100,0)+MATCH($C12,{"PLAN";"ACTUAL";"ACHIVE"},0)-1,
MATCH($D12,DAY('Activity Plan'!$S$7:$AW$7),0)))</f>
        <v>16</v>
      </c>
      <c r="G12" t="s">
        <v>18</v>
      </c>
      <c r="H12" t="s">
        <v>21</v>
      </c>
      <c r="I12">
        <v>5</v>
      </c>
      <c r="J12" s="68" cm="1">
        <f t="array" ref="J12">IF(INDEX('Activity Plan'!$S$34:$AW$99,
MATCH("*"&amp;TRIM($G12)&amp;"*",'Activity Plan'!$D$35:$D$100,0)+MATCH($H12,{"PLAN";"ACTUAL";"ACHIVE"},0)-1,
MATCH($I12,DAY('Activity Plan'!$S$7:$AW$7),0))=0,
"N/A",
INDEX('Activity Plan'!$S$34:$AW$99,
MATCH("*"&amp;TRIM($G12)&amp;"*",'Activity Plan'!$D$35:$D$100,0)+MATCH($H12,{"PLAN";"ACTUAL";"ACHIVE"},0)-1,
MATCH($I12,DAY('Activity Plan'!$S$7:$AW$7),0)))</f>
        <v>0.9</v>
      </c>
      <c r="L12" t="s">
        <v>20</v>
      </c>
      <c r="M12" t="s">
        <v>21</v>
      </c>
      <c r="N12">
        <v>5</v>
      </c>
      <c r="O12" s="71" cm="1">
        <f t="array" ref="O12">IF(INDEX('Activity Plan'!$S$34:$AW$99,
MATCH("*"&amp;TRIM($L12)&amp;"*",'Activity Plan'!$D$35:$D$100,0)+MATCH($M12,{"PLAN";"ACTUAL";"ACHIVE"},0)-1,
MATCH($N12,DAY('Activity Plan'!$S$7:$AW$7),0))=0,
"N/A",
INDEX('Activity Plan'!$S$34:$AW$99,
MATCH("*"&amp;TRIM($L12)&amp;"*",'Activity Plan'!$D$35:$D$100,0)+MATCH($M12,{"PLAN";"ACTUAL";"ACHIVE"},0)-1,
MATCH($N12,DAY('Activity Plan'!$S$7:$AW$7),0)))</f>
        <v>70</v>
      </c>
      <c r="Q12" t="s">
        <v>138</v>
      </c>
      <c r="R12" t="s">
        <v>21</v>
      </c>
      <c r="S12">
        <v>5</v>
      </c>
      <c r="T12" s="71" cm="1">
        <f t="array" ref="T12">IF(INDEX('Activity Plan'!$S$34:$AW$99,
MATCH("*"&amp;TRIM($Q12)&amp;"*",'Activity Plan'!$D$35:$D$100,0)+MATCH($R12,{"PLAN";"ACTUAL";"ACHIVE"},0)-1,
MATCH($S12,DAY('Activity Plan'!$S$7:$AW$7),0))=0,
"N/A",
INDEX('Activity Plan'!$S$34:$AW$99,
MATCH("*"&amp;TRIM($Q12)&amp;"*",'Activity Plan'!$D$35:$D$100,0)+MATCH($R12,{"PLAN";"ACTUAL";"ACHIVE"},0)-1,
MATCH($S12,DAY('Activity Plan'!$S$7:$AW$7),0)))</f>
        <v>80</v>
      </c>
      <c r="U12" s="71"/>
      <c r="V12" t="s">
        <v>19</v>
      </c>
      <c r="W12" t="s">
        <v>39</v>
      </c>
      <c r="X12" s="70">
        <v>9</v>
      </c>
      <c r="Y12" s="69" cm="1">
        <f t="array" ref="Y12">IF(INDEX('Activity Plan'!$S$34:$AW$99,
MATCH("*"&amp;TRIM($V12)&amp;"*",'Activity Plan'!$D$35:$D$100,0)+MATCH($W12,{"PLAN";"ACTUAL";"ACHIVE"},0)-1,
MATCH($X12,DAY('Activity Plan'!$S$7:$AW$7),0))=0,
"N/A",
INDEX('Activity Plan'!$S$34:$AW$99,
MATCH("*"&amp;TRIM($V12)&amp;"*",'Activity Plan'!$D$35:$D$100,0)+MATCH($W12,{"PLAN";"ACTUAL";"ACHIVE"},0)-1,
MATCH($X12,DAY('Activity Plan'!$S$7:$AW$7),0)))</f>
        <v>0.8125</v>
      </c>
      <c r="AA12" t="s">
        <v>40</v>
      </c>
      <c r="AB12" t="s">
        <v>21</v>
      </c>
      <c r="AC12" s="70">
        <v>9</v>
      </c>
      <c r="AD12" s="77">
        <f>'Activity Plan'!AA33</f>
        <v>0.25166666666666698</v>
      </c>
      <c r="AF12" s="70">
        <f>IF(ROWS($Z$15:Z23)&gt;COUNTA(Tbl_SM[NO]),"N/A",ROWS($Z$15:Z23))</f>
        <v>9</v>
      </c>
      <c r="AG12" t="str">
        <f>IF(OR(Tbl_Summary[[#This Row],[NO]]="",Tbl_Summary[[#This Row],[NO]]="N/A"),"",_xlfn.XLOOKUP(Tbl_Summary[[#This Row],[NO]],Tbl_SM[NO],Tbl_SM[5 FACTOR]))</f>
        <v>METHOD</v>
      </c>
      <c r="AH12" t="str">
        <f>IF(OR(Tbl_Summary[[#This Row],[NO]]="",Tbl_Summary[[#This Row],[NO]]="N/A"),"",_xlfn.XLOOKUP(Tbl_Summary[[#This Row],[NO]],Tbl_SM[NO],Tbl_SM[CATEGORY]))</f>
        <v>Quick Action</v>
      </c>
      <c r="AI12" t="str">
        <f>IF(OR(Tbl_Summary[[#This Row],[NO]]="",Tbl_Summary[[#This Row],[NO]]="N/A"),"",_xlfn.XLOOKUP(Tbl_Summary[[#This Row],[NO]],Tbl_SM[NO],Tbl_SM[PIC]))</f>
        <v>GS-PLANT-SHE</v>
      </c>
      <c r="AJ12" s="72">
        <f>IF(OR(Tbl_Summary[[#This Row],[NO]]="",Tbl_Summary[[#This Row],[NO]]="N/A"),"",_xlfn.XLOOKUP(Tbl_Summary[[#This Row],[NO]],Tbl_SM[NO],Tbl_SM[PLAN START]))</f>
        <v>46183</v>
      </c>
      <c r="AK12" s="72">
        <f>IF(OR(Tbl_Summary[[#This Row],[NO]]="",Tbl_Summary[[#This Row],[NO]]="N/A"),"",_xlfn.XLOOKUP(Tbl_Summary[[#This Row],[NO]],Tbl_SM[NO],Tbl_SM[DUE DATA]))</f>
        <v>46213</v>
      </c>
      <c r="AL12" s="70">
        <f>IF(OR(Tbl_Summary[[#This Row],[NO]]="",Tbl_Summary[[#This Row],[NO]]="N/A"),"",_xlfn.XLOOKUP(Tbl_Summary[[#This Row],[NO]],Tbl_SM[NO],Tbl_SM[PLAN DURATION]))</f>
        <v>31</v>
      </c>
      <c r="AM12" s="72">
        <f>IFERROR(IF(OR(Tbl_Summary[[#This Row],[NO]]="",Tbl_Summary[[#This Row],[NO]]="N/A"),"",_xlfn.XLOOKUP(Tbl_Summary[[#This Row],[NO]],Tbl_SM[NO],Tbl_SM[ACTUAL START])),"")</f>
        <v>0</v>
      </c>
      <c r="AN12" s="72" t="str">
        <f>IFERROR(IF(OR(Tbl_Summary[[#This Row],[NO]]="",Tbl_Summary[[#This Row],[NO]]="N/A"),"N/A",
IF(_xlfn.XLOOKUP(Tbl_Summary[[#This Row],[NO]],Tbl_SM[NO],Tbl_SM[ACTUAL FINISH])=0,"N/A",
_xlfn.XLOOKUP(Tbl_Summary[[#This Row],[NO]],Tbl_SM[NO],Tbl_SM[ACTUAL FINISH]))),"N/A")</f>
        <v>N/A</v>
      </c>
      <c r="AO12" s="73" t="str">
        <f>IFERROR(IF(OR(Tbl_Summary[[#This Row],[NO]]="",Tbl_Summary[[#This Row],[NO]]="N/A"),"",_xlfn.XLOOKUP(Tbl_Summary[[#This Row],[NO]],Tbl_SM[NO],Tbl_SM[ACTUAL DURATION])),"")</f>
        <v>No Progress</v>
      </c>
      <c r="AP12" s="72" t="str">
        <f>IFERROR(IF(OR(Tbl_Summary[[#This Row],[NO]]="",Tbl_Summary[[#This Row],[NO]]="N/A"),"",_xlfn.XLOOKUP(Tbl_Summary[[#This Row],[NO]],Tbl_SM[NO],Tbl_SM[STATUS])),"")</f>
        <v>OPEN</v>
      </c>
      <c r="AQ12" s="72" t="str">
        <f ca="1">IFERROR(IF(OR(Tbl_Summary[[#This Row],[NO]]="",Tbl_Summary[[#This Row],[NO]]="N/A"),"",_xlfn.XLOOKUP(Tbl_Summary[[#This Row],[NO]],Tbl_SM[NO],Tbl_SM[DUE STATUS])),"")</f>
        <v>&gt; 14 HARI</v>
      </c>
      <c r="AR12" s="80">
        <f>IFERROR(IF(OR(Tbl_Summary[[#This Row],[NO]]="",Tbl_Summary[[#This Row],[NO]]="N/A"),"",_xlfn.XLOOKUP(Tbl_Summary[[#This Row],[NO]],Tbl_SM[NO],Tbl_SM[COMPLETION])),"")</f>
        <v>0.52666666666666595</v>
      </c>
      <c r="AS12" s="70">
        <f>IFERROR(IF(OR(Tbl_Summary[[#This Row],[NO]]="",Tbl_Summary[[#This Row],[NO]]="N/A"),"",_xlfn.XLOOKUP(Tbl_Summary[[#This Row],[NO]],Tbl_SM[NO],Tbl_SM[COMPLETION_FLAG])),"")</f>
        <v>0</v>
      </c>
      <c r="AU12" s="70">
        <f>IF(ROWS($Z$15:Z18)&gt;COUNTA(Tbl_SM[NO]),"N/A",ROWS($Z$15:Z18))</f>
        <v>4</v>
      </c>
      <c r="AV12" s="70" t="str">
        <f>IF(OR(Table8[[#This Row],[NO]]="",Table8[[#This Row],[NO]]="N/A"),"",_xlfn.XLOOKUP(Table8[[#This Row],[NO]],Tbl_SM[NO],Tbl_SM[5 FACTOR]))</f>
        <v>MAN</v>
      </c>
      <c r="AW12" t="str">
        <f>IF(OR(Table8[[#This Row],[NO]]="",Table8[[#This Row],[NO]]="N/A"),"",_xlfn.XLOOKUP(Table8[[#This Row],[NO]],Tbl_SM[NO],Tbl_SM[CATEGORY]))</f>
        <v>Quick Action</v>
      </c>
      <c r="AX12" s="77">
        <f>'Activity Plan'!GU11</f>
        <v>1</v>
      </c>
      <c r="AY12" s="77">
        <f>'Activity Plan'!GV11</f>
        <v>1</v>
      </c>
      <c r="AZ12" s="77">
        <f>'Activity Plan'!GW11</f>
        <v>1</v>
      </c>
      <c r="BA12" s="77">
        <f>'Activity Plan'!GX11</f>
        <v>1</v>
      </c>
      <c r="BB12" s="77">
        <f>'Activity Plan'!GY11</f>
        <v>1</v>
      </c>
      <c r="BC12" s="77">
        <f>'Activity Plan'!GZ11</f>
        <v>1</v>
      </c>
      <c r="BD12" s="77">
        <f>'Activity Plan'!HA11</f>
        <v>1</v>
      </c>
      <c r="BE12" s="77">
        <f>'Activity Plan'!HB11</f>
        <v>1</v>
      </c>
      <c r="BF12" s="77">
        <f>'Activity Plan'!HC11</f>
        <v>1</v>
      </c>
      <c r="BG12" s="77">
        <f>'Activity Plan'!HD11</f>
        <v>1</v>
      </c>
      <c r="BH12" s="77">
        <f>'Activity Plan'!HE11</f>
        <v>1</v>
      </c>
      <c r="BI12" s="77">
        <f>'Activity Plan'!HF11</f>
        <v>1</v>
      </c>
      <c r="BJ12" s="77">
        <f>'Activity Plan'!HG11</f>
        <v>1</v>
      </c>
      <c r="BK12" s="77">
        <f>'Activity Plan'!HH11</f>
        <v>1</v>
      </c>
      <c r="BL12" s="77">
        <f>'Activity Plan'!HI11</f>
        <v>1</v>
      </c>
      <c r="BM12" s="77">
        <f>'Activity Plan'!HJ11</f>
        <v>1</v>
      </c>
      <c r="BN12" s="77">
        <f>'Activity Plan'!HK11</f>
        <v>1</v>
      </c>
      <c r="BO12" s="77">
        <f>'Activity Plan'!HL11</f>
        <v>1</v>
      </c>
      <c r="BP12" s="77">
        <f>'Activity Plan'!HM11</f>
        <v>1</v>
      </c>
      <c r="BQ12" s="77">
        <f>'Activity Plan'!HN11</f>
        <v>1</v>
      </c>
      <c r="BR12" s="77">
        <f>'Activity Plan'!HO11</f>
        <v>1</v>
      </c>
      <c r="BS12" s="77">
        <f>'Activity Plan'!HP11</f>
        <v>1</v>
      </c>
      <c r="BT12" s="77">
        <f>'Activity Plan'!HQ11</f>
        <v>1</v>
      </c>
      <c r="BU12" s="77">
        <f>'Activity Plan'!HR11</f>
        <v>1</v>
      </c>
      <c r="BV12" s="77">
        <f>'Activity Plan'!HS11</f>
        <v>1</v>
      </c>
      <c r="BW12" s="77">
        <f>'Activity Plan'!HT11</f>
        <v>1</v>
      </c>
      <c r="BX12" s="77">
        <f>'Activity Plan'!HU11</f>
        <v>1</v>
      </c>
      <c r="BY12" s="77">
        <f>'Activity Plan'!HV11</f>
        <v>1</v>
      </c>
      <c r="BZ12" s="77">
        <f>'Activity Plan'!HW11</f>
        <v>1</v>
      </c>
      <c r="CA12" s="77">
        <f>'Activity Plan'!HX11</f>
        <v>1</v>
      </c>
      <c r="CB12" s="77">
        <f>'Activity Plan'!HY11</f>
        <v>1</v>
      </c>
      <c r="CF12">
        <v>1</v>
      </c>
      <c r="CG12" t="s">
        <v>30</v>
      </c>
      <c r="CH12" t="s">
        <v>2</v>
      </c>
      <c r="CI12" t="s">
        <v>58</v>
      </c>
      <c r="CJ12" s="68">
        <v>1</v>
      </c>
      <c r="CL12" t="s">
        <v>150</v>
      </c>
      <c r="CM12" t="s">
        <v>19</v>
      </c>
      <c r="CN12" t="s">
        <v>21</v>
      </c>
      <c r="CO12">
        <v>5</v>
      </c>
      <c r="CP12" cm="1">
        <f t="array" ref="CP12">IF(INDEX('Activity Plan'!$S$34:$AW$99,
MATCH("*"&amp;TRIM($B12)&amp;"*",'Activity Plan'!$D$35:$D$100,0)+MATCH($C12,{"PLAN";"ACTUAL";"ACHIVE"},0)-1,
MATCH($D12,DAY('Activity Plan'!$S$7:$AW$7),0))=0,
"N/A",
INDEX('Activity Plan'!$S$34:$AW$99,
MATCH("*"&amp;TRIM($B12)&amp;"*",'Activity Plan'!$D$35:$D$100,0)+MATCH($C12,{"PLAN";"ACTUAL";"ACHIVE"},0)-1,
MATCH($D12,DAY('Activity Plan'!$S$7:$AW$7),0)))</f>
        <v>16</v>
      </c>
      <c r="CR12" s="163">
        <v>9</v>
      </c>
      <c r="CS12" s="163" t="s">
        <v>130</v>
      </c>
      <c r="CU12">
        <f>'Activity Plan'!W7</f>
        <v>46178</v>
      </c>
      <c r="CV12" t="s">
        <v>21</v>
      </c>
      <c r="CW12" s="194">
        <f>IFERROR(IF('Activity Plan'!W33=0,"N/A",'Activity Plan'!W33),"N/A")</f>
        <v>0.15166666666666695</v>
      </c>
      <c r="CZ12">
        <f t="shared" si="0"/>
        <v>9</v>
      </c>
      <c r="DA12" s="199">
        <f>SUMIFS(TBL_ACHIVEMENT[VALUE],
        TBL_ACHIVEMENT[DATE],TBL_ACHIVEMENT[[#This Row],[DATE]],
        TBL_ACHIVEMENT[CATEGORY],"PLAN")</f>
        <v>0.25166666666666698</v>
      </c>
      <c r="DB12" s="144">
        <f>SUMIFS(TBL_ACHIVEMENT[VALUE],
        TBL_ACHIVEMENT[DATE],TBL_ACHIVEMENT[[#This Row],[DATE]],
        TBL_ACHIVEMENT[CATEGORY],"ACTUAL")</f>
        <v>0.68999999999999961</v>
      </c>
      <c r="DC12" s="198">
        <f>SUMIFS(TBL_DOZER_READINESS[VALUE],
        TBL_DOZER_READINESS[DATE],TBL_DOZER_READINESS[[#This Row],[DATE]],
        TBL_DOZER_READINESS[CATEGORY],"ACTUAL")</f>
        <v>16</v>
      </c>
      <c r="DD12" s="200">
        <f>SUMIFS(TBL_PA_DOZER[VALUE],
TBL_PA_DOZER[DATE],TBL_PA_DOZER[[#This Row],[DATE]],
TBL_PA_DOZER[CATEGORY],"ACTUAL")</f>
        <v>1</v>
      </c>
      <c r="DE12">
        <f>SUMIFS(Tbl_MTBF[VALUE],
Tbl_MTBF[DATE],Tbl_MTBF[[#This Row],[DATE]],
Tbl_MTBF[CATEGORY],"ACTUAL")</f>
        <v>83</v>
      </c>
      <c r="DF12">
        <f>SUMIFS(Tbl_MTTR[VALUE],
Tbl_MTTR[DATE],Tbl_MTTR[[#This Row],[DATE]],
Tbl_MTTR[CATEGORY],"ACTUAL")</f>
        <v>83</v>
      </c>
    </row>
    <row r="13" spans="2:110" x14ac:dyDescent="0.35">
      <c r="B13" t="s">
        <v>19</v>
      </c>
      <c r="C13" t="s">
        <v>22</v>
      </c>
      <c r="D13">
        <v>5</v>
      </c>
      <c r="E13" cm="1">
        <f t="array" ref="E13">IF(INDEX('Activity Plan'!$S$34:$AW$99,
MATCH("*"&amp;TRIM($B13)&amp;"*",'Activity Plan'!$D$35:$D$100,0)+MATCH($C13,{"PLAN";"ACTUAL";"ACHIVE"},0)-1,
MATCH($D13,DAY('Activity Plan'!$S$7:$AW$7),0))=0,
"N/A",
INDEX('Activity Plan'!$S$34:$AW$99,
MATCH("*"&amp;TRIM($B13)&amp;"*",'Activity Plan'!$D$35:$D$100,0)+MATCH($C13,{"PLAN";"ACTUAL";"ACHIVE"},0)-1,
MATCH($D13,DAY('Activity Plan'!$S$7:$AW$7),0)))</f>
        <v>16</v>
      </c>
      <c r="G13" t="s">
        <v>18</v>
      </c>
      <c r="H13" t="s">
        <v>22</v>
      </c>
      <c r="I13">
        <v>5</v>
      </c>
      <c r="J13" s="68" cm="1">
        <f t="array" ref="J13">IF(INDEX('Activity Plan'!$S$34:$AW$99,
MATCH("*"&amp;TRIM($G13)&amp;"*",'Activity Plan'!$D$35:$D$100,0)+MATCH($H13,{"PLAN";"ACTUAL";"ACHIVE"},0)-1,
MATCH($I13,DAY('Activity Plan'!$S$7:$AW$7),0))=0,
"N/A",
INDEX('Activity Plan'!$S$34:$AW$99,
MATCH("*"&amp;TRIM($G13)&amp;"*",'Activity Plan'!$D$35:$D$100,0)+MATCH($H13,{"PLAN";"ACTUAL";"ACHIVE"},0)-1,
MATCH($I13,DAY('Activity Plan'!$S$7:$AW$7),0)))</f>
        <v>1</v>
      </c>
      <c r="L13" t="s">
        <v>20</v>
      </c>
      <c r="M13" t="s">
        <v>22</v>
      </c>
      <c r="N13">
        <v>5</v>
      </c>
      <c r="O13" s="71" cm="1">
        <f t="array" ref="O13">IF(INDEX('Activity Plan'!$S$34:$AW$99,
MATCH("*"&amp;TRIM($L13)&amp;"*",'Activity Plan'!$D$35:$D$100,0)+MATCH($M13,{"PLAN";"ACTUAL";"ACHIVE"},0)-1,
MATCH($N13,DAY('Activity Plan'!$S$7:$AW$7),0))=0,
"N/A",
INDEX('Activity Plan'!$S$34:$AW$99,
MATCH("*"&amp;TRIM($L13)&amp;"*",'Activity Plan'!$D$35:$D$100,0)+MATCH($M13,{"PLAN";"ACTUAL";"ACHIVE"},0)-1,
MATCH($N13,DAY('Activity Plan'!$S$7:$AW$7),0)))</f>
        <v>83</v>
      </c>
      <c r="Q13" t="s">
        <v>138</v>
      </c>
      <c r="R13" t="s">
        <v>22</v>
      </c>
      <c r="S13">
        <v>5</v>
      </c>
      <c r="T13" s="71" cm="1">
        <f t="array" ref="T13">IF(INDEX('Activity Plan'!$S$34:$AW$99,
MATCH("*"&amp;TRIM($Q13)&amp;"*",'Activity Plan'!$D$35:$D$100,0)+MATCH($R13,{"PLAN";"ACTUAL";"ACHIVE"},0)-1,
MATCH($S13,DAY('Activity Plan'!$S$7:$AW$7),0))=0,
"N/A",
INDEX('Activity Plan'!$S$34:$AW$99,
MATCH("*"&amp;TRIM($Q13)&amp;"*",'Activity Plan'!$D$35:$D$100,0)+MATCH($R13,{"PLAN";"ACTUAL";"ACHIVE"},0)-1,
MATCH($S13,DAY('Activity Plan'!$S$7:$AW$7),0)))</f>
        <v>83</v>
      </c>
      <c r="U13" s="71"/>
      <c r="V13" t="s">
        <v>19</v>
      </c>
      <c r="W13" t="s">
        <v>39</v>
      </c>
      <c r="X13" s="70">
        <v>10</v>
      </c>
      <c r="Y13" s="69" cm="1">
        <f t="array" ref="Y13">IF(INDEX('Activity Plan'!$S$34:$AW$99,
MATCH("*"&amp;TRIM($V13)&amp;"*",'Activity Plan'!$D$35:$D$100,0)+MATCH($W13,{"PLAN";"ACTUAL";"ACHIVE"},0)-1,
MATCH($X13,DAY('Activity Plan'!$S$7:$AW$7),0))=0,
"N/A",
INDEX('Activity Plan'!$S$34:$AW$99,
MATCH("*"&amp;TRIM($V13)&amp;"*",'Activity Plan'!$D$35:$D$100,0)+MATCH($W13,{"PLAN";"ACTUAL";"ACHIVE"},0)-1,
MATCH($X13,DAY('Activity Plan'!$S$7:$AW$7),0)))</f>
        <v>0.875</v>
      </c>
      <c r="AA13" t="s">
        <v>40</v>
      </c>
      <c r="AB13" t="s">
        <v>21</v>
      </c>
      <c r="AC13" s="70">
        <v>10</v>
      </c>
      <c r="AD13" s="77">
        <f>'Activity Plan'!AB33</f>
        <v>0.27666666666666706</v>
      </c>
      <c r="AF13" s="70">
        <f>IF(ROWS($Z$15:Z24)&gt;COUNTA(Tbl_SM[NO]),"N/A",ROWS($Z$15:Z24))</f>
        <v>10</v>
      </c>
      <c r="AG13" t="str">
        <f>IF(OR(Tbl_Summary[[#This Row],[NO]]="",Tbl_Summary[[#This Row],[NO]]="N/A"),"",_xlfn.XLOOKUP(Tbl_Summary[[#This Row],[NO]],Tbl_SM[NO],Tbl_SM[5 FACTOR]))</f>
        <v>METHOD</v>
      </c>
      <c r="AH13" t="str">
        <f>IF(OR(Tbl_Summary[[#This Row],[NO]]="",Tbl_Summary[[#This Row],[NO]]="N/A"),"",_xlfn.XLOOKUP(Tbl_Summary[[#This Row],[NO]],Tbl_SM[NO],Tbl_SM[CATEGORY]))</f>
        <v>Long Term / Development</v>
      </c>
      <c r="AI13" t="str">
        <f>IF(OR(Tbl_Summary[[#This Row],[NO]]="",Tbl_Summary[[#This Row],[NO]]="N/A"),"",_xlfn.XLOOKUP(Tbl_Summary[[#This Row],[NO]],Tbl_SM[NO],Tbl_SM[PIC]))</f>
        <v>GS-PLANT-LOG</v>
      </c>
      <c r="AJ13" s="72">
        <f>IF(OR(Tbl_Summary[[#This Row],[NO]]="",Tbl_Summary[[#This Row],[NO]]="N/A"),"",_xlfn.XLOOKUP(Tbl_Summary[[#This Row],[NO]],Tbl_SM[NO],Tbl_SM[PLAN START]))</f>
        <v>46204</v>
      </c>
      <c r="AK13" s="72">
        <f>IF(OR(Tbl_Summary[[#This Row],[NO]]="",Tbl_Summary[[#This Row],[NO]]="N/A"),"",_xlfn.XLOOKUP(Tbl_Summary[[#This Row],[NO]],Tbl_SM[NO],Tbl_SM[DUE DATA]))</f>
        <v>46234</v>
      </c>
      <c r="AL13" s="70">
        <f>IF(OR(Tbl_Summary[[#This Row],[NO]]="",Tbl_Summary[[#This Row],[NO]]="N/A"),"",_xlfn.XLOOKUP(Tbl_Summary[[#This Row],[NO]],Tbl_SM[NO],Tbl_SM[PLAN DURATION]))</f>
        <v>31</v>
      </c>
      <c r="AM13" s="72">
        <f>IFERROR(IF(OR(Tbl_Summary[[#This Row],[NO]]="",Tbl_Summary[[#This Row],[NO]]="N/A"),"",_xlfn.XLOOKUP(Tbl_Summary[[#This Row],[NO]],Tbl_SM[NO],Tbl_SM[ACTUAL START])),"")</f>
        <v>0</v>
      </c>
      <c r="AN13" s="72" t="str">
        <f>IFERROR(IF(OR(Tbl_Summary[[#This Row],[NO]]="",Tbl_Summary[[#This Row],[NO]]="N/A"),"N/A",
IF(_xlfn.XLOOKUP(Tbl_Summary[[#This Row],[NO]],Tbl_SM[NO],Tbl_SM[ACTUAL FINISH])=0,"N/A",
_xlfn.XLOOKUP(Tbl_Summary[[#This Row],[NO]],Tbl_SM[NO],Tbl_SM[ACTUAL FINISH]))),"N/A")</f>
        <v>N/A</v>
      </c>
      <c r="AO13" s="73" t="str">
        <f>IFERROR(IF(OR(Tbl_Summary[[#This Row],[NO]]="",Tbl_Summary[[#This Row],[NO]]="N/A"),"",_xlfn.XLOOKUP(Tbl_Summary[[#This Row],[NO]],Tbl_SM[NO],Tbl_SM[ACTUAL DURATION])),"")</f>
        <v>No Progress</v>
      </c>
      <c r="AP13" s="72" t="str">
        <f>IFERROR(IF(OR(Tbl_Summary[[#This Row],[NO]]="",Tbl_Summary[[#This Row],[NO]]="N/A"),"",_xlfn.XLOOKUP(Tbl_Summary[[#This Row],[NO]],Tbl_SM[NO],Tbl_SM[STATUS])),"")</f>
        <v>OPEN</v>
      </c>
      <c r="AQ13" s="72" t="str">
        <f ca="1">IFERROR(IF(OR(Tbl_Summary[[#This Row],[NO]]="",Tbl_Summary[[#This Row],[NO]]="N/A"),"",_xlfn.XLOOKUP(Tbl_Summary[[#This Row],[NO]],Tbl_SM[NO],Tbl_SM[DUE STATUS])),"")</f>
        <v>&gt; 14 HARI</v>
      </c>
      <c r="AR13" s="80">
        <f>IFERROR(IF(OR(Tbl_Summary[[#This Row],[NO]]="",Tbl_Summary[[#This Row],[NO]]="N/A"),"",_xlfn.XLOOKUP(Tbl_Summary[[#This Row],[NO]],Tbl_SM[NO],Tbl_SM[COMPLETION])),"")</f>
        <v>0.52666666666666595</v>
      </c>
      <c r="AS13" s="70">
        <f>IFERROR(IF(OR(Tbl_Summary[[#This Row],[NO]]="",Tbl_Summary[[#This Row],[NO]]="N/A"),"",_xlfn.XLOOKUP(Tbl_Summary[[#This Row],[NO]],Tbl_SM[NO],Tbl_SM[COMPLETION_FLAG])),"")</f>
        <v>0</v>
      </c>
      <c r="AU13" s="70">
        <f>IF(ROWS($Z$15:Z19)&gt;COUNTA(Tbl_SM[NO]),"N/A",ROWS($Z$15:Z19))</f>
        <v>5</v>
      </c>
      <c r="AV13" s="70" t="str">
        <f>IF(OR(Table8[[#This Row],[NO]]="",Table8[[#This Row],[NO]]="N/A"),"",_xlfn.XLOOKUP(Table8[[#This Row],[NO]],Tbl_SM[NO],Tbl_SM[5 FACTOR]))</f>
        <v>MAN</v>
      </c>
      <c r="AW13" t="str">
        <f>IF(OR(Table8[[#This Row],[NO]]="",Table8[[#This Row],[NO]]="N/A"),"",_xlfn.XLOOKUP(Table8[[#This Row],[NO]],Tbl_SM[NO],Tbl_SM[CATEGORY]))</f>
        <v>Long Term / Development</v>
      </c>
      <c r="AX13" s="77">
        <f>'Activity Plan'!GU12</f>
        <v>1</v>
      </c>
      <c r="AY13" s="77">
        <f>'Activity Plan'!GV12</f>
        <v>1</v>
      </c>
      <c r="AZ13" s="77">
        <f>'Activity Plan'!GW12</f>
        <v>1</v>
      </c>
      <c r="BA13" s="77">
        <f>'Activity Plan'!GX12</f>
        <v>1</v>
      </c>
      <c r="BB13" s="77">
        <f>'Activity Plan'!GY12</f>
        <v>1</v>
      </c>
      <c r="BC13" s="77">
        <f>'Activity Plan'!GZ12</f>
        <v>1</v>
      </c>
      <c r="BD13" s="77">
        <f>'Activity Plan'!HA12</f>
        <v>1</v>
      </c>
      <c r="BE13" s="77">
        <f>'Activity Plan'!HB12</f>
        <v>1</v>
      </c>
      <c r="BF13" s="77">
        <f>'Activity Plan'!HC12</f>
        <v>1</v>
      </c>
      <c r="BG13" s="77">
        <f>'Activity Plan'!HD12</f>
        <v>1</v>
      </c>
      <c r="BH13" s="77">
        <f>'Activity Plan'!HE12</f>
        <v>1</v>
      </c>
      <c r="BI13" s="77">
        <f>'Activity Plan'!HF12</f>
        <v>1</v>
      </c>
      <c r="BJ13" s="77">
        <f>'Activity Plan'!HG12</f>
        <v>1</v>
      </c>
      <c r="BK13" s="77">
        <f>'Activity Plan'!HH12</f>
        <v>1</v>
      </c>
      <c r="BL13" s="77">
        <f>'Activity Plan'!HI12</f>
        <v>1</v>
      </c>
      <c r="BM13" s="77">
        <f>'Activity Plan'!HJ12</f>
        <v>1</v>
      </c>
      <c r="BN13" s="77">
        <f>'Activity Plan'!HK12</f>
        <v>1</v>
      </c>
      <c r="BO13" s="77">
        <f>'Activity Plan'!HL12</f>
        <v>1</v>
      </c>
      <c r="BP13" s="77">
        <f>'Activity Plan'!HM12</f>
        <v>1</v>
      </c>
      <c r="BQ13" s="77">
        <f>'Activity Plan'!HN12</f>
        <v>1</v>
      </c>
      <c r="BR13" s="77">
        <f>'Activity Plan'!HO12</f>
        <v>1</v>
      </c>
      <c r="BS13" s="77">
        <f>'Activity Plan'!HP12</f>
        <v>1</v>
      </c>
      <c r="BT13" s="77">
        <f>'Activity Plan'!HQ12</f>
        <v>1</v>
      </c>
      <c r="BU13" s="77">
        <f>'Activity Plan'!HR12</f>
        <v>1</v>
      </c>
      <c r="BV13" s="77">
        <f>'Activity Plan'!HS12</f>
        <v>1</v>
      </c>
      <c r="BW13" s="77">
        <f>'Activity Plan'!HT12</f>
        <v>1</v>
      </c>
      <c r="BX13" s="77">
        <f>'Activity Plan'!HU12</f>
        <v>1</v>
      </c>
      <c r="BY13" s="77">
        <f>'Activity Plan'!HV12</f>
        <v>1</v>
      </c>
      <c r="BZ13" s="77">
        <f>'Activity Plan'!HW12</f>
        <v>1</v>
      </c>
      <c r="CA13" s="77">
        <f>'Activity Plan'!HX12</f>
        <v>1</v>
      </c>
      <c r="CB13" s="77">
        <f>'Activity Plan'!HY12</f>
        <v>1</v>
      </c>
      <c r="CF13">
        <v>1</v>
      </c>
      <c r="CG13" t="s">
        <v>30</v>
      </c>
      <c r="CH13" t="s">
        <v>2</v>
      </c>
      <c r="CI13" t="s">
        <v>59</v>
      </c>
      <c r="CJ13" s="68">
        <v>1</v>
      </c>
      <c r="CL13" t="s">
        <v>150</v>
      </c>
      <c r="CM13" t="s">
        <v>19</v>
      </c>
      <c r="CN13" t="s">
        <v>22</v>
      </c>
      <c r="CO13">
        <v>5</v>
      </c>
      <c r="CP13" cm="1">
        <f t="array" ref="CP13">IF(INDEX('Activity Plan'!$S$34:$AW$99,
MATCH("*"&amp;TRIM($B13)&amp;"*",'Activity Plan'!$D$35:$D$100,0)+MATCH($C13,{"PLAN";"ACTUAL";"ACHIVE"},0)-1,
MATCH($D13,DAY('Activity Plan'!$S$7:$AW$7),0))=0,
"N/A",
INDEX('Activity Plan'!$S$34:$AW$99,
MATCH("*"&amp;TRIM($B13)&amp;"*",'Activity Plan'!$D$35:$D$100,0)+MATCH($C13,{"PLAN";"ACTUAL";"ACHIVE"},0)-1,
MATCH($D13,DAY('Activity Plan'!$S$7:$AW$7),0)))</f>
        <v>16</v>
      </c>
      <c r="CR13" s="163">
        <v>10</v>
      </c>
      <c r="CS13" s="163" t="s">
        <v>131</v>
      </c>
      <c r="CU13">
        <f>'Activity Plan'!W7</f>
        <v>46178</v>
      </c>
      <c r="CV13" t="s">
        <v>22</v>
      </c>
      <c r="CW13" s="194">
        <f>IFERROR(IF('Activity Plan'!BB33=0,"N/A",'Activity Plan'!BB33),"N/A")</f>
        <v>0.56833333333333114</v>
      </c>
      <c r="CZ13">
        <f t="shared" si="0"/>
        <v>10</v>
      </c>
      <c r="DA13" s="199">
        <f>SUMIFS(TBL_ACHIVEMENT[VALUE],
        TBL_ACHIVEMENT[DATE],TBL_ACHIVEMENT[[#This Row],[DATE]],
        TBL_ACHIVEMENT[CATEGORY],"PLAN")</f>
        <v>0.27666666666666706</v>
      </c>
      <c r="DB13" s="144">
        <f>SUMIFS(TBL_ACHIVEMENT[VALUE],
        TBL_ACHIVEMENT[DATE],TBL_ACHIVEMENT[[#This Row],[DATE]],
        TBL_ACHIVEMENT[CATEGORY],"ACTUAL")</f>
        <v>0.7200000000000002</v>
      </c>
      <c r="DC13" s="198">
        <f>SUMIFS(TBL_DOZER_READINESS[VALUE],
        TBL_DOZER_READINESS[DATE],TBL_DOZER_READINESS[[#This Row],[DATE]],
        TBL_DOZER_READINESS[CATEGORY],"ACTUAL")</f>
        <v>16</v>
      </c>
      <c r="DD13" s="200">
        <f>SUMIFS(TBL_PA_DOZER[VALUE],
TBL_PA_DOZER[DATE],TBL_PA_DOZER[[#This Row],[DATE]],
TBL_PA_DOZER[CATEGORY],"ACTUAL")</f>
        <v>1</v>
      </c>
      <c r="DE13">
        <f>SUMIFS(Tbl_MTBF[VALUE],
Tbl_MTBF[DATE],Tbl_MTBF[[#This Row],[DATE]],
Tbl_MTBF[CATEGORY],"ACTUAL")</f>
        <v>83</v>
      </c>
      <c r="DF13">
        <f>SUMIFS(Tbl_MTTR[VALUE],
Tbl_MTTR[DATE],Tbl_MTTR[[#This Row],[DATE]],
Tbl_MTTR[CATEGORY],"ACTUAL")</f>
        <v>83</v>
      </c>
    </row>
    <row r="14" spans="2:110" x14ac:dyDescent="0.35">
      <c r="B14" t="s">
        <v>19</v>
      </c>
      <c r="C14" t="s">
        <v>21</v>
      </c>
      <c r="D14">
        <v>6</v>
      </c>
      <c r="E14" cm="1">
        <f t="array" ref="E14">IF(INDEX('Activity Plan'!$S$34:$AW$99,
MATCH("*"&amp;TRIM($B14)&amp;"*",'Activity Plan'!$D$35:$D$100,0)+MATCH($C14,{"PLAN";"ACTUAL";"ACHIVE"},0)-1,
MATCH($D14,DAY('Activity Plan'!$S$7:$AW$7),0))=0,
"N/A",
INDEX('Activity Plan'!$S$34:$AW$99,
MATCH("*"&amp;TRIM($B14)&amp;"*",'Activity Plan'!$D$35:$D$100,0)+MATCH($C14,{"PLAN";"ACTUAL";"ACHIVE"},0)-1,
MATCH($D14,DAY('Activity Plan'!$S$7:$AW$7),0)))</f>
        <v>16</v>
      </c>
      <c r="G14" t="s">
        <v>18</v>
      </c>
      <c r="H14" t="s">
        <v>21</v>
      </c>
      <c r="I14">
        <v>6</v>
      </c>
      <c r="J14" s="68" cm="1">
        <f t="array" ref="J14">IF(INDEX('Activity Plan'!$S$34:$AW$99,
MATCH("*"&amp;TRIM($G14)&amp;"*",'Activity Plan'!$D$35:$D$100,0)+MATCH($H14,{"PLAN";"ACTUAL";"ACHIVE"},0)-1,
MATCH($I14,DAY('Activity Plan'!$S$7:$AW$7),0))=0,
"N/A",
INDEX('Activity Plan'!$S$34:$AW$99,
MATCH("*"&amp;TRIM($G14)&amp;"*",'Activity Plan'!$D$35:$D$100,0)+MATCH($H14,{"PLAN";"ACTUAL";"ACHIVE"},0)-1,
MATCH($I14,DAY('Activity Plan'!$S$7:$AW$7),0)))</f>
        <v>0.9</v>
      </c>
      <c r="L14" t="s">
        <v>20</v>
      </c>
      <c r="M14" t="s">
        <v>21</v>
      </c>
      <c r="N14">
        <v>6</v>
      </c>
      <c r="O14" s="71" cm="1">
        <f t="array" ref="O14">IF(INDEX('Activity Plan'!$S$34:$AW$99,
MATCH("*"&amp;TRIM($L14)&amp;"*",'Activity Plan'!$D$35:$D$100,0)+MATCH($M14,{"PLAN";"ACTUAL";"ACHIVE"},0)-1,
MATCH($N14,DAY('Activity Plan'!$S$7:$AW$7),0))=0,
"N/A",
INDEX('Activity Plan'!$S$34:$AW$99,
MATCH("*"&amp;TRIM($L14)&amp;"*",'Activity Plan'!$D$35:$D$100,0)+MATCH($M14,{"PLAN";"ACTUAL";"ACHIVE"},0)-1,
MATCH($N14,DAY('Activity Plan'!$S$7:$AW$7),0)))</f>
        <v>70</v>
      </c>
      <c r="Q14" t="s">
        <v>138</v>
      </c>
      <c r="R14" t="s">
        <v>21</v>
      </c>
      <c r="S14">
        <v>6</v>
      </c>
      <c r="T14" s="71" cm="1">
        <f t="array" ref="T14">IF(INDEX('Activity Plan'!$S$34:$AW$99,
MATCH("*"&amp;TRIM($Q14)&amp;"*",'Activity Plan'!$D$35:$D$100,0)+MATCH($R14,{"PLAN";"ACTUAL";"ACHIVE"},0)-1,
MATCH($S14,DAY('Activity Plan'!$S$7:$AW$7),0))=0,
"N/A",
INDEX('Activity Plan'!$S$34:$AW$99,
MATCH("*"&amp;TRIM($Q14)&amp;"*",'Activity Plan'!$D$35:$D$100,0)+MATCH($R14,{"PLAN";"ACTUAL";"ACHIVE"},0)-1,
MATCH($S14,DAY('Activity Plan'!$S$7:$AW$7),0)))</f>
        <v>80</v>
      </c>
      <c r="U14" s="71"/>
      <c r="V14" t="s">
        <v>19</v>
      </c>
      <c r="W14" t="s">
        <v>39</v>
      </c>
      <c r="X14" s="70">
        <v>11</v>
      </c>
      <c r="Y14" s="69" cm="1">
        <f t="array" ref="Y14">IF(INDEX('Activity Plan'!$S$34:$AW$99,
MATCH("*"&amp;TRIM($V14)&amp;"*",'Activity Plan'!$D$35:$D$100,0)+MATCH($W14,{"PLAN";"ACTUAL";"ACHIVE"},0)-1,
MATCH($X14,DAY('Activity Plan'!$S$7:$AW$7),0))=0,
"N/A",
INDEX('Activity Plan'!$S$34:$AW$99,
MATCH("*"&amp;TRIM($V14)&amp;"*",'Activity Plan'!$D$35:$D$100,0)+MATCH($W14,{"PLAN";"ACTUAL";"ACHIVE"},0)-1,
MATCH($X14,DAY('Activity Plan'!$S$7:$AW$7),0)))</f>
        <v>0.6875</v>
      </c>
      <c r="AA14" t="s">
        <v>40</v>
      </c>
      <c r="AB14" t="s">
        <v>21</v>
      </c>
      <c r="AC14" s="70">
        <v>11</v>
      </c>
      <c r="AD14" s="77">
        <f>'Activity Plan'!AC33</f>
        <v>0.30166666666666692</v>
      </c>
      <c r="AF14" s="70">
        <f>IF(ROWS($Z$15:Z25)&gt;COUNTA(Tbl_SM[NO]),"N/A",ROWS($Z$15:Z25))</f>
        <v>11</v>
      </c>
      <c r="AG14" t="str">
        <f>IF(OR(Tbl_Summary[[#This Row],[NO]]="",Tbl_Summary[[#This Row],[NO]]="N/A"),"",_xlfn.XLOOKUP(Tbl_Summary[[#This Row],[NO]],Tbl_SM[NO],Tbl_SM[5 FACTOR]))</f>
        <v>METHOD</v>
      </c>
      <c r="AH14" t="str">
        <f>IF(OR(Tbl_Summary[[#This Row],[NO]]="",Tbl_Summary[[#This Row],[NO]]="N/A"),"",_xlfn.XLOOKUP(Tbl_Summary[[#This Row],[NO]],Tbl_SM[NO],Tbl_SM[CATEGORY]))</f>
        <v>Quick Action</v>
      </c>
      <c r="AI14" t="str">
        <f>IF(OR(Tbl_Summary[[#This Row],[NO]]="",Tbl_Summary[[#This Row],[NO]]="N/A"),"",_xlfn.XLOOKUP(Tbl_Summary[[#This Row],[NO]],Tbl_SM[NO],Tbl_SM[PIC]))</f>
        <v>GS-PLANT-USER</v>
      </c>
      <c r="AJ14" s="72">
        <f>IF(OR(Tbl_Summary[[#This Row],[NO]]="",Tbl_Summary[[#This Row],[NO]]="N/A"),"",_xlfn.XLOOKUP(Tbl_Summary[[#This Row],[NO]],Tbl_SM[NO],Tbl_SM[PLAN START]))</f>
        <v>46188</v>
      </c>
      <c r="AK14" s="72">
        <f>IF(OR(Tbl_Summary[[#This Row],[NO]]="",Tbl_Summary[[#This Row],[NO]]="N/A"),"",_xlfn.XLOOKUP(Tbl_Summary[[#This Row],[NO]],Tbl_SM[NO],Tbl_SM[DUE DATA]))</f>
        <v>46199</v>
      </c>
      <c r="AL14" s="70">
        <f>IF(OR(Tbl_Summary[[#This Row],[NO]]="",Tbl_Summary[[#This Row],[NO]]="N/A"),"",_xlfn.XLOOKUP(Tbl_Summary[[#This Row],[NO]],Tbl_SM[NO],Tbl_SM[PLAN DURATION]))</f>
        <v>12</v>
      </c>
      <c r="AM14" s="72">
        <f>IFERROR(IF(OR(Tbl_Summary[[#This Row],[NO]]="",Tbl_Summary[[#This Row],[NO]]="N/A"),"",_xlfn.XLOOKUP(Tbl_Summary[[#This Row],[NO]],Tbl_SM[NO],Tbl_SM[ACTUAL START])),"")</f>
        <v>0</v>
      </c>
      <c r="AN14" s="72" t="str">
        <f>IFERROR(IF(OR(Tbl_Summary[[#This Row],[NO]]="",Tbl_Summary[[#This Row],[NO]]="N/A"),"N/A",
IF(_xlfn.XLOOKUP(Tbl_Summary[[#This Row],[NO]],Tbl_SM[NO],Tbl_SM[ACTUAL FINISH])=0,"N/A",
_xlfn.XLOOKUP(Tbl_Summary[[#This Row],[NO]],Tbl_SM[NO],Tbl_SM[ACTUAL FINISH]))),"N/A")</f>
        <v>N/A</v>
      </c>
      <c r="AO14" s="73" t="str">
        <f>IFERROR(IF(OR(Tbl_Summary[[#This Row],[NO]]="",Tbl_Summary[[#This Row],[NO]]="N/A"),"",_xlfn.XLOOKUP(Tbl_Summary[[#This Row],[NO]],Tbl_SM[NO],Tbl_SM[ACTUAL DURATION])),"")</f>
        <v>No Progress</v>
      </c>
      <c r="AP14" s="72" t="str">
        <f>IFERROR(IF(OR(Tbl_Summary[[#This Row],[NO]]="",Tbl_Summary[[#This Row],[NO]]="N/A"),"",_xlfn.XLOOKUP(Tbl_Summary[[#This Row],[NO]],Tbl_SM[NO],Tbl_SM[STATUS])),"")</f>
        <v>OPEN</v>
      </c>
      <c r="AQ14" s="72" t="str">
        <f ca="1">IFERROR(IF(OR(Tbl_Summary[[#This Row],[NO]]="",Tbl_Summary[[#This Row],[NO]]="N/A"),"",_xlfn.XLOOKUP(Tbl_Summary[[#This Row],[NO]],Tbl_SM[NO],Tbl_SM[DUE STATUS])),"")</f>
        <v>&gt; 14 HARI</v>
      </c>
      <c r="AR14" s="80">
        <f>IFERROR(IF(OR(Tbl_Summary[[#This Row],[NO]]="",Tbl_Summary[[#This Row],[NO]]="N/A"),"",_xlfn.XLOOKUP(Tbl_Summary[[#This Row],[NO]],Tbl_SM[NO],Tbl_SM[COMPLETION])),"")</f>
        <v>0.52666666666666595</v>
      </c>
      <c r="AS14" s="70">
        <f>IFERROR(IF(OR(Tbl_Summary[[#This Row],[NO]]="",Tbl_Summary[[#This Row],[NO]]="N/A"),"",_xlfn.XLOOKUP(Tbl_Summary[[#This Row],[NO]],Tbl_SM[NO],Tbl_SM[COMPLETION_FLAG])),"")</f>
        <v>0</v>
      </c>
      <c r="AU14" s="70">
        <f>IF(ROWS($Z$15:Z20)&gt;COUNTA(Tbl_SM[NO]),"N/A",ROWS($Z$15:Z20))</f>
        <v>6</v>
      </c>
      <c r="AV14" s="70" t="str">
        <f>IF(OR(Table8[[#This Row],[NO]]="",Table8[[#This Row],[NO]]="N/A"),"",_xlfn.XLOOKUP(Table8[[#This Row],[NO]],Tbl_SM[NO],Tbl_SM[5 FACTOR]))</f>
        <v>METHOD</v>
      </c>
      <c r="AW14" t="str">
        <f>IF(OR(Table8[[#This Row],[NO]]="",Table8[[#This Row],[NO]]="N/A"),"",_xlfn.XLOOKUP(Table8[[#This Row],[NO]],Tbl_SM[NO],Tbl_SM[CATEGORY]))</f>
        <v>Quick Action</v>
      </c>
      <c r="AX14" s="77">
        <f>'Activity Plan'!GU13</f>
        <v>1</v>
      </c>
      <c r="AY14" s="77">
        <f>'Activity Plan'!GV13</f>
        <v>1</v>
      </c>
      <c r="AZ14" s="77">
        <f>'Activity Plan'!GW13</f>
        <v>1</v>
      </c>
      <c r="BA14" s="77">
        <f>'Activity Plan'!GX13</f>
        <v>1</v>
      </c>
      <c r="BB14" s="77">
        <f>'Activity Plan'!GY13</f>
        <v>1</v>
      </c>
      <c r="BC14" s="77">
        <f>'Activity Plan'!GZ13</f>
        <v>1</v>
      </c>
      <c r="BD14" s="77">
        <f>'Activity Plan'!HA13</f>
        <v>1</v>
      </c>
      <c r="BE14" s="77">
        <f>'Activity Plan'!HB13</f>
        <v>1</v>
      </c>
      <c r="BF14" s="77">
        <f>'Activity Plan'!HC13</f>
        <v>1</v>
      </c>
      <c r="BG14" s="77">
        <f>'Activity Plan'!HD13</f>
        <v>1</v>
      </c>
      <c r="BH14" s="77">
        <f>'Activity Plan'!HE13</f>
        <v>1</v>
      </c>
      <c r="BI14" s="77">
        <f>'Activity Plan'!HF13</f>
        <v>1</v>
      </c>
      <c r="BJ14" s="77">
        <f>'Activity Plan'!HG13</f>
        <v>1</v>
      </c>
      <c r="BK14" s="77">
        <f>'Activity Plan'!HH13</f>
        <v>1</v>
      </c>
      <c r="BL14" s="77">
        <f>'Activity Plan'!HI13</f>
        <v>1</v>
      </c>
      <c r="BM14" s="77">
        <f>'Activity Plan'!HJ13</f>
        <v>1</v>
      </c>
      <c r="BN14" s="77">
        <f>'Activity Plan'!HK13</f>
        <v>1</v>
      </c>
      <c r="BO14" s="77">
        <f>'Activity Plan'!HL13</f>
        <v>1</v>
      </c>
      <c r="BP14" s="77">
        <f>'Activity Plan'!HM13</f>
        <v>1</v>
      </c>
      <c r="BQ14" s="77">
        <f>'Activity Plan'!HN13</f>
        <v>1</v>
      </c>
      <c r="BR14" s="77">
        <f>'Activity Plan'!HO13</f>
        <v>1</v>
      </c>
      <c r="BS14" s="77">
        <f>'Activity Plan'!HP13</f>
        <v>1</v>
      </c>
      <c r="BT14" s="77">
        <f>'Activity Plan'!HQ13</f>
        <v>1</v>
      </c>
      <c r="BU14" s="77">
        <f>'Activity Plan'!HR13</f>
        <v>1</v>
      </c>
      <c r="BV14" s="77">
        <f>'Activity Plan'!HS13</f>
        <v>1</v>
      </c>
      <c r="BW14" s="77">
        <f>'Activity Plan'!HT13</f>
        <v>1</v>
      </c>
      <c r="BX14" s="77">
        <f>'Activity Plan'!HU13</f>
        <v>1</v>
      </c>
      <c r="BY14" s="77">
        <f>'Activity Plan'!HV13</f>
        <v>1</v>
      </c>
      <c r="BZ14" s="77">
        <f>'Activity Plan'!HW13</f>
        <v>1</v>
      </c>
      <c r="CA14" s="77">
        <f>'Activity Plan'!HX13</f>
        <v>1</v>
      </c>
      <c r="CB14" s="77">
        <f>'Activity Plan'!HY13</f>
        <v>1</v>
      </c>
      <c r="CF14">
        <v>1</v>
      </c>
      <c r="CG14" t="s">
        <v>30</v>
      </c>
      <c r="CH14" t="s">
        <v>2</v>
      </c>
      <c r="CI14" t="s">
        <v>60</v>
      </c>
      <c r="CJ14" s="68">
        <v>1</v>
      </c>
      <c r="CL14" t="s">
        <v>150</v>
      </c>
      <c r="CM14" t="s">
        <v>19</v>
      </c>
      <c r="CN14" t="s">
        <v>21</v>
      </c>
      <c r="CO14">
        <v>6</v>
      </c>
      <c r="CP14" cm="1">
        <f t="array" ref="CP14">IF(INDEX('Activity Plan'!$S$34:$AW$99,
MATCH("*"&amp;TRIM($B14)&amp;"*",'Activity Plan'!$D$35:$D$100,0)+MATCH($C14,{"PLAN";"ACTUAL";"ACHIVE"},0)-1,
MATCH($D14,DAY('Activity Plan'!$S$7:$AW$7),0))=0,
"N/A",
INDEX('Activity Plan'!$S$34:$AW$99,
MATCH("*"&amp;TRIM($B14)&amp;"*",'Activity Plan'!$D$35:$D$100,0)+MATCH($C14,{"PLAN";"ACTUAL";"ACHIVE"},0)-1,
MATCH($D14,DAY('Activity Plan'!$S$7:$AW$7),0)))</f>
        <v>16</v>
      </c>
      <c r="CR14" s="163">
        <v>11</v>
      </c>
      <c r="CS14" s="163" t="s">
        <v>132</v>
      </c>
      <c r="CU14">
        <f>'Activity Plan'!X7</f>
        <v>46179</v>
      </c>
      <c r="CV14" t="s">
        <v>21</v>
      </c>
      <c r="CW14" s="194">
        <f>IFERROR(IF('Activity Plan'!X33=0,"N/A",'Activity Plan'!X33),"N/A")</f>
        <v>0.17666666666666708</v>
      </c>
      <c r="CZ14">
        <f t="shared" si="0"/>
        <v>11</v>
      </c>
      <c r="DA14" s="199">
        <f>SUMIFS(TBL_ACHIVEMENT[VALUE],
        TBL_ACHIVEMENT[DATE],TBL_ACHIVEMENT[[#This Row],[DATE]],
        TBL_ACHIVEMENT[CATEGORY],"PLAN")</f>
        <v>0.30166666666666692</v>
      </c>
      <c r="DB14" s="144">
        <f>SUMIFS(TBL_ACHIVEMENT[VALUE],
        TBL_ACHIVEMENT[DATE],TBL_ACHIVEMENT[[#This Row],[DATE]],
        TBL_ACHIVEMENT[CATEGORY],"ACTUAL")</f>
        <v>0.75</v>
      </c>
      <c r="DC14" s="198">
        <f>SUMIFS(TBL_DOZER_READINESS[VALUE],
        TBL_DOZER_READINESS[DATE],TBL_DOZER_READINESS[[#This Row],[DATE]],
        TBL_DOZER_READINESS[CATEGORY],"ACTUAL")</f>
        <v>14</v>
      </c>
      <c r="DD14" s="200">
        <f>SUMIFS(TBL_PA_DOZER[VALUE],
TBL_PA_DOZER[DATE],TBL_PA_DOZER[[#This Row],[DATE]],
TBL_PA_DOZER[CATEGORY],"ACTUAL")</f>
        <v>0.9</v>
      </c>
      <c r="DE14">
        <f>SUMIFS(Tbl_MTBF[VALUE],
Tbl_MTBF[DATE],Tbl_MTBF[[#This Row],[DATE]],
Tbl_MTBF[CATEGORY],"ACTUAL")</f>
        <v>65</v>
      </c>
      <c r="DF14">
        <f>SUMIFS(Tbl_MTTR[VALUE],
Tbl_MTTR[DATE],Tbl_MTTR[[#This Row],[DATE]],
Tbl_MTTR[CATEGORY],"ACTUAL")</f>
        <v>65</v>
      </c>
    </row>
    <row r="15" spans="2:110" x14ac:dyDescent="0.35">
      <c r="B15" t="s">
        <v>19</v>
      </c>
      <c r="C15" t="s">
        <v>22</v>
      </c>
      <c r="D15">
        <v>6</v>
      </c>
      <c r="E15" cm="1">
        <f t="array" ref="E15">IF(INDEX('Activity Plan'!$S$34:$AW$99,
MATCH("*"&amp;TRIM($B15)&amp;"*",'Activity Plan'!$D$35:$D$100,0)+MATCH($C15,{"PLAN";"ACTUAL";"ACHIVE"},0)-1,
MATCH($D15,DAY('Activity Plan'!$S$7:$AW$7),0))=0,
"N/A",
INDEX('Activity Plan'!$S$34:$AW$99,
MATCH("*"&amp;TRIM($B15)&amp;"*",'Activity Plan'!$D$35:$D$100,0)+MATCH($C15,{"PLAN";"ACTUAL";"ACHIVE"},0)-1,
MATCH($D15,DAY('Activity Plan'!$S$7:$AW$7),0)))</f>
        <v>14</v>
      </c>
      <c r="G15" t="s">
        <v>18</v>
      </c>
      <c r="H15" t="s">
        <v>22</v>
      </c>
      <c r="I15">
        <v>6</v>
      </c>
      <c r="J15" s="68" cm="1">
        <f t="array" ref="J15">IF(INDEX('Activity Plan'!$S$34:$AW$99,
MATCH("*"&amp;TRIM($G15)&amp;"*",'Activity Plan'!$D$35:$D$100,0)+MATCH($H15,{"PLAN";"ACTUAL";"ACHIVE"},0)-1,
MATCH($I15,DAY('Activity Plan'!$S$7:$AW$7),0))=0,
"N/A",
INDEX('Activity Plan'!$S$34:$AW$99,
MATCH("*"&amp;TRIM($G15)&amp;"*",'Activity Plan'!$D$35:$D$100,0)+MATCH($H15,{"PLAN";"ACTUAL";"ACHIVE"},0)-1,
MATCH($I15,DAY('Activity Plan'!$S$7:$AW$7),0)))</f>
        <v>0.9</v>
      </c>
      <c r="L15" t="s">
        <v>20</v>
      </c>
      <c r="M15" t="s">
        <v>22</v>
      </c>
      <c r="N15">
        <v>6</v>
      </c>
      <c r="O15" s="71" cm="1">
        <f t="array" ref="O15">IF(INDEX('Activity Plan'!$S$34:$AW$99,
MATCH("*"&amp;TRIM($L15)&amp;"*",'Activity Plan'!$D$35:$D$100,0)+MATCH($M15,{"PLAN";"ACTUAL";"ACHIVE"},0)-1,
MATCH($N15,DAY('Activity Plan'!$S$7:$AW$7),0))=0,
"N/A",
INDEX('Activity Plan'!$S$34:$AW$99,
MATCH("*"&amp;TRIM($L15)&amp;"*",'Activity Plan'!$D$35:$D$100,0)+MATCH($M15,{"PLAN";"ACTUAL";"ACHIVE"},0)-1,
MATCH($N15,DAY('Activity Plan'!$S$7:$AW$7),0)))</f>
        <v>65</v>
      </c>
      <c r="Q15" t="s">
        <v>138</v>
      </c>
      <c r="R15" t="s">
        <v>22</v>
      </c>
      <c r="S15">
        <v>6</v>
      </c>
      <c r="T15" s="71" cm="1">
        <f t="array" ref="T15">IF(INDEX('Activity Plan'!$S$34:$AW$99,
MATCH("*"&amp;TRIM($Q15)&amp;"*",'Activity Plan'!$D$35:$D$100,0)+MATCH($R15,{"PLAN";"ACTUAL";"ACHIVE"},0)-1,
MATCH($S15,DAY('Activity Plan'!$S$7:$AW$7),0))=0,
"N/A",
INDEX('Activity Plan'!$S$34:$AW$99,
MATCH("*"&amp;TRIM($Q15)&amp;"*",'Activity Plan'!$D$35:$D$100,0)+MATCH($R15,{"PLAN";"ACTUAL";"ACHIVE"},0)-1,
MATCH($S15,DAY('Activity Plan'!$S$7:$AW$7),0)))</f>
        <v>65</v>
      </c>
      <c r="U15" s="71"/>
      <c r="V15" t="s">
        <v>19</v>
      </c>
      <c r="W15" t="s">
        <v>39</v>
      </c>
      <c r="X15" s="70">
        <v>12</v>
      </c>
      <c r="Y15" s="69" cm="1">
        <f t="array" ref="Y15">IF(INDEX('Activity Plan'!$S$34:$AW$99,
MATCH("*"&amp;TRIM($V15)&amp;"*",'Activity Plan'!$D$35:$D$100,0)+MATCH($W15,{"PLAN";"ACTUAL";"ACHIVE"},0)-1,
MATCH($X15,DAY('Activity Plan'!$S$7:$AW$7),0))=0,
"N/A",
INDEX('Activity Plan'!$S$34:$AW$99,
MATCH("*"&amp;TRIM($V15)&amp;"*",'Activity Plan'!$D$35:$D$100,0)+MATCH($W15,{"PLAN";"ACTUAL";"ACHIVE"},0)-1,
MATCH($X15,DAY('Activity Plan'!$S$7:$AW$7),0)))</f>
        <v>1</v>
      </c>
      <c r="AA15" t="s">
        <v>40</v>
      </c>
      <c r="AB15" t="s">
        <v>21</v>
      </c>
      <c r="AC15" s="70">
        <v>12</v>
      </c>
      <c r="AD15" s="77">
        <f>'Activity Plan'!AD33</f>
        <v>0.32666666666666705</v>
      </c>
      <c r="AF15" s="70">
        <f>IF(ROWS($Z$15:Z26)&gt;COUNTA(Tbl_SM[NO]),"N/A",ROWS($Z$15:Z26))</f>
        <v>12</v>
      </c>
      <c r="AG15" t="str">
        <f>IF(OR(Tbl_Summary[[#This Row],[NO]]="",Tbl_Summary[[#This Row],[NO]]="N/A"),"",_xlfn.XLOOKUP(Tbl_Summary[[#This Row],[NO]],Tbl_SM[NO],Tbl_SM[5 FACTOR]))</f>
        <v>MACHINE</v>
      </c>
      <c r="AH15" t="str">
        <f>IF(OR(Tbl_Summary[[#This Row],[NO]]="",Tbl_Summary[[#This Row],[NO]]="N/A"),"",_xlfn.XLOOKUP(Tbl_Summary[[#This Row],[NO]],Tbl_SM[NO],Tbl_SM[CATEGORY]))</f>
        <v>Quick Action</v>
      </c>
      <c r="AI15" t="str">
        <f>IF(OR(Tbl_Summary[[#This Row],[NO]]="",Tbl_Summary[[#This Row],[NO]]="N/A"),"",_xlfn.XLOOKUP(Tbl_Summary[[#This Row],[NO]],Tbl_SM[NO],Tbl_SM[PIC]))</f>
        <v>GS-PLANT</v>
      </c>
      <c r="AJ15" s="72">
        <f>IF(OR(Tbl_Summary[[#This Row],[NO]]="",Tbl_Summary[[#This Row],[NO]]="N/A"),"",_xlfn.XLOOKUP(Tbl_Summary[[#This Row],[NO]],Tbl_SM[NO],Tbl_SM[PLAN START]))</f>
        <v>46181</v>
      </c>
      <c r="AK15" s="72">
        <f>IF(OR(Tbl_Summary[[#This Row],[NO]]="",Tbl_Summary[[#This Row],[NO]]="N/A"),"",_xlfn.XLOOKUP(Tbl_Summary[[#This Row],[NO]],Tbl_SM[NO],Tbl_SM[DUE DATA]))</f>
        <v>46206</v>
      </c>
      <c r="AL15" s="70">
        <f>IF(OR(Tbl_Summary[[#This Row],[NO]]="",Tbl_Summary[[#This Row],[NO]]="N/A"),"",_xlfn.XLOOKUP(Tbl_Summary[[#This Row],[NO]],Tbl_SM[NO],Tbl_SM[PLAN DURATION]))</f>
        <v>26</v>
      </c>
      <c r="AM15" s="72">
        <f>IFERROR(IF(OR(Tbl_Summary[[#This Row],[NO]]="",Tbl_Summary[[#This Row],[NO]]="N/A"),"",_xlfn.XLOOKUP(Tbl_Summary[[#This Row],[NO]],Tbl_SM[NO],Tbl_SM[ACTUAL START])),"")</f>
        <v>0</v>
      </c>
      <c r="AN15" s="72" t="str">
        <f>IFERROR(IF(OR(Tbl_Summary[[#This Row],[NO]]="",Tbl_Summary[[#This Row],[NO]]="N/A"),"N/A",
IF(_xlfn.XLOOKUP(Tbl_Summary[[#This Row],[NO]],Tbl_SM[NO],Tbl_SM[ACTUAL FINISH])=0,"N/A",
_xlfn.XLOOKUP(Tbl_Summary[[#This Row],[NO]],Tbl_SM[NO],Tbl_SM[ACTUAL FINISH]))),"N/A")</f>
        <v>N/A</v>
      </c>
      <c r="AO15" s="73" t="str">
        <f>IFERROR(IF(OR(Tbl_Summary[[#This Row],[NO]]="",Tbl_Summary[[#This Row],[NO]]="N/A"),"",_xlfn.XLOOKUP(Tbl_Summary[[#This Row],[NO]],Tbl_SM[NO],Tbl_SM[ACTUAL DURATION])),"")</f>
        <v>No Progress</v>
      </c>
      <c r="AP15" s="72" t="str">
        <f>IFERROR(IF(OR(Tbl_Summary[[#This Row],[NO]]="",Tbl_Summary[[#This Row],[NO]]="N/A"),"",_xlfn.XLOOKUP(Tbl_Summary[[#This Row],[NO]],Tbl_SM[NO],Tbl_SM[STATUS])),"")</f>
        <v>OPEN</v>
      </c>
      <c r="AQ15" s="72" t="str">
        <f ca="1">IFERROR(IF(OR(Tbl_Summary[[#This Row],[NO]]="",Tbl_Summary[[#This Row],[NO]]="N/A"),"",_xlfn.XLOOKUP(Tbl_Summary[[#This Row],[NO]],Tbl_SM[NO],Tbl_SM[DUE STATUS])),"")</f>
        <v>&gt; 14 HARI</v>
      </c>
      <c r="AR15" s="80">
        <f>IFERROR(IF(OR(Tbl_Summary[[#This Row],[NO]]="",Tbl_Summary[[#This Row],[NO]]="N/A"),"",_xlfn.XLOOKUP(Tbl_Summary[[#This Row],[NO]],Tbl_SM[NO],Tbl_SM[COMPLETION])),"")</f>
        <v>0.52666666666666595</v>
      </c>
      <c r="AS15" s="70">
        <f>IFERROR(IF(OR(Tbl_Summary[[#This Row],[NO]]="",Tbl_Summary[[#This Row],[NO]]="N/A"),"",_xlfn.XLOOKUP(Tbl_Summary[[#This Row],[NO]],Tbl_SM[NO],Tbl_SM[COMPLETION_FLAG])),"")</f>
        <v>0</v>
      </c>
      <c r="AU15" s="70">
        <f>IF(ROWS($Z$15:Z21)&gt;COUNTA(Tbl_SM[NO]),"N/A",ROWS($Z$15:Z21))</f>
        <v>7</v>
      </c>
      <c r="AV15" s="70" t="str">
        <f>IF(OR(Table8[[#This Row],[NO]]="",Table8[[#This Row],[NO]]="N/A"),"",_xlfn.XLOOKUP(Table8[[#This Row],[NO]],Tbl_SM[NO],Tbl_SM[5 FACTOR]))</f>
        <v>METHOD</v>
      </c>
      <c r="AW15" t="str">
        <f>IF(OR(Table8[[#This Row],[NO]]="",Table8[[#This Row],[NO]]="N/A"),"",_xlfn.XLOOKUP(Table8[[#This Row],[NO]],Tbl_SM[NO],Tbl_SM[CATEGORY]))</f>
        <v>Quick Action</v>
      </c>
      <c r="AX15" s="77">
        <f>'Activity Plan'!GU14</f>
        <v>1</v>
      </c>
      <c r="AY15" s="77">
        <f>'Activity Plan'!GV14</f>
        <v>1</v>
      </c>
      <c r="AZ15" s="77">
        <f>'Activity Plan'!GW14</f>
        <v>1</v>
      </c>
      <c r="BA15" s="77">
        <f>'Activity Plan'!GX14</f>
        <v>1</v>
      </c>
      <c r="BB15" s="77">
        <f>'Activity Plan'!GY14</f>
        <v>1</v>
      </c>
      <c r="BC15" s="77">
        <f>'Activity Plan'!GZ14</f>
        <v>1</v>
      </c>
      <c r="BD15" s="77">
        <f>'Activity Plan'!HA14</f>
        <v>1</v>
      </c>
      <c r="BE15" s="77">
        <f>'Activity Plan'!HB14</f>
        <v>1</v>
      </c>
      <c r="BF15" s="77">
        <f>'Activity Plan'!HC14</f>
        <v>1</v>
      </c>
      <c r="BG15" s="77">
        <f>'Activity Plan'!HD14</f>
        <v>1</v>
      </c>
      <c r="BH15" s="77">
        <f>'Activity Plan'!HE14</f>
        <v>1</v>
      </c>
      <c r="BI15" s="77">
        <f>'Activity Plan'!HF14</f>
        <v>1</v>
      </c>
      <c r="BJ15" s="77">
        <f>'Activity Plan'!HG14</f>
        <v>1</v>
      </c>
      <c r="BK15" s="77">
        <f>'Activity Plan'!HH14</f>
        <v>1</v>
      </c>
      <c r="BL15" s="77">
        <f>'Activity Plan'!HI14</f>
        <v>1</v>
      </c>
      <c r="BM15" s="77">
        <f>'Activity Plan'!HJ14</f>
        <v>1</v>
      </c>
      <c r="BN15" s="77">
        <f>'Activity Plan'!HK14</f>
        <v>1</v>
      </c>
      <c r="BO15" s="77">
        <f>'Activity Plan'!HL14</f>
        <v>1</v>
      </c>
      <c r="BP15" s="77">
        <f>'Activity Plan'!HM14</f>
        <v>1</v>
      </c>
      <c r="BQ15" s="77">
        <f>'Activity Plan'!HN14</f>
        <v>1</v>
      </c>
      <c r="BR15" s="77">
        <f>'Activity Plan'!HO14</f>
        <v>1</v>
      </c>
      <c r="BS15" s="77">
        <f>'Activity Plan'!HP14</f>
        <v>1</v>
      </c>
      <c r="BT15" s="77">
        <f>'Activity Plan'!HQ14</f>
        <v>1</v>
      </c>
      <c r="BU15" s="77">
        <f>'Activity Plan'!HR14</f>
        <v>1</v>
      </c>
      <c r="BV15" s="77">
        <f>'Activity Plan'!HS14</f>
        <v>1</v>
      </c>
      <c r="BW15" s="77">
        <f>'Activity Plan'!HT14</f>
        <v>1</v>
      </c>
      <c r="BX15" s="77">
        <f>'Activity Plan'!HU14</f>
        <v>1</v>
      </c>
      <c r="BY15" s="77">
        <f>'Activity Plan'!HV14</f>
        <v>1</v>
      </c>
      <c r="BZ15" s="77">
        <f>'Activity Plan'!HW14</f>
        <v>1</v>
      </c>
      <c r="CA15" s="77">
        <f>'Activity Plan'!HX14</f>
        <v>1</v>
      </c>
      <c r="CB15" s="77">
        <f>'Activity Plan'!HY14</f>
        <v>1</v>
      </c>
      <c r="CF15">
        <v>1</v>
      </c>
      <c r="CG15" t="s">
        <v>30</v>
      </c>
      <c r="CH15" t="s">
        <v>2</v>
      </c>
      <c r="CI15" t="s">
        <v>61</v>
      </c>
      <c r="CJ15" s="68">
        <v>1</v>
      </c>
      <c r="CL15" t="s">
        <v>150</v>
      </c>
      <c r="CM15" t="s">
        <v>19</v>
      </c>
      <c r="CN15" t="s">
        <v>22</v>
      </c>
      <c r="CO15">
        <v>6</v>
      </c>
      <c r="CP15" cm="1">
        <f t="array" ref="CP15">IF(INDEX('Activity Plan'!$S$34:$AW$99,
MATCH("*"&amp;TRIM($B15)&amp;"*",'Activity Plan'!$D$35:$D$100,0)+MATCH($C15,{"PLAN";"ACTUAL";"ACHIVE"},0)-1,
MATCH($D15,DAY('Activity Plan'!$S$7:$AW$7),0))=0,
"N/A",
INDEX('Activity Plan'!$S$34:$AW$99,
MATCH("*"&amp;TRIM($B15)&amp;"*",'Activity Plan'!$D$35:$D$100,0)+MATCH($C15,{"PLAN";"ACTUAL";"ACHIVE"},0)-1,
MATCH($D15,DAY('Activity Plan'!$S$7:$AW$7),0)))</f>
        <v>14</v>
      </c>
      <c r="CR15" s="163">
        <v>12</v>
      </c>
      <c r="CS15" s="163" t="s">
        <v>133</v>
      </c>
      <c r="CU15">
        <f>'Activity Plan'!X7</f>
        <v>46179</v>
      </c>
      <c r="CV15" t="s">
        <v>22</v>
      </c>
      <c r="CW15" s="194">
        <f>IFERROR(IF('Activity Plan'!BC33=0,"N/A",'Activity Plan'!BC33),"N/A")</f>
        <v>0.59999999999999976</v>
      </c>
      <c r="CZ15">
        <f t="shared" si="0"/>
        <v>12</v>
      </c>
      <c r="DA15" s="199">
        <f>SUMIFS(TBL_ACHIVEMENT[VALUE],
        TBL_ACHIVEMENT[DATE],TBL_ACHIVEMENT[[#This Row],[DATE]],
        TBL_ACHIVEMENT[CATEGORY],"PLAN")</f>
        <v>0.32666666666666705</v>
      </c>
      <c r="DB15" s="144">
        <f>SUMIFS(TBL_ACHIVEMENT[VALUE],
        TBL_ACHIVEMENT[DATE],TBL_ACHIVEMENT[[#This Row],[DATE]],
        TBL_ACHIVEMENT[CATEGORY],"ACTUAL")</f>
        <v>0.77999999999999992</v>
      </c>
      <c r="DC15" s="198">
        <f>SUMIFS(TBL_DOZER_READINESS[VALUE],
        TBL_DOZER_READINESS[DATE],TBL_DOZER_READINESS[[#This Row],[DATE]],
        TBL_DOZER_READINESS[CATEGORY],"ACTUAL")</f>
        <v>14</v>
      </c>
      <c r="DD15" s="200">
        <f>SUMIFS(TBL_PA_DOZER[VALUE],
TBL_PA_DOZER[DATE],TBL_PA_DOZER[[#This Row],[DATE]],
TBL_PA_DOZER[CATEGORY],"ACTUAL")</f>
        <v>0.9</v>
      </c>
      <c r="DE15">
        <f>SUMIFS(Tbl_MTBF[VALUE],
Tbl_MTBF[DATE],Tbl_MTBF[[#This Row],[DATE]],
Tbl_MTBF[CATEGORY],"ACTUAL")</f>
        <v>65</v>
      </c>
      <c r="DF15">
        <f>SUMIFS(Tbl_MTTR[VALUE],
Tbl_MTTR[DATE],Tbl_MTTR[[#This Row],[DATE]],
Tbl_MTTR[CATEGORY],"ACTUAL")</f>
        <v>65</v>
      </c>
    </row>
    <row r="16" spans="2:110" x14ac:dyDescent="0.35">
      <c r="B16" t="s">
        <v>19</v>
      </c>
      <c r="C16" t="s">
        <v>21</v>
      </c>
      <c r="D16">
        <v>7</v>
      </c>
      <c r="E16" cm="1">
        <f t="array" ref="E16">IF(INDEX('Activity Plan'!$S$34:$AW$99,
MATCH("*"&amp;TRIM($B16)&amp;"*",'Activity Plan'!$D$35:$D$100,0)+MATCH($C16,{"PLAN";"ACTUAL";"ACHIVE"},0)-1,
MATCH($D16,DAY('Activity Plan'!$S$7:$AW$7),0))=0,
"N/A",
INDEX('Activity Plan'!$S$34:$AW$99,
MATCH("*"&amp;TRIM($B16)&amp;"*",'Activity Plan'!$D$35:$D$100,0)+MATCH($C16,{"PLAN";"ACTUAL";"ACHIVE"},0)-1,
MATCH($D16,DAY('Activity Plan'!$S$7:$AW$7),0)))</f>
        <v>16</v>
      </c>
      <c r="G16" t="s">
        <v>18</v>
      </c>
      <c r="H16" t="s">
        <v>21</v>
      </c>
      <c r="I16">
        <v>7</v>
      </c>
      <c r="J16" s="68" cm="1">
        <f t="array" ref="J16">IF(INDEX('Activity Plan'!$S$34:$AW$99,
MATCH("*"&amp;TRIM($G16)&amp;"*",'Activity Plan'!$D$35:$D$100,0)+MATCH($H16,{"PLAN";"ACTUAL";"ACHIVE"},0)-1,
MATCH($I16,DAY('Activity Plan'!$S$7:$AW$7),0))=0,
"N/A",
INDEX('Activity Plan'!$S$34:$AW$99,
MATCH("*"&amp;TRIM($G16)&amp;"*",'Activity Plan'!$D$35:$D$100,0)+MATCH($H16,{"PLAN";"ACTUAL";"ACHIVE"},0)-1,
MATCH($I16,DAY('Activity Plan'!$S$7:$AW$7),0)))</f>
        <v>0.9</v>
      </c>
      <c r="L16" t="s">
        <v>20</v>
      </c>
      <c r="M16" t="s">
        <v>21</v>
      </c>
      <c r="N16">
        <v>7</v>
      </c>
      <c r="O16" s="71" cm="1">
        <f t="array" ref="O16">IF(INDEX('Activity Plan'!$S$34:$AW$99,
MATCH("*"&amp;TRIM($L16)&amp;"*",'Activity Plan'!$D$35:$D$100,0)+MATCH($M16,{"PLAN";"ACTUAL";"ACHIVE"},0)-1,
MATCH($N16,DAY('Activity Plan'!$S$7:$AW$7),0))=0,
"N/A",
INDEX('Activity Plan'!$S$34:$AW$99,
MATCH("*"&amp;TRIM($L16)&amp;"*",'Activity Plan'!$D$35:$D$100,0)+MATCH($M16,{"PLAN";"ACTUAL";"ACHIVE"},0)-1,
MATCH($N16,DAY('Activity Plan'!$S$7:$AW$7),0)))</f>
        <v>70</v>
      </c>
      <c r="Q16" t="s">
        <v>138</v>
      </c>
      <c r="R16" t="s">
        <v>21</v>
      </c>
      <c r="S16">
        <v>7</v>
      </c>
      <c r="T16" s="71" cm="1">
        <f t="array" ref="T16">IF(INDEX('Activity Plan'!$S$34:$AW$99,
MATCH("*"&amp;TRIM($Q16)&amp;"*",'Activity Plan'!$D$35:$D$100,0)+MATCH($R16,{"PLAN";"ACTUAL";"ACHIVE"},0)-1,
MATCH($S16,DAY('Activity Plan'!$S$7:$AW$7),0))=0,
"N/A",
INDEX('Activity Plan'!$S$34:$AW$99,
MATCH("*"&amp;TRIM($Q16)&amp;"*",'Activity Plan'!$D$35:$D$100,0)+MATCH($R16,{"PLAN";"ACTUAL";"ACHIVE"},0)-1,
MATCH($S16,DAY('Activity Plan'!$S$7:$AW$7),0)))</f>
        <v>80</v>
      </c>
      <c r="U16" s="71"/>
      <c r="V16" t="s">
        <v>19</v>
      </c>
      <c r="W16" t="s">
        <v>39</v>
      </c>
      <c r="X16" s="70">
        <v>13</v>
      </c>
      <c r="Y16" s="69" cm="1">
        <f t="array" ref="Y16">IF(INDEX('Activity Plan'!$S$34:$AW$99,
MATCH("*"&amp;TRIM($V16)&amp;"*",'Activity Plan'!$D$35:$D$100,0)+MATCH($W16,{"PLAN";"ACTUAL";"ACHIVE"},0)-1,
MATCH($X16,DAY('Activity Plan'!$S$7:$AW$7),0))=0,
"N/A",
INDEX('Activity Plan'!$S$34:$AW$99,
MATCH("*"&amp;TRIM($V16)&amp;"*",'Activity Plan'!$D$35:$D$100,0)+MATCH($W16,{"PLAN";"ACTUAL";"ACHIVE"},0)-1,
MATCH($X16,DAY('Activity Plan'!$S$7:$AW$7),0)))</f>
        <v>0.875</v>
      </c>
      <c r="AA16" t="s">
        <v>40</v>
      </c>
      <c r="AB16" t="s">
        <v>21</v>
      </c>
      <c r="AC16" s="70">
        <v>13</v>
      </c>
      <c r="AD16" s="77">
        <f>'Activity Plan'!AE33</f>
        <v>0.35166666666666679</v>
      </c>
      <c r="AF16" s="70">
        <f>IF(ROWS($Z$15:Z27)&gt;COUNTA(Tbl_SM[NO]),"N/A",ROWS($Z$15:Z27))</f>
        <v>13</v>
      </c>
      <c r="AG16" t="str">
        <f>IF(OR(Tbl_Summary[[#This Row],[NO]]="",Tbl_Summary[[#This Row],[NO]]="N/A"),"",_xlfn.XLOOKUP(Tbl_Summary[[#This Row],[NO]],Tbl_SM[NO],Tbl_SM[5 FACTOR]))</f>
        <v>MACHINE</v>
      </c>
      <c r="AH16" t="str">
        <f>IF(OR(Tbl_Summary[[#This Row],[NO]]="",Tbl_Summary[[#This Row],[NO]]="N/A"),"",_xlfn.XLOOKUP(Tbl_Summary[[#This Row],[NO]],Tbl_SM[NO],Tbl_SM[CATEGORY]))</f>
        <v>Long Term / Development</v>
      </c>
      <c r="AI16" t="str">
        <f>IF(OR(Tbl_Summary[[#This Row],[NO]]="",Tbl_Summary[[#This Row],[NO]]="N/A"),"",_xlfn.XLOOKUP(Tbl_Summary[[#This Row],[NO]],Tbl_SM[NO],Tbl_SM[PIC]))</f>
        <v>GS-HO-OPS</v>
      </c>
      <c r="AJ16" s="72">
        <f>IF(OR(Tbl_Summary[[#This Row],[NO]]="",Tbl_Summary[[#This Row],[NO]]="N/A"),"",_xlfn.XLOOKUP(Tbl_Summary[[#This Row],[NO]],Tbl_SM[NO],Tbl_SM[PLAN START]))</f>
        <v>46204</v>
      </c>
      <c r="AK16" s="72">
        <f>IF(OR(Tbl_Summary[[#This Row],[NO]]="",Tbl_Summary[[#This Row],[NO]]="N/A"),"",_xlfn.XLOOKUP(Tbl_Summary[[#This Row],[NO]],Tbl_SM[NO],Tbl_SM[DUE DATA]))</f>
        <v>46248</v>
      </c>
      <c r="AL16" s="70">
        <f>IF(OR(Tbl_Summary[[#This Row],[NO]]="",Tbl_Summary[[#This Row],[NO]]="N/A"),"",_xlfn.XLOOKUP(Tbl_Summary[[#This Row],[NO]],Tbl_SM[NO],Tbl_SM[PLAN DURATION]))</f>
        <v>45</v>
      </c>
      <c r="AM16" s="72">
        <f>IFERROR(IF(OR(Tbl_Summary[[#This Row],[NO]]="",Tbl_Summary[[#This Row],[NO]]="N/A"),"",_xlfn.XLOOKUP(Tbl_Summary[[#This Row],[NO]],Tbl_SM[NO],Tbl_SM[ACTUAL START])),"")</f>
        <v>0</v>
      </c>
      <c r="AN16" s="72" t="str">
        <f>IFERROR(IF(OR(Tbl_Summary[[#This Row],[NO]]="",Tbl_Summary[[#This Row],[NO]]="N/A"),"N/A",
IF(_xlfn.XLOOKUP(Tbl_Summary[[#This Row],[NO]],Tbl_SM[NO],Tbl_SM[ACTUAL FINISH])=0,"N/A",
_xlfn.XLOOKUP(Tbl_Summary[[#This Row],[NO]],Tbl_SM[NO],Tbl_SM[ACTUAL FINISH]))),"N/A")</f>
        <v>N/A</v>
      </c>
      <c r="AO16" s="73" t="str">
        <f>IFERROR(IF(OR(Tbl_Summary[[#This Row],[NO]]="",Tbl_Summary[[#This Row],[NO]]="N/A"),"",_xlfn.XLOOKUP(Tbl_Summary[[#This Row],[NO]],Tbl_SM[NO],Tbl_SM[ACTUAL DURATION])),"")</f>
        <v>No Progress</v>
      </c>
      <c r="AP16" s="72" t="str">
        <f>IFERROR(IF(OR(Tbl_Summary[[#This Row],[NO]]="",Tbl_Summary[[#This Row],[NO]]="N/A"),"",_xlfn.XLOOKUP(Tbl_Summary[[#This Row],[NO]],Tbl_SM[NO],Tbl_SM[STATUS])),"")</f>
        <v>OPEN</v>
      </c>
      <c r="AQ16" s="72" t="str">
        <f ca="1">IFERROR(IF(OR(Tbl_Summary[[#This Row],[NO]]="",Tbl_Summary[[#This Row],[NO]]="N/A"),"",_xlfn.XLOOKUP(Tbl_Summary[[#This Row],[NO]],Tbl_SM[NO],Tbl_SM[DUE STATUS])),"")</f>
        <v>&gt; 14 HARI</v>
      </c>
      <c r="AR16" s="80">
        <f>IFERROR(IF(OR(Tbl_Summary[[#This Row],[NO]]="",Tbl_Summary[[#This Row],[NO]]="N/A"),"",_xlfn.XLOOKUP(Tbl_Summary[[#This Row],[NO]],Tbl_SM[NO],Tbl_SM[COMPLETION])),"")</f>
        <v>0.52666666666666595</v>
      </c>
      <c r="AS16" s="70">
        <f>IFERROR(IF(OR(Tbl_Summary[[#This Row],[NO]]="",Tbl_Summary[[#This Row],[NO]]="N/A"),"",_xlfn.XLOOKUP(Tbl_Summary[[#This Row],[NO]],Tbl_SM[NO],Tbl_SM[COMPLETION_FLAG])),"")</f>
        <v>0</v>
      </c>
      <c r="AU16" s="70">
        <f>IF(ROWS($Z$15:Z22)&gt;COUNTA(Tbl_SM[NO]),"N/A",ROWS($Z$15:Z22))</f>
        <v>8</v>
      </c>
      <c r="AV16" s="70" t="str">
        <f>IF(OR(Table8[[#This Row],[NO]]="",Table8[[#This Row],[NO]]="N/A"),"",_xlfn.XLOOKUP(Table8[[#This Row],[NO]],Tbl_SM[NO],Tbl_SM[5 FACTOR]))</f>
        <v>METHOD</v>
      </c>
      <c r="AW16" t="str">
        <f>IF(OR(Table8[[#This Row],[NO]]="",Table8[[#This Row],[NO]]="N/A"),"",_xlfn.XLOOKUP(Table8[[#This Row],[NO]],Tbl_SM[NO],Tbl_SM[CATEGORY]))</f>
        <v>Long Term / Development</v>
      </c>
      <c r="AX16" s="77">
        <f>'Activity Plan'!GU15</f>
        <v>1</v>
      </c>
      <c r="AY16" s="77">
        <f>'Activity Plan'!GV15</f>
        <v>1</v>
      </c>
      <c r="AZ16" s="77">
        <f>'Activity Plan'!GW15</f>
        <v>1</v>
      </c>
      <c r="BA16" s="77">
        <f>'Activity Plan'!GX15</f>
        <v>1</v>
      </c>
      <c r="BB16" s="77">
        <f>'Activity Plan'!GY15</f>
        <v>1</v>
      </c>
      <c r="BC16" s="77">
        <f>'Activity Plan'!GZ15</f>
        <v>1</v>
      </c>
      <c r="BD16" s="77">
        <f>'Activity Plan'!HA15</f>
        <v>1</v>
      </c>
      <c r="BE16" s="77">
        <f>'Activity Plan'!HB15</f>
        <v>1</v>
      </c>
      <c r="BF16" s="77">
        <f>'Activity Plan'!HC15</f>
        <v>1</v>
      </c>
      <c r="BG16" s="77">
        <f>'Activity Plan'!HD15</f>
        <v>1</v>
      </c>
      <c r="BH16" s="77">
        <f>'Activity Plan'!HE15</f>
        <v>1</v>
      </c>
      <c r="BI16" s="77">
        <f>'Activity Plan'!HF15</f>
        <v>1</v>
      </c>
      <c r="BJ16" s="77">
        <f>'Activity Plan'!HG15</f>
        <v>1</v>
      </c>
      <c r="BK16" s="77">
        <f>'Activity Plan'!HH15</f>
        <v>1</v>
      </c>
      <c r="BL16" s="77">
        <f>'Activity Plan'!HI15</f>
        <v>1</v>
      </c>
      <c r="BM16" s="77">
        <f>'Activity Plan'!HJ15</f>
        <v>1</v>
      </c>
      <c r="BN16" s="77">
        <f>'Activity Plan'!HK15</f>
        <v>1</v>
      </c>
      <c r="BO16" s="77">
        <f>'Activity Plan'!HL15</f>
        <v>1</v>
      </c>
      <c r="BP16" s="77">
        <f>'Activity Plan'!HM15</f>
        <v>1</v>
      </c>
      <c r="BQ16" s="77">
        <f>'Activity Plan'!HN15</f>
        <v>1</v>
      </c>
      <c r="BR16" s="77">
        <f>'Activity Plan'!HO15</f>
        <v>1</v>
      </c>
      <c r="BS16" s="77">
        <f>'Activity Plan'!HP15</f>
        <v>1</v>
      </c>
      <c r="BT16" s="77">
        <f>'Activity Plan'!HQ15</f>
        <v>1</v>
      </c>
      <c r="BU16" s="77">
        <f>'Activity Plan'!HR15</f>
        <v>1</v>
      </c>
      <c r="BV16" s="77">
        <f>'Activity Plan'!HS15</f>
        <v>1</v>
      </c>
      <c r="BW16" s="77">
        <f>'Activity Plan'!HT15</f>
        <v>1</v>
      </c>
      <c r="BX16" s="77">
        <f>'Activity Plan'!HU15</f>
        <v>1</v>
      </c>
      <c r="BY16" s="77">
        <f>'Activity Plan'!HV15</f>
        <v>1</v>
      </c>
      <c r="BZ16" s="77">
        <f>'Activity Plan'!HW15</f>
        <v>1</v>
      </c>
      <c r="CA16" s="77">
        <f>'Activity Plan'!HX15</f>
        <v>1</v>
      </c>
      <c r="CB16" s="77">
        <f>'Activity Plan'!HY15</f>
        <v>1</v>
      </c>
      <c r="CF16">
        <v>1</v>
      </c>
      <c r="CG16" t="s">
        <v>30</v>
      </c>
      <c r="CH16" t="s">
        <v>2</v>
      </c>
      <c r="CI16" t="s">
        <v>62</v>
      </c>
      <c r="CJ16" s="68">
        <v>1</v>
      </c>
      <c r="CL16" t="s">
        <v>150</v>
      </c>
      <c r="CM16" t="s">
        <v>19</v>
      </c>
      <c r="CN16" t="s">
        <v>21</v>
      </c>
      <c r="CO16">
        <v>7</v>
      </c>
      <c r="CP16" cm="1">
        <f t="array" ref="CP16">IF(INDEX('Activity Plan'!$S$34:$AW$99,
MATCH("*"&amp;TRIM($B16)&amp;"*",'Activity Plan'!$D$35:$D$100,0)+MATCH($C16,{"PLAN";"ACTUAL";"ACHIVE"},0)-1,
MATCH($D16,DAY('Activity Plan'!$S$7:$AW$7),0))=0,
"N/A",
INDEX('Activity Plan'!$S$34:$AW$99,
MATCH("*"&amp;TRIM($B16)&amp;"*",'Activity Plan'!$D$35:$D$100,0)+MATCH($C16,{"PLAN";"ACTUAL";"ACHIVE"},0)-1,
MATCH($D16,DAY('Activity Plan'!$S$7:$AW$7),0)))</f>
        <v>16</v>
      </c>
      <c r="CU16">
        <f>'Activity Plan'!Y7</f>
        <v>46180</v>
      </c>
      <c r="CV16" t="s">
        <v>21</v>
      </c>
      <c r="CW16" s="194">
        <f>IFERROR(IF('Activity Plan'!Y33=0,"N/A",'Activity Plan'!Y33),"N/A")</f>
        <v>0.20166666666666708</v>
      </c>
      <c r="CZ16">
        <f t="shared" si="0"/>
        <v>13</v>
      </c>
      <c r="DA16" s="199">
        <f>SUMIFS(TBL_ACHIVEMENT[VALUE],
        TBL_ACHIVEMENT[DATE],TBL_ACHIVEMENT[[#This Row],[DATE]],
        TBL_ACHIVEMENT[CATEGORY],"PLAN")</f>
        <v>0.35166666666666679</v>
      </c>
      <c r="DB16" s="144">
        <f>SUMIFS(TBL_ACHIVEMENT[VALUE],
        TBL_ACHIVEMENT[DATE],TBL_ACHIVEMENT[[#This Row],[DATE]],
        TBL_ACHIVEMENT[CATEGORY],"ACTUAL")</f>
        <v>0.81</v>
      </c>
      <c r="DC16" s="198">
        <f>SUMIFS(TBL_DOZER_READINESS[VALUE],
        TBL_DOZER_READINESS[DATE],TBL_DOZER_READINESS[[#This Row],[DATE]],
        TBL_DOZER_READINESS[CATEGORY],"ACTUAL")</f>
        <v>16</v>
      </c>
      <c r="DD16" s="200">
        <f>SUMIFS(TBL_PA_DOZER[VALUE],
TBL_PA_DOZER[DATE],TBL_PA_DOZER[[#This Row],[DATE]],
TBL_PA_DOZER[CATEGORY],"ACTUAL")</f>
        <v>0.98</v>
      </c>
      <c r="DE16">
        <f>SUMIFS(Tbl_MTBF[VALUE],
Tbl_MTBF[DATE],Tbl_MTBF[[#This Row],[DATE]],
Tbl_MTBF[CATEGORY],"ACTUAL")</f>
        <v>73</v>
      </c>
      <c r="DF16">
        <f>SUMIFS(Tbl_MTTR[VALUE],
Tbl_MTTR[DATE],Tbl_MTTR[[#This Row],[DATE]],
Tbl_MTTR[CATEGORY],"ACTUAL")</f>
        <v>73</v>
      </c>
    </row>
    <row r="17" spans="2:110" x14ac:dyDescent="0.35">
      <c r="B17" t="s">
        <v>19</v>
      </c>
      <c r="C17" t="s">
        <v>22</v>
      </c>
      <c r="D17">
        <v>7</v>
      </c>
      <c r="E17" cm="1">
        <f t="array" ref="E17">IF(INDEX('Activity Plan'!$S$34:$AW$99,
MATCH("*"&amp;TRIM($B17)&amp;"*",'Activity Plan'!$D$35:$D$100,0)+MATCH($C17,{"PLAN";"ACTUAL";"ACHIVE"},0)-1,
MATCH($D17,DAY('Activity Plan'!$S$7:$AW$7),0))=0,
"N/A",
INDEX('Activity Plan'!$S$34:$AW$99,
MATCH("*"&amp;TRIM($B17)&amp;"*",'Activity Plan'!$D$35:$D$100,0)+MATCH($C17,{"PLAN";"ACTUAL";"ACHIVE"},0)-1,
MATCH($D17,DAY('Activity Plan'!$S$7:$AW$7),0)))</f>
        <v>16</v>
      </c>
      <c r="G17" t="s">
        <v>18</v>
      </c>
      <c r="H17" t="s">
        <v>22</v>
      </c>
      <c r="I17">
        <v>7</v>
      </c>
      <c r="J17" s="68" cm="1">
        <f t="array" ref="J17">IF(INDEX('Activity Plan'!$S$34:$AW$99,
MATCH("*"&amp;TRIM($G17)&amp;"*",'Activity Plan'!$D$35:$D$100,0)+MATCH($H17,{"PLAN";"ACTUAL";"ACHIVE"},0)-1,
MATCH($I17,DAY('Activity Plan'!$S$7:$AW$7),0))=0,
"N/A",
INDEX('Activity Plan'!$S$34:$AW$99,
MATCH("*"&amp;TRIM($G17)&amp;"*",'Activity Plan'!$D$35:$D$100,0)+MATCH($H17,{"PLAN";"ACTUAL";"ACHIVE"},0)-1,
MATCH($I17,DAY('Activity Plan'!$S$7:$AW$7),0)))</f>
        <v>0.98</v>
      </c>
      <c r="L17" t="s">
        <v>20</v>
      </c>
      <c r="M17" t="s">
        <v>22</v>
      </c>
      <c r="N17">
        <v>7</v>
      </c>
      <c r="O17" s="71" cm="1">
        <f t="array" ref="O17">IF(INDEX('Activity Plan'!$S$34:$AW$99,
MATCH("*"&amp;TRIM($L17)&amp;"*",'Activity Plan'!$D$35:$D$100,0)+MATCH($M17,{"PLAN";"ACTUAL";"ACHIVE"},0)-1,
MATCH($N17,DAY('Activity Plan'!$S$7:$AW$7),0))=0,
"N/A",
INDEX('Activity Plan'!$S$34:$AW$99,
MATCH("*"&amp;TRIM($L17)&amp;"*",'Activity Plan'!$D$35:$D$100,0)+MATCH($M17,{"PLAN";"ACTUAL";"ACHIVE"},0)-1,
MATCH($N17,DAY('Activity Plan'!$S$7:$AW$7),0)))</f>
        <v>73</v>
      </c>
      <c r="Q17" t="s">
        <v>138</v>
      </c>
      <c r="R17" t="s">
        <v>22</v>
      </c>
      <c r="S17">
        <v>7</v>
      </c>
      <c r="T17" s="71" cm="1">
        <f t="array" ref="T17">IF(INDEX('Activity Plan'!$S$34:$AW$99,
MATCH("*"&amp;TRIM($Q17)&amp;"*",'Activity Plan'!$D$35:$D$100,0)+MATCH($R17,{"PLAN";"ACTUAL";"ACHIVE"},0)-1,
MATCH($S17,DAY('Activity Plan'!$S$7:$AW$7),0))=0,
"N/A",
INDEX('Activity Plan'!$S$34:$AW$99,
MATCH("*"&amp;TRIM($Q17)&amp;"*",'Activity Plan'!$D$35:$D$100,0)+MATCH($R17,{"PLAN";"ACTUAL";"ACHIVE"},0)-1,
MATCH($S17,DAY('Activity Plan'!$S$7:$AW$7),0)))</f>
        <v>73</v>
      </c>
      <c r="U17" s="71"/>
      <c r="V17" t="s">
        <v>19</v>
      </c>
      <c r="W17" t="s">
        <v>39</v>
      </c>
      <c r="X17" s="70">
        <v>14</v>
      </c>
      <c r="Y17" s="69" cm="1">
        <f t="array" ref="Y17">IF(INDEX('Activity Plan'!$S$34:$AW$99,
MATCH("*"&amp;TRIM($V17)&amp;"*",'Activity Plan'!$D$35:$D$100,0)+MATCH($W17,{"PLAN";"ACTUAL";"ACHIVE"},0)-1,
MATCH($X17,DAY('Activity Plan'!$S$7:$AW$7),0))=0,
"N/A",
INDEX('Activity Plan'!$S$34:$AW$99,
MATCH("*"&amp;TRIM($V17)&amp;"*",'Activity Plan'!$D$35:$D$100,0)+MATCH($W17,{"PLAN";"ACTUAL";"ACHIVE"},0)-1,
MATCH($X17,DAY('Activity Plan'!$S$7:$AW$7),0)))</f>
        <v>1</v>
      </c>
      <c r="AA17" t="s">
        <v>40</v>
      </c>
      <c r="AB17" t="s">
        <v>21</v>
      </c>
      <c r="AC17" s="70">
        <v>14</v>
      </c>
      <c r="AD17" s="77">
        <f>'Activity Plan'!AF33</f>
        <v>0.37666666666666698</v>
      </c>
      <c r="AF17" s="70">
        <f>IF(ROWS($Z$15:Z28)&gt;COUNTA(Tbl_SM[NO]),"N/A",ROWS($Z$15:Z28))</f>
        <v>14</v>
      </c>
      <c r="AG17" t="str">
        <f>IF(OR(Tbl_Summary[[#This Row],[NO]]="",Tbl_Summary[[#This Row],[NO]]="N/A"),"",_xlfn.XLOOKUP(Tbl_Summary[[#This Row],[NO]],Tbl_SM[NO],Tbl_SM[5 FACTOR]))</f>
        <v>MACHINE</v>
      </c>
      <c r="AH17" t="str">
        <f>IF(OR(Tbl_Summary[[#This Row],[NO]]="",Tbl_Summary[[#This Row],[NO]]="N/A"),"",_xlfn.XLOOKUP(Tbl_Summary[[#This Row],[NO]],Tbl_SM[NO],Tbl_SM[CATEGORY]))</f>
        <v>Quick Action</v>
      </c>
      <c r="AI17" t="str">
        <f>IF(OR(Tbl_Summary[[#This Row],[NO]]="",Tbl_Summary[[#This Row],[NO]]="N/A"),"",_xlfn.XLOOKUP(Tbl_Summary[[#This Row],[NO]],Tbl_SM[NO],Tbl_SM[PIC]))</f>
        <v>PLANT-GS</v>
      </c>
      <c r="AJ17" s="72">
        <f>IF(OR(Tbl_Summary[[#This Row],[NO]]="",Tbl_Summary[[#This Row],[NO]]="N/A"),"",_xlfn.XLOOKUP(Tbl_Summary[[#This Row],[NO]],Tbl_SM[NO],Tbl_SM[PLAN START]))</f>
        <v>46188</v>
      </c>
      <c r="AK17" s="72">
        <f>IF(OR(Tbl_Summary[[#This Row],[NO]]="",Tbl_Summary[[#This Row],[NO]]="N/A"),"",_xlfn.XLOOKUP(Tbl_Summary[[#This Row],[NO]],Tbl_SM[NO],Tbl_SM[DUE DATA]))</f>
        <v>46220</v>
      </c>
      <c r="AL17" s="70">
        <f>IF(OR(Tbl_Summary[[#This Row],[NO]]="",Tbl_Summary[[#This Row],[NO]]="N/A"),"",_xlfn.XLOOKUP(Tbl_Summary[[#This Row],[NO]],Tbl_SM[NO],Tbl_SM[PLAN DURATION]))</f>
        <v>33</v>
      </c>
      <c r="AM17" s="72">
        <f>IFERROR(IF(OR(Tbl_Summary[[#This Row],[NO]]="",Tbl_Summary[[#This Row],[NO]]="N/A"),"",_xlfn.XLOOKUP(Tbl_Summary[[#This Row],[NO]],Tbl_SM[NO],Tbl_SM[ACTUAL START])),"")</f>
        <v>0</v>
      </c>
      <c r="AN17" s="72" t="str">
        <f>IFERROR(IF(OR(Tbl_Summary[[#This Row],[NO]]="",Tbl_Summary[[#This Row],[NO]]="N/A"),"N/A",
IF(_xlfn.XLOOKUP(Tbl_Summary[[#This Row],[NO]],Tbl_SM[NO],Tbl_SM[ACTUAL FINISH])=0,"N/A",
_xlfn.XLOOKUP(Tbl_Summary[[#This Row],[NO]],Tbl_SM[NO],Tbl_SM[ACTUAL FINISH]))),"N/A")</f>
        <v>N/A</v>
      </c>
      <c r="AO17" s="73" t="str">
        <f>IFERROR(IF(OR(Tbl_Summary[[#This Row],[NO]]="",Tbl_Summary[[#This Row],[NO]]="N/A"),"",_xlfn.XLOOKUP(Tbl_Summary[[#This Row],[NO]],Tbl_SM[NO],Tbl_SM[ACTUAL DURATION])),"")</f>
        <v>No Progress</v>
      </c>
      <c r="AP17" s="72" t="str">
        <f>IFERROR(IF(OR(Tbl_Summary[[#This Row],[NO]]="",Tbl_Summary[[#This Row],[NO]]="N/A"),"",_xlfn.XLOOKUP(Tbl_Summary[[#This Row],[NO]],Tbl_SM[NO],Tbl_SM[STATUS])),"")</f>
        <v>OPEN</v>
      </c>
      <c r="AQ17" s="72" t="str">
        <f ca="1">IFERROR(IF(OR(Tbl_Summary[[#This Row],[NO]]="",Tbl_Summary[[#This Row],[NO]]="N/A"),"",_xlfn.XLOOKUP(Tbl_Summary[[#This Row],[NO]],Tbl_SM[NO],Tbl_SM[DUE STATUS])),"")</f>
        <v>&gt; 14 HARI</v>
      </c>
      <c r="AR17" s="80">
        <f>IFERROR(IF(OR(Tbl_Summary[[#This Row],[NO]]="",Tbl_Summary[[#This Row],[NO]]="N/A"),"",_xlfn.XLOOKUP(Tbl_Summary[[#This Row],[NO]],Tbl_SM[NO],Tbl_SM[COMPLETION])),"")</f>
        <v>0.52666666666666595</v>
      </c>
      <c r="AS17" s="70">
        <f>IFERROR(IF(OR(Tbl_Summary[[#This Row],[NO]]="",Tbl_Summary[[#This Row],[NO]]="N/A"),"",_xlfn.XLOOKUP(Tbl_Summary[[#This Row],[NO]],Tbl_SM[NO],Tbl_SM[COMPLETION_FLAG])),"")</f>
        <v>0</v>
      </c>
      <c r="AU17" s="70">
        <f>IF(ROWS($Z$15:Z23)&gt;COUNTA(Tbl_SM[NO]),"N/A",ROWS($Z$15:Z23))</f>
        <v>9</v>
      </c>
      <c r="AV17" s="70" t="str">
        <f>IF(OR(Table8[[#This Row],[NO]]="",Table8[[#This Row],[NO]]="N/A"),"",_xlfn.XLOOKUP(Table8[[#This Row],[NO]],Tbl_SM[NO],Tbl_SM[5 FACTOR]))</f>
        <v>METHOD</v>
      </c>
      <c r="AW17" t="str">
        <f>IF(OR(Table8[[#This Row],[NO]]="",Table8[[#This Row],[NO]]="N/A"),"",_xlfn.XLOOKUP(Table8[[#This Row],[NO]],Tbl_SM[NO],Tbl_SM[CATEGORY]))</f>
        <v>Quick Action</v>
      </c>
      <c r="AX17" s="77">
        <f>'Activity Plan'!GU16</f>
        <v>1</v>
      </c>
      <c r="AY17" s="77">
        <f>'Activity Plan'!GV16</f>
        <v>1</v>
      </c>
      <c r="AZ17" s="77">
        <f>'Activity Plan'!GW16</f>
        <v>1</v>
      </c>
      <c r="BA17" s="77">
        <f>'Activity Plan'!GX16</f>
        <v>1</v>
      </c>
      <c r="BB17" s="77">
        <f>'Activity Plan'!GY16</f>
        <v>1</v>
      </c>
      <c r="BC17" s="77">
        <f>'Activity Plan'!GZ16</f>
        <v>1</v>
      </c>
      <c r="BD17" s="77">
        <f>'Activity Plan'!HA16</f>
        <v>1</v>
      </c>
      <c r="BE17" s="77">
        <f>'Activity Plan'!HB16</f>
        <v>1</v>
      </c>
      <c r="BF17" s="77">
        <f>'Activity Plan'!HC16</f>
        <v>1</v>
      </c>
      <c r="BG17" s="77">
        <f>'Activity Plan'!HD16</f>
        <v>1</v>
      </c>
      <c r="BH17" s="77">
        <f>'Activity Plan'!HE16</f>
        <v>1</v>
      </c>
      <c r="BI17" s="77">
        <f>'Activity Plan'!HF16</f>
        <v>1</v>
      </c>
      <c r="BJ17" s="77">
        <f>'Activity Plan'!HG16</f>
        <v>1</v>
      </c>
      <c r="BK17" s="77">
        <f>'Activity Plan'!HH16</f>
        <v>1</v>
      </c>
      <c r="BL17" s="77">
        <f>'Activity Plan'!HI16</f>
        <v>1</v>
      </c>
      <c r="BM17" s="77">
        <f>'Activity Plan'!HJ16</f>
        <v>1</v>
      </c>
      <c r="BN17" s="77">
        <f>'Activity Plan'!HK16</f>
        <v>1</v>
      </c>
      <c r="BO17" s="77">
        <f>'Activity Plan'!HL16</f>
        <v>1</v>
      </c>
      <c r="BP17" s="77">
        <f>'Activity Plan'!HM16</f>
        <v>1</v>
      </c>
      <c r="BQ17" s="77">
        <f>'Activity Plan'!HN16</f>
        <v>1</v>
      </c>
      <c r="BR17" s="77">
        <f>'Activity Plan'!HO16</f>
        <v>1</v>
      </c>
      <c r="BS17" s="77">
        <f>'Activity Plan'!HP16</f>
        <v>1</v>
      </c>
      <c r="BT17" s="77">
        <f>'Activity Plan'!HQ16</f>
        <v>1</v>
      </c>
      <c r="BU17" s="77">
        <f>'Activity Plan'!HR16</f>
        <v>1</v>
      </c>
      <c r="BV17" s="77">
        <f>'Activity Plan'!HS16</f>
        <v>1</v>
      </c>
      <c r="BW17" s="77">
        <f>'Activity Plan'!HT16</f>
        <v>1</v>
      </c>
      <c r="BX17" s="77">
        <f>'Activity Plan'!HU16</f>
        <v>1</v>
      </c>
      <c r="BY17" s="77">
        <f>'Activity Plan'!HV16</f>
        <v>1</v>
      </c>
      <c r="BZ17" s="77">
        <f>'Activity Plan'!HW16</f>
        <v>1</v>
      </c>
      <c r="CA17" s="77">
        <f>'Activity Plan'!HX16</f>
        <v>1</v>
      </c>
      <c r="CB17" s="77">
        <f>'Activity Plan'!HY16</f>
        <v>1</v>
      </c>
      <c r="CF17">
        <v>1</v>
      </c>
      <c r="CG17" t="s">
        <v>30</v>
      </c>
      <c r="CH17" t="s">
        <v>2</v>
      </c>
      <c r="CI17" t="s">
        <v>63</v>
      </c>
      <c r="CJ17" s="68">
        <v>1</v>
      </c>
      <c r="CL17" t="s">
        <v>150</v>
      </c>
      <c r="CM17" t="s">
        <v>19</v>
      </c>
      <c r="CN17" t="s">
        <v>22</v>
      </c>
      <c r="CO17">
        <v>7</v>
      </c>
      <c r="CP17" cm="1">
        <f t="array" ref="CP17">IF(INDEX('Activity Plan'!$S$34:$AW$99,
MATCH("*"&amp;TRIM($B17)&amp;"*",'Activity Plan'!$D$35:$D$100,0)+MATCH($C17,{"PLAN";"ACTUAL";"ACHIVE"},0)-1,
MATCH($D17,DAY('Activity Plan'!$S$7:$AW$7),0))=0,
"N/A",
INDEX('Activity Plan'!$S$34:$AW$99,
MATCH("*"&amp;TRIM($B17)&amp;"*",'Activity Plan'!$D$35:$D$100,0)+MATCH($C17,{"PLAN";"ACTUAL";"ACHIVE"},0)-1,
MATCH($D17,DAY('Activity Plan'!$S$7:$AW$7),0)))</f>
        <v>16</v>
      </c>
      <c r="CS17" s="208" t="s">
        <v>31</v>
      </c>
      <c r="CU17">
        <f>'Activity Plan'!Y7</f>
        <v>46180</v>
      </c>
      <c r="CV17" t="s">
        <v>22</v>
      </c>
      <c r="CW17" s="194">
        <f>IFERROR(IF('Activity Plan'!BD33=0,"N/A",'Activity Plan'!BD33),"N/A")</f>
        <v>0.63000000000000034</v>
      </c>
      <c r="CZ17">
        <f t="shared" si="0"/>
        <v>14</v>
      </c>
      <c r="DA17" s="199">
        <f>SUMIFS(TBL_ACHIVEMENT[VALUE],
        TBL_ACHIVEMENT[DATE],TBL_ACHIVEMENT[[#This Row],[DATE]],
        TBL_ACHIVEMENT[CATEGORY],"PLAN")</f>
        <v>0.37666666666666698</v>
      </c>
      <c r="DB17" s="144">
        <f>SUMIFS(TBL_ACHIVEMENT[VALUE],
        TBL_ACHIVEMENT[DATE],TBL_ACHIVEMENT[[#This Row],[DATE]],
        TBL_ACHIVEMENT[CATEGORY],"ACTUAL")</f>
        <v>0.84</v>
      </c>
      <c r="DC17" s="198">
        <f>SUMIFS(TBL_DOZER_READINESS[VALUE],
        TBL_DOZER_READINESS[DATE],TBL_DOZER_READINESS[[#This Row],[DATE]],
        TBL_DOZER_READINESS[CATEGORY],"ACTUAL")</f>
        <v>16</v>
      </c>
      <c r="DD17" s="200">
        <f>SUMIFS(TBL_PA_DOZER[VALUE],
TBL_PA_DOZER[DATE],TBL_PA_DOZER[[#This Row],[DATE]],
TBL_PA_DOZER[CATEGORY],"ACTUAL")</f>
        <v>0.98</v>
      </c>
      <c r="DE17">
        <f>SUMIFS(Tbl_MTBF[VALUE],
Tbl_MTBF[DATE],Tbl_MTBF[[#This Row],[DATE]],
Tbl_MTBF[CATEGORY],"ACTUAL")</f>
        <v>73</v>
      </c>
      <c r="DF17">
        <f>SUMIFS(Tbl_MTTR[VALUE],
Tbl_MTTR[DATE],Tbl_MTTR[[#This Row],[DATE]],
Tbl_MTTR[CATEGORY],"ACTUAL")</f>
        <v>73</v>
      </c>
    </row>
    <row r="18" spans="2:110" x14ac:dyDescent="0.35">
      <c r="B18" t="s">
        <v>19</v>
      </c>
      <c r="C18" t="s">
        <v>21</v>
      </c>
      <c r="D18">
        <v>8</v>
      </c>
      <c r="E18" cm="1">
        <f t="array" ref="E18">IF(INDEX('Activity Plan'!$S$34:$AW$99,
MATCH("*"&amp;TRIM($B18)&amp;"*",'Activity Plan'!$D$35:$D$100,0)+MATCH($C18,{"PLAN";"ACTUAL";"ACHIVE"},0)-1,
MATCH($D18,DAY('Activity Plan'!$S$7:$AW$7),0))=0,
"N/A",
INDEX('Activity Plan'!$S$34:$AW$99,
MATCH("*"&amp;TRIM($B18)&amp;"*",'Activity Plan'!$D$35:$D$100,0)+MATCH($C18,{"PLAN";"ACTUAL";"ACHIVE"},0)-1,
MATCH($D18,DAY('Activity Plan'!$S$7:$AW$7),0)))</f>
        <v>16</v>
      </c>
      <c r="G18" t="s">
        <v>18</v>
      </c>
      <c r="H18" t="s">
        <v>21</v>
      </c>
      <c r="I18">
        <v>8</v>
      </c>
      <c r="J18" s="68" cm="1">
        <f t="array" ref="J18">IF(INDEX('Activity Plan'!$S$34:$AW$99,
MATCH("*"&amp;TRIM($G18)&amp;"*",'Activity Plan'!$D$35:$D$100,0)+MATCH($H18,{"PLAN";"ACTUAL";"ACHIVE"},0)-1,
MATCH($I18,DAY('Activity Plan'!$S$7:$AW$7),0))=0,
"N/A",
INDEX('Activity Plan'!$S$34:$AW$99,
MATCH("*"&amp;TRIM($G18)&amp;"*",'Activity Plan'!$D$35:$D$100,0)+MATCH($H18,{"PLAN";"ACTUAL";"ACHIVE"},0)-1,
MATCH($I18,DAY('Activity Plan'!$S$7:$AW$7),0)))</f>
        <v>0.9</v>
      </c>
      <c r="L18" t="s">
        <v>20</v>
      </c>
      <c r="M18" t="s">
        <v>21</v>
      </c>
      <c r="N18">
        <v>8</v>
      </c>
      <c r="O18" s="71" cm="1">
        <f t="array" ref="O18">IF(INDEX('Activity Plan'!$S$34:$AW$99,
MATCH("*"&amp;TRIM($L18)&amp;"*",'Activity Plan'!$D$35:$D$100,0)+MATCH($M18,{"PLAN";"ACTUAL";"ACHIVE"},0)-1,
MATCH($N18,DAY('Activity Plan'!$S$7:$AW$7),0))=0,
"N/A",
INDEX('Activity Plan'!$S$34:$AW$99,
MATCH("*"&amp;TRIM($L18)&amp;"*",'Activity Plan'!$D$35:$D$100,0)+MATCH($M18,{"PLAN";"ACTUAL";"ACHIVE"},0)-1,
MATCH($N18,DAY('Activity Plan'!$S$7:$AW$7),0)))</f>
        <v>70</v>
      </c>
      <c r="Q18" t="s">
        <v>138</v>
      </c>
      <c r="R18" t="s">
        <v>21</v>
      </c>
      <c r="S18">
        <v>8</v>
      </c>
      <c r="T18" s="71" cm="1">
        <f t="array" ref="T18">IF(INDEX('Activity Plan'!$S$34:$AW$99,
MATCH("*"&amp;TRIM($Q18)&amp;"*",'Activity Plan'!$D$35:$D$100,0)+MATCH($R18,{"PLAN";"ACTUAL";"ACHIVE"},0)-1,
MATCH($S18,DAY('Activity Plan'!$S$7:$AW$7),0))=0,
"N/A",
INDEX('Activity Plan'!$S$34:$AW$99,
MATCH("*"&amp;TRIM($Q18)&amp;"*",'Activity Plan'!$D$35:$D$100,0)+MATCH($R18,{"PLAN";"ACTUAL";"ACHIVE"},0)-1,
MATCH($S18,DAY('Activity Plan'!$S$7:$AW$7),0)))</f>
        <v>80</v>
      </c>
      <c r="U18" s="71"/>
      <c r="V18" t="s">
        <v>19</v>
      </c>
      <c r="W18" t="s">
        <v>39</v>
      </c>
      <c r="X18" s="70">
        <v>15</v>
      </c>
      <c r="Y18" s="69" cm="1">
        <f t="array" ref="Y18">IF(INDEX('Activity Plan'!$S$34:$AW$99,
MATCH("*"&amp;TRIM($V18)&amp;"*",'Activity Plan'!$D$35:$D$100,0)+MATCH($W18,{"PLAN";"ACTUAL";"ACHIVE"},0)-1,
MATCH($X18,DAY('Activity Plan'!$S$7:$AW$7),0))=0,
"N/A",
INDEX('Activity Plan'!$S$34:$AW$99,
MATCH("*"&amp;TRIM($V18)&amp;"*",'Activity Plan'!$D$35:$D$100,0)+MATCH($W18,{"PLAN";"ACTUAL";"ACHIVE"},0)-1,
MATCH($X18,DAY('Activity Plan'!$S$7:$AW$7),0)))</f>
        <v>0.9375</v>
      </c>
      <c r="AA18" t="s">
        <v>40</v>
      </c>
      <c r="AB18" t="s">
        <v>21</v>
      </c>
      <c r="AC18" s="70">
        <v>15</v>
      </c>
      <c r="AD18" s="77">
        <f>'Activity Plan'!AG33</f>
        <v>0.40166666666666712</v>
      </c>
      <c r="AF18" s="70">
        <f>IF(ROWS($Z$15:Z29)&gt;COUNTA(Tbl_SM[NO]),"N/A",ROWS($Z$15:Z29))</f>
        <v>15</v>
      </c>
      <c r="AG18" t="str">
        <f>IF(OR(Tbl_Summary[[#This Row],[NO]]="",Tbl_Summary[[#This Row],[NO]]="N/A"),"",_xlfn.XLOOKUP(Tbl_Summary[[#This Row],[NO]],Tbl_SM[NO],Tbl_SM[5 FACTOR]))</f>
        <v>MACHINE</v>
      </c>
      <c r="AH18" t="str">
        <f>IF(OR(Tbl_Summary[[#This Row],[NO]]="",Tbl_Summary[[#This Row],[NO]]="N/A"),"",_xlfn.XLOOKUP(Tbl_Summary[[#This Row],[NO]],Tbl_SM[NO],Tbl_SM[CATEGORY]))</f>
        <v>Long Term / Development</v>
      </c>
      <c r="AI18" t="str">
        <f>IF(OR(Tbl_Summary[[#This Row],[NO]]="",Tbl_Summary[[#This Row],[NO]]="N/A"),"",_xlfn.XLOOKUP(Tbl_Summary[[#This Row],[NO]],Tbl_SM[NO],Tbl_SM[PIC]))</f>
        <v>GS-PLANT-OPS</v>
      </c>
      <c r="AJ18" s="72">
        <f>IF(OR(Tbl_Summary[[#This Row],[NO]]="",Tbl_Summary[[#This Row],[NO]]="N/A"),"",_xlfn.XLOOKUP(Tbl_Summary[[#This Row],[NO]],Tbl_SM[NO],Tbl_SM[PLAN START]))</f>
        <v>46216</v>
      </c>
      <c r="AK18" s="72">
        <f>IF(OR(Tbl_Summary[[#This Row],[NO]]="",Tbl_Summary[[#This Row],[NO]]="N/A"),"",_xlfn.XLOOKUP(Tbl_Summary[[#This Row],[NO]],Tbl_SM[NO],Tbl_SM[DUE DATA]))</f>
        <v>46255</v>
      </c>
      <c r="AL18" s="70">
        <f>IF(OR(Tbl_Summary[[#This Row],[NO]]="",Tbl_Summary[[#This Row],[NO]]="N/A"),"",_xlfn.XLOOKUP(Tbl_Summary[[#This Row],[NO]],Tbl_SM[NO],Tbl_SM[PLAN DURATION]))</f>
        <v>40</v>
      </c>
      <c r="AM18" s="72">
        <f>IFERROR(IF(OR(Tbl_Summary[[#This Row],[NO]]="",Tbl_Summary[[#This Row],[NO]]="N/A"),"",_xlfn.XLOOKUP(Tbl_Summary[[#This Row],[NO]],Tbl_SM[NO],Tbl_SM[ACTUAL START])),"")</f>
        <v>0</v>
      </c>
      <c r="AN18" s="72" t="str">
        <f>IFERROR(IF(OR(Tbl_Summary[[#This Row],[NO]]="",Tbl_Summary[[#This Row],[NO]]="N/A"),"N/A",
IF(_xlfn.XLOOKUP(Tbl_Summary[[#This Row],[NO]],Tbl_SM[NO],Tbl_SM[ACTUAL FINISH])=0,"N/A",
_xlfn.XLOOKUP(Tbl_Summary[[#This Row],[NO]],Tbl_SM[NO],Tbl_SM[ACTUAL FINISH]))),"N/A")</f>
        <v>N/A</v>
      </c>
      <c r="AO18" s="73" t="str">
        <f>IFERROR(IF(OR(Tbl_Summary[[#This Row],[NO]]="",Tbl_Summary[[#This Row],[NO]]="N/A"),"",_xlfn.XLOOKUP(Tbl_Summary[[#This Row],[NO]],Tbl_SM[NO],Tbl_SM[ACTUAL DURATION])),"")</f>
        <v>No Progress</v>
      </c>
      <c r="AP18" s="72" t="str">
        <f>IFERROR(IF(OR(Tbl_Summary[[#This Row],[NO]]="",Tbl_Summary[[#This Row],[NO]]="N/A"),"",_xlfn.XLOOKUP(Tbl_Summary[[#This Row],[NO]],Tbl_SM[NO],Tbl_SM[STATUS])),"")</f>
        <v>OPEN</v>
      </c>
      <c r="AQ18" s="72" t="str">
        <f ca="1">IFERROR(IF(OR(Tbl_Summary[[#This Row],[NO]]="",Tbl_Summary[[#This Row],[NO]]="N/A"),"",_xlfn.XLOOKUP(Tbl_Summary[[#This Row],[NO]],Tbl_SM[NO],Tbl_SM[DUE STATUS])),"")</f>
        <v>&gt; 14 HARI</v>
      </c>
      <c r="AR18" s="80">
        <f>IFERROR(IF(OR(Tbl_Summary[[#This Row],[NO]]="",Tbl_Summary[[#This Row],[NO]]="N/A"),"",_xlfn.XLOOKUP(Tbl_Summary[[#This Row],[NO]],Tbl_SM[NO],Tbl_SM[COMPLETION])),"")</f>
        <v>0.52666666666666595</v>
      </c>
      <c r="AS18" s="70">
        <f>IFERROR(IF(OR(Tbl_Summary[[#This Row],[NO]]="",Tbl_Summary[[#This Row],[NO]]="N/A"),"",_xlfn.XLOOKUP(Tbl_Summary[[#This Row],[NO]],Tbl_SM[NO],Tbl_SM[COMPLETION_FLAG])),"")</f>
        <v>0</v>
      </c>
      <c r="AU18" s="70">
        <f>IF(ROWS($Z$15:Z24)&gt;COUNTA(Tbl_SM[NO]),"N/A",ROWS($Z$15:Z24))</f>
        <v>10</v>
      </c>
      <c r="AV18" s="70" t="str">
        <f>IF(OR(Table8[[#This Row],[NO]]="",Table8[[#This Row],[NO]]="N/A"),"",_xlfn.XLOOKUP(Table8[[#This Row],[NO]],Tbl_SM[NO],Tbl_SM[5 FACTOR]))</f>
        <v>METHOD</v>
      </c>
      <c r="AW18" t="str">
        <f>IF(OR(Table8[[#This Row],[NO]]="",Table8[[#This Row],[NO]]="N/A"),"",_xlfn.XLOOKUP(Table8[[#This Row],[NO]],Tbl_SM[NO],Tbl_SM[CATEGORY]))</f>
        <v>Long Term / Development</v>
      </c>
      <c r="AX18" s="77">
        <f>'Activity Plan'!GU17</f>
        <v>1</v>
      </c>
      <c r="AY18" s="77">
        <f>'Activity Plan'!GV17</f>
        <v>1</v>
      </c>
      <c r="AZ18" s="77">
        <f>'Activity Plan'!GW17</f>
        <v>1</v>
      </c>
      <c r="BA18" s="77">
        <f>'Activity Plan'!GX17</f>
        <v>1</v>
      </c>
      <c r="BB18" s="77">
        <f>'Activity Plan'!GY17</f>
        <v>1</v>
      </c>
      <c r="BC18" s="77">
        <f>'Activity Plan'!GZ17</f>
        <v>1</v>
      </c>
      <c r="BD18" s="77">
        <f>'Activity Plan'!HA17</f>
        <v>1</v>
      </c>
      <c r="BE18" s="77">
        <f>'Activity Plan'!HB17</f>
        <v>1</v>
      </c>
      <c r="BF18" s="77">
        <f>'Activity Plan'!HC17</f>
        <v>1</v>
      </c>
      <c r="BG18" s="77">
        <f>'Activity Plan'!HD17</f>
        <v>1</v>
      </c>
      <c r="BH18" s="77">
        <f>'Activity Plan'!HE17</f>
        <v>1</v>
      </c>
      <c r="BI18" s="77">
        <f>'Activity Plan'!HF17</f>
        <v>1</v>
      </c>
      <c r="BJ18" s="77">
        <f>'Activity Plan'!HG17</f>
        <v>1</v>
      </c>
      <c r="BK18" s="77">
        <f>'Activity Plan'!HH17</f>
        <v>1</v>
      </c>
      <c r="BL18" s="77">
        <f>'Activity Plan'!HI17</f>
        <v>1</v>
      </c>
      <c r="BM18" s="77">
        <f>'Activity Plan'!HJ17</f>
        <v>1</v>
      </c>
      <c r="BN18" s="77">
        <f>'Activity Plan'!HK17</f>
        <v>1</v>
      </c>
      <c r="BO18" s="77">
        <f>'Activity Plan'!HL17</f>
        <v>1</v>
      </c>
      <c r="BP18" s="77">
        <f>'Activity Plan'!HM17</f>
        <v>1</v>
      </c>
      <c r="BQ18" s="77">
        <f>'Activity Plan'!HN17</f>
        <v>1</v>
      </c>
      <c r="BR18" s="77">
        <f>'Activity Plan'!HO17</f>
        <v>1</v>
      </c>
      <c r="BS18" s="77">
        <f>'Activity Plan'!HP17</f>
        <v>1</v>
      </c>
      <c r="BT18" s="77">
        <f>'Activity Plan'!HQ17</f>
        <v>1</v>
      </c>
      <c r="BU18" s="77">
        <f>'Activity Plan'!HR17</f>
        <v>1</v>
      </c>
      <c r="BV18" s="77">
        <f>'Activity Plan'!HS17</f>
        <v>1</v>
      </c>
      <c r="BW18" s="77">
        <f>'Activity Plan'!HT17</f>
        <v>1</v>
      </c>
      <c r="BX18" s="77">
        <f>'Activity Plan'!HU17</f>
        <v>1</v>
      </c>
      <c r="BY18" s="77">
        <f>'Activity Plan'!HV17</f>
        <v>1</v>
      </c>
      <c r="BZ18" s="77">
        <f>'Activity Plan'!HW17</f>
        <v>1</v>
      </c>
      <c r="CA18" s="77">
        <f>'Activity Plan'!HX17</f>
        <v>1</v>
      </c>
      <c r="CB18" s="77">
        <f>'Activity Plan'!HY17</f>
        <v>1</v>
      </c>
      <c r="CF18">
        <v>1</v>
      </c>
      <c r="CG18" t="s">
        <v>30</v>
      </c>
      <c r="CH18" t="s">
        <v>2</v>
      </c>
      <c r="CI18" t="s">
        <v>64</v>
      </c>
      <c r="CJ18" s="68">
        <v>1</v>
      </c>
      <c r="CL18" t="s">
        <v>150</v>
      </c>
      <c r="CM18" t="s">
        <v>19</v>
      </c>
      <c r="CN18" t="s">
        <v>21</v>
      </c>
      <c r="CO18">
        <v>8</v>
      </c>
      <c r="CP18" cm="1">
        <f t="array" ref="CP18">IF(INDEX('Activity Plan'!$S$34:$AW$99,
MATCH("*"&amp;TRIM($B18)&amp;"*",'Activity Plan'!$D$35:$D$100,0)+MATCH($C18,{"PLAN";"ACTUAL";"ACHIVE"},0)-1,
MATCH($D18,DAY('Activity Plan'!$S$7:$AW$7),0))=0,
"N/A",
INDEX('Activity Plan'!$S$34:$AW$99,
MATCH("*"&amp;TRIM($B18)&amp;"*",'Activity Plan'!$D$35:$D$100,0)+MATCH($C18,{"PLAN";"ACTUAL";"ACHIVE"},0)-1,
MATCH($D18,DAY('Activity Plan'!$S$7:$AW$7),0)))</f>
        <v>16</v>
      </c>
      <c r="CS18" s="190" t="s">
        <v>30</v>
      </c>
      <c r="CU18">
        <f>'Activity Plan'!Z7</f>
        <v>46181</v>
      </c>
      <c r="CV18" t="s">
        <v>21</v>
      </c>
      <c r="CW18" s="194">
        <f>IFERROR(IF('Activity Plan'!Z33=0,"N/A",'Activity Plan'!Z33),"N/A")</f>
        <v>0.22666666666666688</v>
      </c>
      <c r="CZ18">
        <f t="shared" si="0"/>
        <v>15</v>
      </c>
      <c r="DA18" s="199">
        <f>SUMIFS(TBL_ACHIVEMENT[VALUE],
        TBL_ACHIVEMENT[DATE],TBL_ACHIVEMENT[[#This Row],[DATE]],
        TBL_ACHIVEMENT[CATEGORY],"PLAN")</f>
        <v>0.40166666666666712</v>
      </c>
      <c r="DB18" s="144">
        <f>SUMIFS(TBL_ACHIVEMENT[VALUE],
        TBL_ACHIVEMENT[DATE],TBL_ACHIVEMENT[[#This Row],[DATE]],
        TBL_ACHIVEMENT[CATEGORY],"ACTUAL")</f>
        <v>0.87</v>
      </c>
      <c r="DC18" s="198">
        <f>SUMIFS(TBL_DOZER_READINESS[VALUE],
        TBL_DOZER_READINESS[DATE],TBL_DOZER_READINESS[[#This Row],[DATE]],
        TBL_DOZER_READINESS[CATEGORY],"ACTUAL")</f>
        <v>15</v>
      </c>
      <c r="DD18" s="200">
        <f>SUMIFS(TBL_PA_DOZER[VALUE],
TBL_PA_DOZER[DATE],TBL_PA_DOZER[[#This Row],[DATE]],
TBL_PA_DOZER[CATEGORY],"ACTUAL")</f>
        <v>0.93</v>
      </c>
      <c r="DE18">
        <f>SUMIFS(Tbl_MTBF[VALUE],
Tbl_MTBF[DATE],Tbl_MTBF[[#This Row],[DATE]],
Tbl_MTBF[CATEGORY],"ACTUAL")</f>
        <v>80</v>
      </c>
      <c r="DF18">
        <f>SUMIFS(Tbl_MTTR[VALUE],
Tbl_MTTR[DATE],Tbl_MTTR[[#This Row],[DATE]],
Tbl_MTTR[CATEGORY],"ACTUAL")</f>
        <v>80</v>
      </c>
    </row>
    <row r="19" spans="2:110" x14ac:dyDescent="0.35">
      <c r="B19" t="s">
        <v>19</v>
      </c>
      <c r="C19" t="s">
        <v>22</v>
      </c>
      <c r="D19">
        <v>8</v>
      </c>
      <c r="E19" cm="1">
        <f t="array" ref="E19">IF(INDEX('Activity Plan'!$S$34:$AW$99,
MATCH("*"&amp;TRIM($B19)&amp;"*",'Activity Plan'!$D$35:$D$100,0)+MATCH($C19,{"PLAN";"ACTUAL";"ACHIVE"},0)-1,
MATCH($D19,DAY('Activity Plan'!$S$7:$AW$7),0))=0,
"N/A",
INDEX('Activity Plan'!$S$34:$AW$99,
MATCH("*"&amp;TRIM($B19)&amp;"*",'Activity Plan'!$D$35:$D$100,0)+MATCH($C19,{"PLAN";"ACTUAL";"ACHIVE"},0)-1,
MATCH($D19,DAY('Activity Plan'!$S$7:$AW$7),0)))</f>
        <v>15</v>
      </c>
      <c r="G19" t="s">
        <v>18</v>
      </c>
      <c r="H19" t="s">
        <v>22</v>
      </c>
      <c r="I19">
        <v>8</v>
      </c>
      <c r="J19" s="68" cm="1">
        <f t="array" ref="J19">IF(INDEX('Activity Plan'!$S$34:$AW$99,
MATCH("*"&amp;TRIM($G19)&amp;"*",'Activity Plan'!$D$35:$D$100,0)+MATCH($H19,{"PLAN";"ACTUAL";"ACHIVE"},0)-1,
MATCH($I19,DAY('Activity Plan'!$S$7:$AW$7),0))=0,
"N/A",
INDEX('Activity Plan'!$S$34:$AW$99,
MATCH("*"&amp;TRIM($G19)&amp;"*",'Activity Plan'!$D$35:$D$100,0)+MATCH($H19,{"PLAN";"ACTUAL";"ACHIVE"},0)-1,
MATCH($I19,DAY('Activity Plan'!$S$7:$AW$7),0)))</f>
        <v>0.93</v>
      </c>
      <c r="L19" t="s">
        <v>20</v>
      </c>
      <c r="M19" t="s">
        <v>22</v>
      </c>
      <c r="N19">
        <v>8</v>
      </c>
      <c r="O19" s="71" cm="1">
        <f t="array" ref="O19">IF(INDEX('Activity Plan'!$S$34:$AW$99,
MATCH("*"&amp;TRIM($L19)&amp;"*",'Activity Plan'!$D$35:$D$100,0)+MATCH($M19,{"PLAN";"ACTUAL";"ACHIVE"},0)-1,
MATCH($N19,DAY('Activity Plan'!$S$7:$AW$7),0))=0,
"N/A",
INDEX('Activity Plan'!$S$34:$AW$99,
MATCH("*"&amp;TRIM($L19)&amp;"*",'Activity Plan'!$D$35:$D$100,0)+MATCH($M19,{"PLAN";"ACTUAL";"ACHIVE"},0)-1,
MATCH($N19,DAY('Activity Plan'!$S$7:$AW$7),0)))</f>
        <v>80</v>
      </c>
      <c r="Q19" t="s">
        <v>138</v>
      </c>
      <c r="R19" t="s">
        <v>22</v>
      </c>
      <c r="S19">
        <v>8</v>
      </c>
      <c r="T19" s="71" cm="1">
        <f t="array" ref="T19">IF(INDEX('Activity Plan'!$S$34:$AW$99,
MATCH("*"&amp;TRIM($Q19)&amp;"*",'Activity Plan'!$D$35:$D$100,0)+MATCH($R19,{"PLAN";"ACTUAL";"ACHIVE"},0)-1,
MATCH($S19,DAY('Activity Plan'!$S$7:$AW$7),0))=0,
"N/A",
INDEX('Activity Plan'!$S$34:$AW$99,
MATCH("*"&amp;TRIM($Q19)&amp;"*",'Activity Plan'!$D$35:$D$100,0)+MATCH($R19,{"PLAN";"ACTUAL";"ACHIVE"},0)-1,
MATCH($S19,DAY('Activity Plan'!$S$7:$AW$7),0)))</f>
        <v>80</v>
      </c>
      <c r="U19" s="71"/>
      <c r="V19" t="s">
        <v>19</v>
      </c>
      <c r="W19" t="s">
        <v>39</v>
      </c>
      <c r="X19" s="70">
        <v>16</v>
      </c>
      <c r="Y19" s="69" cm="1">
        <f t="array" ref="Y19">IF(INDEX('Activity Plan'!$S$34:$AW$99,
MATCH("*"&amp;TRIM($V19)&amp;"*",'Activity Plan'!$D$35:$D$100,0)+MATCH($W19,{"PLAN";"ACTUAL";"ACHIVE"},0)-1,
MATCH($X19,DAY('Activity Plan'!$S$7:$AW$7),0))=0,
"N/A",
INDEX('Activity Plan'!$S$34:$AW$99,
MATCH("*"&amp;TRIM($V19)&amp;"*",'Activity Plan'!$D$35:$D$100,0)+MATCH($W19,{"PLAN";"ACTUAL";"ACHIVE"},0)-1,
MATCH($X19,DAY('Activity Plan'!$S$7:$AW$7),0)))</f>
        <v>0.8125</v>
      </c>
      <c r="AA19" t="s">
        <v>40</v>
      </c>
      <c r="AB19" t="s">
        <v>21</v>
      </c>
      <c r="AC19" s="70">
        <v>16</v>
      </c>
      <c r="AD19" s="77">
        <f>'Activity Plan'!AH33</f>
        <v>0.42666666666666714</v>
      </c>
      <c r="AF19" s="70">
        <f>IF(ROWS($Z$15:Z30)&gt;COUNTA(Tbl_SM[NO]),"N/A",ROWS($Z$15:Z30))</f>
        <v>16</v>
      </c>
      <c r="AG19" t="str">
        <f>IF(OR(Tbl_Summary[[#This Row],[NO]]="",Tbl_Summary[[#This Row],[NO]]="N/A"),"",_xlfn.XLOOKUP(Tbl_Summary[[#This Row],[NO]],Tbl_SM[NO],Tbl_SM[5 FACTOR]))</f>
        <v>MATERIAL</v>
      </c>
      <c r="AH19" t="str">
        <f>IF(OR(Tbl_Summary[[#This Row],[NO]]="",Tbl_Summary[[#This Row],[NO]]="N/A"),"",_xlfn.XLOOKUP(Tbl_Summary[[#This Row],[NO]],Tbl_SM[NO],Tbl_SM[CATEGORY]))</f>
        <v>Quick Action</v>
      </c>
      <c r="AI19" t="str">
        <f>IF(OR(Tbl_Summary[[#This Row],[NO]]="",Tbl_Summary[[#This Row],[NO]]="N/A"),"",_xlfn.XLOOKUP(Tbl_Summary[[#This Row],[NO]],Tbl_SM[NO],Tbl_SM[PIC]))</f>
        <v>LOG-PLANT</v>
      </c>
      <c r="AJ19" s="72">
        <f>IF(OR(Tbl_Summary[[#This Row],[NO]]="",Tbl_Summary[[#This Row],[NO]]="N/A"),"",_xlfn.XLOOKUP(Tbl_Summary[[#This Row],[NO]],Tbl_SM[NO],Tbl_SM[PLAN START]))</f>
        <v>46181</v>
      </c>
      <c r="AK19" s="72">
        <f>IF(OR(Tbl_Summary[[#This Row],[NO]]="",Tbl_Summary[[#This Row],[NO]]="N/A"),"",_xlfn.XLOOKUP(Tbl_Summary[[#This Row],[NO]],Tbl_SM[NO],Tbl_SM[DUE DATA]))</f>
        <v>46206</v>
      </c>
      <c r="AL19" s="70">
        <f>IF(OR(Tbl_Summary[[#This Row],[NO]]="",Tbl_Summary[[#This Row],[NO]]="N/A"),"",_xlfn.XLOOKUP(Tbl_Summary[[#This Row],[NO]],Tbl_SM[NO],Tbl_SM[PLAN DURATION]))</f>
        <v>26</v>
      </c>
      <c r="AM19" s="72">
        <f>IFERROR(IF(OR(Tbl_Summary[[#This Row],[NO]]="",Tbl_Summary[[#This Row],[NO]]="N/A"),"",_xlfn.XLOOKUP(Tbl_Summary[[#This Row],[NO]],Tbl_SM[NO],Tbl_SM[ACTUAL START])),"")</f>
        <v>0</v>
      </c>
      <c r="AN19" s="72" t="str">
        <f>IFERROR(IF(OR(Tbl_Summary[[#This Row],[NO]]="",Tbl_Summary[[#This Row],[NO]]="N/A"),"N/A",
IF(_xlfn.XLOOKUP(Tbl_Summary[[#This Row],[NO]],Tbl_SM[NO],Tbl_SM[ACTUAL FINISH])=0,"N/A",
_xlfn.XLOOKUP(Tbl_Summary[[#This Row],[NO]],Tbl_SM[NO],Tbl_SM[ACTUAL FINISH]))),"N/A")</f>
        <v>N/A</v>
      </c>
      <c r="AO19" s="73" t="str">
        <f>IFERROR(IF(OR(Tbl_Summary[[#This Row],[NO]]="",Tbl_Summary[[#This Row],[NO]]="N/A"),"",_xlfn.XLOOKUP(Tbl_Summary[[#This Row],[NO]],Tbl_SM[NO],Tbl_SM[ACTUAL DURATION])),"")</f>
        <v>No Progress</v>
      </c>
      <c r="AP19" s="72" t="str">
        <f>IFERROR(IF(OR(Tbl_Summary[[#This Row],[NO]]="",Tbl_Summary[[#This Row],[NO]]="N/A"),"",_xlfn.XLOOKUP(Tbl_Summary[[#This Row],[NO]],Tbl_SM[NO],Tbl_SM[STATUS])),"")</f>
        <v>OPEN</v>
      </c>
      <c r="AQ19" s="72" t="str">
        <f ca="1">IFERROR(IF(OR(Tbl_Summary[[#This Row],[NO]]="",Tbl_Summary[[#This Row],[NO]]="N/A"),"",_xlfn.XLOOKUP(Tbl_Summary[[#This Row],[NO]],Tbl_SM[NO],Tbl_SM[DUE STATUS])),"")</f>
        <v>&gt; 14 HARI</v>
      </c>
      <c r="AR19" s="80">
        <f>IFERROR(IF(OR(Tbl_Summary[[#This Row],[NO]]="",Tbl_Summary[[#This Row],[NO]]="N/A"),"",_xlfn.XLOOKUP(Tbl_Summary[[#This Row],[NO]],Tbl_SM[NO],Tbl_SM[COMPLETION])),"")</f>
        <v>0.52666666666666595</v>
      </c>
      <c r="AS19" s="70">
        <f>IFERROR(IF(OR(Tbl_Summary[[#This Row],[NO]]="",Tbl_Summary[[#This Row],[NO]]="N/A"),"",_xlfn.XLOOKUP(Tbl_Summary[[#This Row],[NO]],Tbl_SM[NO],Tbl_SM[COMPLETION_FLAG])),"")</f>
        <v>0</v>
      </c>
      <c r="AU19" s="70">
        <f>IF(ROWS($Z$15:Z25)&gt;COUNTA(Tbl_SM[NO]),"N/A",ROWS($Z$15:Z25))</f>
        <v>11</v>
      </c>
      <c r="AV19" s="70" t="str">
        <f>IF(OR(Table8[[#This Row],[NO]]="",Table8[[#This Row],[NO]]="N/A"),"",_xlfn.XLOOKUP(Table8[[#This Row],[NO]],Tbl_SM[NO],Tbl_SM[5 FACTOR]))</f>
        <v>METHOD</v>
      </c>
      <c r="AW19" t="str">
        <f>IF(OR(Table8[[#This Row],[NO]]="",Table8[[#This Row],[NO]]="N/A"),"",_xlfn.XLOOKUP(Table8[[#This Row],[NO]],Tbl_SM[NO],Tbl_SM[CATEGORY]))</f>
        <v>Quick Action</v>
      </c>
      <c r="AX19" s="77">
        <f>'Activity Plan'!GU18</f>
        <v>1</v>
      </c>
      <c r="AY19" s="77">
        <f>'Activity Plan'!GV18</f>
        <v>1</v>
      </c>
      <c r="AZ19" s="77">
        <f>'Activity Plan'!GW18</f>
        <v>1</v>
      </c>
      <c r="BA19" s="77">
        <f>'Activity Plan'!GX18</f>
        <v>1</v>
      </c>
      <c r="BB19" s="77">
        <f>'Activity Plan'!GY18</f>
        <v>1</v>
      </c>
      <c r="BC19" s="77">
        <f>'Activity Plan'!GZ18</f>
        <v>1</v>
      </c>
      <c r="BD19" s="77">
        <f>'Activity Plan'!HA18</f>
        <v>1</v>
      </c>
      <c r="BE19" s="77">
        <f>'Activity Plan'!HB18</f>
        <v>1</v>
      </c>
      <c r="BF19" s="77">
        <f>'Activity Plan'!HC18</f>
        <v>1</v>
      </c>
      <c r="BG19" s="77">
        <f>'Activity Plan'!HD18</f>
        <v>1</v>
      </c>
      <c r="BH19" s="77">
        <f>'Activity Plan'!HE18</f>
        <v>1</v>
      </c>
      <c r="BI19" s="77">
        <f>'Activity Plan'!HF18</f>
        <v>1</v>
      </c>
      <c r="BJ19" s="77">
        <f>'Activity Plan'!HG18</f>
        <v>1</v>
      </c>
      <c r="BK19" s="77">
        <f>'Activity Plan'!HH18</f>
        <v>1</v>
      </c>
      <c r="BL19" s="77">
        <f>'Activity Plan'!HI18</f>
        <v>1</v>
      </c>
      <c r="BM19" s="77">
        <f>'Activity Plan'!HJ18</f>
        <v>1</v>
      </c>
      <c r="BN19" s="77">
        <f>'Activity Plan'!HK18</f>
        <v>1</v>
      </c>
      <c r="BO19" s="77">
        <f>'Activity Plan'!HL18</f>
        <v>1</v>
      </c>
      <c r="BP19" s="77">
        <f>'Activity Plan'!HM18</f>
        <v>1</v>
      </c>
      <c r="BQ19" s="77">
        <f>'Activity Plan'!HN18</f>
        <v>1</v>
      </c>
      <c r="BR19" s="77">
        <f>'Activity Plan'!HO18</f>
        <v>1</v>
      </c>
      <c r="BS19" s="77">
        <f>'Activity Plan'!HP18</f>
        <v>1</v>
      </c>
      <c r="BT19" s="77">
        <f>'Activity Plan'!HQ18</f>
        <v>1</v>
      </c>
      <c r="BU19" s="77">
        <f>'Activity Plan'!HR18</f>
        <v>1</v>
      </c>
      <c r="BV19" s="77">
        <f>'Activity Plan'!HS18</f>
        <v>1</v>
      </c>
      <c r="BW19" s="77">
        <f>'Activity Plan'!HT18</f>
        <v>1</v>
      </c>
      <c r="BX19" s="77">
        <f>'Activity Plan'!HU18</f>
        <v>1</v>
      </c>
      <c r="BY19" s="77">
        <f>'Activity Plan'!HV18</f>
        <v>1</v>
      </c>
      <c r="BZ19" s="77">
        <f>'Activity Plan'!HW18</f>
        <v>1</v>
      </c>
      <c r="CA19" s="77">
        <f>'Activity Plan'!HX18</f>
        <v>1</v>
      </c>
      <c r="CB19" s="77">
        <f>'Activity Plan'!HY18</f>
        <v>1</v>
      </c>
      <c r="CF19">
        <v>1</v>
      </c>
      <c r="CG19" t="s">
        <v>30</v>
      </c>
      <c r="CH19" t="s">
        <v>2</v>
      </c>
      <c r="CI19" t="s">
        <v>65</v>
      </c>
      <c r="CJ19" s="68">
        <v>1</v>
      </c>
      <c r="CL19" t="s">
        <v>150</v>
      </c>
      <c r="CM19" t="s">
        <v>19</v>
      </c>
      <c r="CN19" t="s">
        <v>22</v>
      </c>
      <c r="CO19">
        <v>8</v>
      </c>
      <c r="CP19" cm="1">
        <f t="array" ref="CP19">IF(INDEX('Activity Plan'!$S$34:$AW$99,
MATCH("*"&amp;TRIM($B19)&amp;"*",'Activity Plan'!$D$35:$D$100,0)+MATCH($C19,{"PLAN";"ACTUAL";"ACHIVE"},0)-1,
MATCH($D19,DAY('Activity Plan'!$S$7:$AW$7),0))=0,
"N/A",
INDEX('Activity Plan'!$S$34:$AW$99,
MATCH("*"&amp;TRIM($B19)&amp;"*",'Activity Plan'!$D$35:$D$100,0)+MATCH($C19,{"PLAN";"ACTUAL";"ACHIVE"},0)-1,
MATCH($D19,DAY('Activity Plan'!$S$7:$AW$7),0)))</f>
        <v>15</v>
      </c>
      <c r="CS19" s="190" t="s">
        <v>34</v>
      </c>
      <c r="CU19">
        <f>'Activity Plan'!Z7</f>
        <v>46181</v>
      </c>
      <c r="CV19" t="s">
        <v>22</v>
      </c>
      <c r="CW19" s="194">
        <f>IFERROR(IF('Activity Plan'!BE33=0,"N/A",'Activity Plan'!BE33),"N/A")</f>
        <v>0.66</v>
      </c>
      <c r="CZ19">
        <f t="shared" si="0"/>
        <v>16</v>
      </c>
      <c r="DA19" s="199">
        <f>SUMIFS(TBL_ACHIVEMENT[VALUE],
        TBL_ACHIVEMENT[DATE],TBL_ACHIVEMENT[[#This Row],[DATE]],
        TBL_ACHIVEMENT[CATEGORY],"PLAN")</f>
        <v>0.42666666666666714</v>
      </c>
      <c r="DB19" s="144">
        <f>SUMIFS(TBL_ACHIVEMENT[VALUE],
        TBL_ACHIVEMENT[DATE],TBL_ACHIVEMENT[[#This Row],[DATE]],
        TBL_ACHIVEMENT[CATEGORY],"ACTUAL")</f>
        <v>0.8999999999999998</v>
      </c>
      <c r="DC19" s="198">
        <f>SUMIFS(TBL_DOZER_READINESS[VALUE],
        TBL_DOZER_READINESS[DATE],TBL_DOZER_READINESS[[#This Row],[DATE]],
        TBL_DOZER_READINESS[CATEGORY],"ACTUAL")</f>
        <v>15</v>
      </c>
      <c r="DD19" s="200">
        <f>SUMIFS(TBL_PA_DOZER[VALUE],
TBL_PA_DOZER[DATE],TBL_PA_DOZER[[#This Row],[DATE]],
TBL_PA_DOZER[CATEGORY],"ACTUAL")</f>
        <v>0.93</v>
      </c>
      <c r="DE19">
        <f>SUMIFS(Tbl_MTBF[VALUE],
Tbl_MTBF[DATE],Tbl_MTBF[[#This Row],[DATE]],
Tbl_MTBF[CATEGORY],"ACTUAL")</f>
        <v>80</v>
      </c>
      <c r="DF19">
        <f>SUMIFS(Tbl_MTTR[VALUE],
Tbl_MTTR[DATE],Tbl_MTTR[[#This Row],[DATE]],
Tbl_MTTR[CATEGORY],"ACTUAL")</f>
        <v>80</v>
      </c>
    </row>
    <row r="20" spans="2:110" x14ac:dyDescent="0.35">
      <c r="B20" t="s">
        <v>19</v>
      </c>
      <c r="C20" t="s">
        <v>21</v>
      </c>
      <c r="D20">
        <v>9</v>
      </c>
      <c r="E20" cm="1">
        <f t="array" ref="E20">IF(INDEX('Activity Plan'!$S$34:$AW$99,
MATCH("*"&amp;TRIM($B20)&amp;"*",'Activity Plan'!$D$35:$D$100,0)+MATCH($C20,{"PLAN";"ACTUAL";"ACHIVE"},0)-1,
MATCH($D20,DAY('Activity Plan'!$S$7:$AW$7),0))=0,
"N/A",
INDEX('Activity Plan'!$S$34:$AW$99,
MATCH("*"&amp;TRIM($B20)&amp;"*",'Activity Plan'!$D$35:$D$100,0)+MATCH($C20,{"PLAN";"ACTUAL";"ACHIVE"},0)-1,
MATCH($D20,DAY('Activity Plan'!$S$7:$AW$7),0)))</f>
        <v>16</v>
      </c>
      <c r="G20" t="s">
        <v>18</v>
      </c>
      <c r="H20" t="s">
        <v>21</v>
      </c>
      <c r="I20">
        <v>9</v>
      </c>
      <c r="J20" s="68" cm="1">
        <f t="array" ref="J20">IF(INDEX('Activity Plan'!$S$34:$AW$99,
MATCH("*"&amp;TRIM($G20)&amp;"*",'Activity Plan'!$D$35:$D$100,0)+MATCH($H20,{"PLAN";"ACTUAL";"ACHIVE"},0)-1,
MATCH($I20,DAY('Activity Plan'!$S$7:$AW$7),0))=0,
"N/A",
INDEX('Activity Plan'!$S$34:$AW$99,
MATCH("*"&amp;TRIM($G20)&amp;"*",'Activity Plan'!$D$35:$D$100,0)+MATCH($H20,{"PLAN";"ACTUAL";"ACHIVE"},0)-1,
MATCH($I20,DAY('Activity Plan'!$S$7:$AW$7),0)))</f>
        <v>0.9</v>
      </c>
      <c r="L20" t="s">
        <v>20</v>
      </c>
      <c r="M20" t="s">
        <v>21</v>
      </c>
      <c r="N20">
        <v>9</v>
      </c>
      <c r="O20" s="71" cm="1">
        <f t="array" ref="O20">IF(INDEX('Activity Plan'!$S$34:$AW$99,
MATCH("*"&amp;TRIM($L20)&amp;"*",'Activity Plan'!$D$35:$D$100,0)+MATCH($M20,{"PLAN";"ACTUAL";"ACHIVE"},0)-1,
MATCH($N20,DAY('Activity Plan'!$S$7:$AW$7),0))=0,
"N/A",
INDEX('Activity Plan'!$S$34:$AW$99,
MATCH("*"&amp;TRIM($L20)&amp;"*",'Activity Plan'!$D$35:$D$100,0)+MATCH($M20,{"PLAN";"ACTUAL";"ACHIVE"},0)-1,
MATCH($N20,DAY('Activity Plan'!$S$7:$AW$7),0)))</f>
        <v>70</v>
      </c>
      <c r="Q20" t="s">
        <v>138</v>
      </c>
      <c r="R20" t="s">
        <v>21</v>
      </c>
      <c r="S20">
        <v>9</v>
      </c>
      <c r="T20" s="71" cm="1">
        <f t="array" ref="T20">IF(INDEX('Activity Plan'!$S$34:$AW$99,
MATCH("*"&amp;TRIM($Q20)&amp;"*",'Activity Plan'!$D$35:$D$100,0)+MATCH($R20,{"PLAN";"ACTUAL";"ACHIVE"},0)-1,
MATCH($S20,DAY('Activity Plan'!$S$7:$AW$7),0))=0,
"N/A",
INDEX('Activity Plan'!$S$34:$AW$99,
MATCH("*"&amp;TRIM($Q20)&amp;"*",'Activity Plan'!$D$35:$D$100,0)+MATCH($R20,{"PLAN";"ACTUAL";"ACHIVE"},0)-1,
MATCH($S20,DAY('Activity Plan'!$S$7:$AW$7),0)))</f>
        <v>80</v>
      </c>
      <c r="U20" s="71"/>
      <c r="V20" t="s">
        <v>19</v>
      </c>
      <c r="W20" t="s">
        <v>39</v>
      </c>
      <c r="X20" s="70">
        <v>17</v>
      </c>
      <c r="Y20" s="69" cm="1">
        <f t="array" ref="Y20">IF(INDEX('Activity Plan'!$S$34:$AW$99,
MATCH("*"&amp;TRIM($V20)&amp;"*",'Activity Plan'!$D$35:$D$100,0)+MATCH($W20,{"PLAN";"ACTUAL";"ACHIVE"},0)-1,
MATCH($X20,DAY('Activity Plan'!$S$7:$AW$7),0))=0,
"N/A",
INDEX('Activity Plan'!$S$34:$AW$99,
MATCH("*"&amp;TRIM($V20)&amp;"*",'Activity Plan'!$D$35:$D$100,0)+MATCH($W20,{"PLAN";"ACTUAL";"ACHIVE"},0)-1,
MATCH($X20,DAY('Activity Plan'!$S$7:$AW$7),0)))</f>
        <v>0.875</v>
      </c>
      <c r="AA20" t="s">
        <v>40</v>
      </c>
      <c r="AB20" t="s">
        <v>21</v>
      </c>
      <c r="AC20" s="70">
        <v>17</v>
      </c>
      <c r="AD20" s="77">
        <f>'Activity Plan'!AI33</f>
        <v>0.45166666666666683</v>
      </c>
      <c r="AF20" s="70">
        <f>IF(ROWS($Z$15:Z31)&gt;COUNTA(Tbl_SM[NO]),"N/A",ROWS($Z$15:Z31))</f>
        <v>17</v>
      </c>
      <c r="AG20" t="str">
        <f>IF(OR(Tbl_Summary[[#This Row],[NO]]="",Tbl_Summary[[#This Row],[NO]]="N/A"),"",_xlfn.XLOOKUP(Tbl_Summary[[#This Row],[NO]],Tbl_SM[NO],Tbl_SM[5 FACTOR]))</f>
        <v>MATERIAL</v>
      </c>
      <c r="AH20" t="str">
        <f>IF(OR(Tbl_Summary[[#This Row],[NO]]="",Tbl_Summary[[#This Row],[NO]]="N/A"),"",_xlfn.XLOOKUP(Tbl_Summary[[#This Row],[NO]],Tbl_SM[NO],Tbl_SM[CATEGORY]))</f>
        <v>Quick Action</v>
      </c>
      <c r="AI20" t="str">
        <f>IF(OR(Tbl_Summary[[#This Row],[NO]]="",Tbl_Summary[[#This Row],[NO]]="N/A"),"",_xlfn.XLOOKUP(Tbl_Summary[[#This Row],[NO]],Tbl_SM[NO],Tbl_SM[PIC]))</f>
        <v>LOG-GS-PLANT</v>
      </c>
      <c r="AJ20" s="72">
        <f>IF(OR(Tbl_Summary[[#This Row],[NO]]="",Tbl_Summary[[#This Row],[NO]]="N/A"),"",_xlfn.XLOOKUP(Tbl_Summary[[#This Row],[NO]],Tbl_SM[NO],Tbl_SM[PLAN START]))</f>
        <v>46195</v>
      </c>
      <c r="AK20" s="72">
        <f>IF(OR(Tbl_Summary[[#This Row],[NO]]="",Tbl_Summary[[#This Row],[NO]]="N/A"),"",_xlfn.XLOOKUP(Tbl_Summary[[#This Row],[NO]],Tbl_SM[NO],Tbl_SM[DUE DATA]))</f>
        <v>46227</v>
      </c>
      <c r="AL20" s="70">
        <f>IF(OR(Tbl_Summary[[#This Row],[NO]]="",Tbl_Summary[[#This Row],[NO]]="N/A"),"",_xlfn.XLOOKUP(Tbl_Summary[[#This Row],[NO]],Tbl_SM[NO],Tbl_SM[PLAN DURATION]))</f>
        <v>33</v>
      </c>
      <c r="AM20" s="72">
        <f>IFERROR(IF(OR(Tbl_Summary[[#This Row],[NO]]="",Tbl_Summary[[#This Row],[NO]]="N/A"),"",_xlfn.XLOOKUP(Tbl_Summary[[#This Row],[NO]],Tbl_SM[NO],Tbl_SM[ACTUAL START])),"")</f>
        <v>0</v>
      </c>
      <c r="AN20" s="72" t="str">
        <f>IFERROR(IF(OR(Tbl_Summary[[#This Row],[NO]]="",Tbl_Summary[[#This Row],[NO]]="N/A"),"N/A",
IF(_xlfn.XLOOKUP(Tbl_Summary[[#This Row],[NO]],Tbl_SM[NO],Tbl_SM[ACTUAL FINISH])=0,"N/A",
_xlfn.XLOOKUP(Tbl_Summary[[#This Row],[NO]],Tbl_SM[NO],Tbl_SM[ACTUAL FINISH]))),"N/A")</f>
        <v>N/A</v>
      </c>
      <c r="AO20" s="73" t="str">
        <f>IFERROR(IF(OR(Tbl_Summary[[#This Row],[NO]]="",Tbl_Summary[[#This Row],[NO]]="N/A"),"",_xlfn.XLOOKUP(Tbl_Summary[[#This Row],[NO]],Tbl_SM[NO],Tbl_SM[ACTUAL DURATION])),"")</f>
        <v>No Progress</v>
      </c>
      <c r="AP20" s="72" t="str">
        <f>IFERROR(IF(OR(Tbl_Summary[[#This Row],[NO]]="",Tbl_Summary[[#This Row],[NO]]="N/A"),"",_xlfn.XLOOKUP(Tbl_Summary[[#This Row],[NO]],Tbl_SM[NO],Tbl_SM[STATUS])),"")</f>
        <v>OPEN</v>
      </c>
      <c r="AQ20" s="72" t="str">
        <f ca="1">IFERROR(IF(OR(Tbl_Summary[[#This Row],[NO]]="",Tbl_Summary[[#This Row],[NO]]="N/A"),"",_xlfn.XLOOKUP(Tbl_Summary[[#This Row],[NO]],Tbl_SM[NO],Tbl_SM[DUE STATUS])),"")</f>
        <v>&gt; 14 HARI</v>
      </c>
      <c r="AR20" s="80">
        <f>IFERROR(IF(OR(Tbl_Summary[[#This Row],[NO]]="",Tbl_Summary[[#This Row],[NO]]="N/A"),"",_xlfn.XLOOKUP(Tbl_Summary[[#This Row],[NO]],Tbl_SM[NO],Tbl_SM[COMPLETION])),"")</f>
        <v>0.52666666666666595</v>
      </c>
      <c r="AS20" s="70">
        <f>IFERROR(IF(OR(Tbl_Summary[[#This Row],[NO]]="",Tbl_Summary[[#This Row],[NO]]="N/A"),"",_xlfn.XLOOKUP(Tbl_Summary[[#This Row],[NO]],Tbl_SM[NO],Tbl_SM[COMPLETION_FLAG])),"")</f>
        <v>0</v>
      </c>
      <c r="AU20" s="70">
        <f>IF(ROWS($Z$15:Z26)&gt;COUNTA(Tbl_SM[NO]),"N/A",ROWS($Z$15:Z26))</f>
        <v>12</v>
      </c>
      <c r="AV20" s="70" t="str">
        <f>IF(OR(Table8[[#This Row],[NO]]="",Table8[[#This Row],[NO]]="N/A"),"",_xlfn.XLOOKUP(Table8[[#This Row],[NO]],Tbl_SM[NO],Tbl_SM[5 FACTOR]))</f>
        <v>MACHINE</v>
      </c>
      <c r="AW20" t="str">
        <f>IF(OR(Table8[[#This Row],[NO]]="",Table8[[#This Row],[NO]]="N/A"),"",_xlfn.XLOOKUP(Table8[[#This Row],[NO]],Tbl_SM[NO],Tbl_SM[CATEGORY]))</f>
        <v>Quick Action</v>
      </c>
      <c r="AX20" s="77">
        <f>'Activity Plan'!GU19</f>
        <v>1</v>
      </c>
      <c r="AY20" s="77">
        <f>'Activity Plan'!GV19</f>
        <v>1</v>
      </c>
      <c r="AZ20" s="77">
        <f>'Activity Plan'!GW19</f>
        <v>1</v>
      </c>
      <c r="BA20" s="77">
        <f>'Activity Plan'!GX19</f>
        <v>1</v>
      </c>
      <c r="BB20" s="77">
        <f>'Activity Plan'!GY19</f>
        <v>1</v>
      </c>
      <c r="BC20" s="77">
        <f>'Activity Plan'!GZ19</f>
        <v>1</v>
      </c>
      <c r="BD20" s="77">
        <f>'Activity Plan'!HA19</f>
        <v>1</v>
      </c>
      <c r="BE20" s="77">
        <f>'Activity Plan'!HB19</f>
        <v>1</v>
      </c>
      <c r="BF20" s="77">
        <f>'Activity Plan'!HC19</f>
        <v>1</v>
      </c>
      <c r="BG20" s="77">
        <f>'Activity Plan'!HD19</f>
        <v>1</v>
      </c>
      <c r="BH20" s="77">
        <f>'Activity Plan'!HE19</f>
        <v>1</v>
      </c>
      <c r="BI20" s="77">
        <f>'Activity Plan'!HF19</f>
        <v>1</v>
      </c>
      <c r="BJ20" s="77">
        <f>'Activity Plan'!HG19</f>
        <v>1</v>
      </c>
      <c r="BK20" s="77">
        <f>'Activity Plan'!HH19</f>
        <v>1</v>
      </c>
      <c r="BL20" s="77">
        <f>'Activity Plan'!HI19</f>
        <v>1</v>
      </c>
      <c r="BM20" s="77">
        <f>'Activity Plan'!HJ19</f>
        <v>1</v>
      </c>
      <c r="BN20" s="77">
        <f>'Activity Plan'!HK19</f>
        <v>1</v>
      </c>
      <c r="BO20" s="77">
        <f>'Activity Plan'!HL19</f>
        <v>1</v>
      </c>
      <c r="BP20" s="77">
        <f>'Activity Plan'!HM19</f>
        <v>1</v>
      </c>
      <c r="BQ20" s="77">
        <f>'Activity Plan'!HN19</f>
        <v>1</v>
      </c>
      <c r="BR20" s="77">
        <f>'Activity Plan'!HO19</f>
        <v>1</v>
      </c>
      <c r="BS20" s="77">
        <f>'Activity Plan'!HP19</f>
        <v>1</v>
      </c>
      <c r="BT20" s="77">
        <f>'Activity Plan'!HQ19</f>
        <v>1</v>
      </c>
      <c r="BU20" s="77">
        <f>'Activity Plan'!HR19</f>
        <v>1</v>
      </c>
      <c r="BV20" s="77">
        <f>'Activity Plan'!HS19</f>
        <v>1</v>
      </c>
      <c r="BW20" s="77">
        <f>'Activity Plan'!HT19</f>
        <v>1</v>
      </c>
      <c r="BX20" s="77">
        <f>'Activity Plan'!HU19</f>
        <v>1</v>
      </c>
      <c r="BY20" s="77">
        <f>'Activity Plan'!HV19</f>
        <v>1</v>
      </c>
      <c r="BZ20" s="77">
        <f>'Activity Plan'!HW19</f>
        <v>1</v>
      </c>
      <c r="CA20" s="77">
        <f>'Activity Plan'!HX19</f>
        <v>1</v>
      </c>
      <c r="CB20" s="77">
        <f>'Activity Plan'!HY19</f>
        <v>1</v>
      </c>
      <c r="CF20">
        <v>1</v>
      </c>
      <c r="CG20" t="s">
        <v>30</v>
      </c>
      <c r="CH20" t="s">
        <v>2</v>
      </c>
      <c r="CI20" t="s">
        <v>66</v>
      </c>
      <c r="CJ20" s="68">
        <v>1</v>
      </c>
      <c r="CL20" t="s">
        <v>150</v>
      </c>
      <c r="CM20" t="s">
        <v>19</v>
      </c>
      <c r="CN20" t="s">
        <v>21</v>
      </c>
      <c r="CO20">
        <v>9</v>
      </c>
      <c r="CP20" cm="1">
        <f t="array" ref="CP20">IF(INDEX('Activity Plan'!$S$34:$AW$99,
MATCH("*"&amp;TRIM($B20)&amp;"*",'Activity Plan'!$D$35:$D$100,0)+MATCH($C20,{"PLAN";"ACTUAL";"ACHIVE"},0)-1,
MATCH($D20,DAY('Activity Plan'!$S$7:$AW$7),0))=0,
"N/A",
INDEX('Activity Plan'!$S$34:$AW$99,
MATCH("*"&amp;TRIM($B20)&amp;"*",'Activity Plan'!$D$35:$D$100,0)+MATCH($C20,{"PLAN";"ACTUAL";"ACHIVE"},0)-1,
MATCH($D20,DAY('Activity Plan'!$S$7:$AW$7),0)))</f>
        <v>16</v>
      </c>
      <c r="CS20" s="190" t="s">
        <v>33</v>
      </c>
      <c r="CU20">
        <f>'Activity Plan'!AA7</f>
        <v>46182</v>
      </c>
      <c r="CV20" t="s">
        <v>21</v>
      </c>
      <c r="CW20" s="194">
        <f>IFERROR(IF('Activity Plan'!AA33=0,"N/A",'Activity Plan'!AA33),"N/A")</f>
        <v>0.25166666666666698</v>
      </c>
      <c r="CZ20">
        <f t="shared" si="0"/>
        <v>17</v>
      </c>
      <c r="DA20" s="199">
        <f>SUMIFS(TBL_ACHIVEMENT[VALUE],
        TBL_ACHIVEMENT[DATE],TBL_ACHIVEMENT[[#This Row],[DATE]],
        TBL_ACHIVEMENT[CATEGORY],"PLAN")</f>
        <v>0.45166666666666683</v>
      </c>
      <c r="DB20" s="144">
        <f>SUMIFS(TBL_ACHIVEMENT[VALUE],
        TBL_ACHIVEMENT[DATE],TBL_ACHIVEMENT[[#This Row],[DATE]],
        TBL_ACHIVEMENT[CATEGORY],"ACTUAL")</f>
        <v>0.92999999999999983</v>
      </c>
      <c r="DC20" s="198">
        <f>SUMIFS(TBL_DOZER_READINESS[VALUE],
        TBL_DOZER_READINESS[DATE],TBL_DOZER_READINESS[[#This Row],[DATE]],
        TBL_DOZER_READINESS[CATEGORY],"ACTUAL")</f>
        <v>13</v>
      </c>
      <c r="DD20" s="200">
        <f>SUMIFS(TBL_PA_DOZER[VALUE],
TBL_PA_DOZER[DATE],TBL_PA_DOZER[[#This Row],[DATE]],
TBL_PA_DOZER[CATEGORY],"ACTUAL")</f>
        <v>0.87</v>
      </c>
      <c r="DE20">
        <f>SUMIFS(Tbl_MTBF[VALUE],
Tbl_MTBF[DATE],Tbl_MTBF[[#This Row],[DATE]],
Tbl_MTBF[CATEGORY],"ACTUAL")</f>
        <v>60</v>
      </c>
      <c r="DF20">
        <f>SUMIFS(Tbl_MTTR[VALUE],
Tbl_MTTR[DATE],Tbl_MTTR[[#This Row],[DATE]],
Tbl_MTTR[CATEGORY],"ACTUAL")</f>
        <v>60</v>
      </c>
    </row>
    <row r="21" spans="2:110" x14ac:dyDescent="0.35">
      <c r="B21" t="s">
        <v>19</v>
      </c>
      <c r="C21" t="s">
        <v>22</v>
      </c>
      <c r="D21">
        <v>9</v>
      </c>
      <c r="E21" cm="1">
        <f t="array" ref="E21">IF(INDEX('Activity Plan'!$S$34:$AW$99,
MATCH("*"&amp;TRIM($B21)&amp;"*",'Activity Plan'!$D$35:$D$100,0)+MATCH($C21,{"PLAN";"ACTUAL";"ACHIVE"},0)-1,
MATCH($D21,DAY('Activity Plan'!$S$7:$AW$7),0))=0,
"N/A",
INDEX('Activity Plan'!$S$34:$AW$99,
MATCH("*"&amp;TRIM($B21)&amp;"*",'Activity Plan'!$D$35:$D$100,0)+MATCH($C21,{"PLAN";"ACTUAL";"ACHIVE"},0)-1,
MATCH($D21,DAY('Activity Plan'!$S$7:$AW$7),0)))</f>
        <v>13</v>
      </c>
      <c r="G21" t="s">
        <v>18</v>
      </c>
      <c r="H21" t="s">
        <v>22</v>
      </c>
      <c r="I21">
        <v>9</v>
      </c>
      <c r="J21" s="68" cm="1">
        <f t="array" ref="J21">IF(INDEX('Activity Plan'!$S$34:$AW$99,
MATCH("*"&amp;TRIM($G21)&amp;"*",'Activity Plan'!$D$35:$D$100,0)+MATCH($H21,{"PLAN";"ACTUAL";"ACHIVE"},0)-1,
MATCH($I21,DAY('Activity Plan'!$S$7:$AW$7),0))=0,
"N/A",
INDEX('Activity Plan'!$S$34:$AW$99,
MATCH("*"&amp;TRIM($G21)&amp;"*",'Activity Plan'!$D$35:$D$100,0)+MATCH($H21,{"PLAN";"ACTUAL";"ACHIVE"},0)-1,
MATCH($I21,DAY('Activity Plan'!$S$7:$AW$7),0)))</f>
        <v>0.87</v>
      </c>
      <c r="L21" t="s">
        <v>20</v>
      </c>
      <c r="M21" t="s">
        <v>22</v>
      </c>
      <c r="N21">
        <v>9</v>
      </c>
      <c r="O21" s="71" cm="1">
        <f t="array" ref="O21">IF(INDEX('Activity Plan'!$S$34:$AW$99,
MATCH("*"&amp;TRIM($L21)&amp;"*",'Activity Plan'!$D$35:$D$100,0)+MATCH($M21,{"PLAN";"ACTUAL";"ACHIVE"},0)-1,
MATCH($N21,DAY('Activity Plan'!$S$7:$AW$7),0))=0,
"N/A",
INDEX('Activity Plan'!$S$34:$AW$99,
MATCH("*"&amp;TRIM($L21)&amp;"*",'Activity Plan'!$D$35:$D$100,0)+MATCH($M21,{"PLAN";"ACTUAL";"ACHIVE"},0)-1,
MATCH($N21,DAY('Activity Plan'!$S$7:$AW$7),0)))</f>
        <v>60</v>
      </c>
      <c r="Q21" t="s">
        <v>138</v>
      </c>
      <c r="R21" t="s">
        <v>22</v>
      </c>
      <c r="S21">
        <v>9</v>
      </c>
      <c r="T21" s="71" cm="1">
        <f t="array" ref="T21">IF(INDEX('Activity Plan'!$S$34:$AW$99,
MATCH("*"&amp;TRIM($Q21)&amp;"*",'Activity Plan'!$D$35:$D$100,0)+MATCH($R21,{"PLAN";"ACTUAL";"ACHIVE"},0)-1,
MATCH($S21,DAY('Activity Plan'!$S$7:$AW$7),0))=0,
"N/A",
INDEX('Activity Plan'!$S$34:$AW$99,
MATCH("*"&amp;TRIM($Q21)&amp;"*",'Activity Plan'!$D$35:$D$100,0)+MATCH($R21,{"PLAN";"ACTUAL";"ACHIVE"},0)-1,
MATCH($S21,DAY('Activity Plan'!$S$7:$AW$7),0)))</f>
        <v>60</v>
      </c>
      <c r="U21" s="71"/>
      <c r="V21" t="s">
        <v>19</v>
      </c>
      <c r="W21" t="s">
        <v>39</v>
      </c>
      <c r="X21" s="70">
        <v>18</v>
      </c>
      <c r="Y21" s="69" cm="1">
        <f t="array" ref="Y21">IF(INDEX('Activity Plan'!$S$34:$AW$99,
MATCH("*"&amp;TRIM($V21)&amp;"*",'Activity Plan'!$D$35:$D$100,0)+MATCH($W21,{"PLAN";"ACTUAL";"ACHIVE"},0)-1,
MATCH($X21,DAY('Activity Plan'!$S$7:$AW$7),0))=0,
"N/A",
INDEX('Activity Plan'!$S$34:$AW$99,
MATCH("*"&amp;TRIM($V21)&amp;"*",'Activity Plan'!$D$35:$D$100,0)+MATCH($W21,{"PLAN";"ACTUAL";"ACHIVE"},0)-1,
MATCH($X21,DAY('Activity Plan'!$S$7:$AW$7),0)))</f>
        <v>0.6875</v>
      </c>
      <c r="AA21" t="s">
        <v>40</v>
      </c>
      <c r="AB21" t="s">
        <v>21</v>
      </c>
      <c r="AC21" s="70">
        <v>18</v>
      </c>
      <c r="AD21" s="77">
        <f>'Activity Plan'!AJ33</f>
        <v>0.47666666666666674</v>
      </c>
      <c r="AF21" s="70">
        <f>IF(ROWS($Z$15:Z32)&gt;COUNTA(Tbl_SM[NO]),"N/A",ROWS($Z$15:Z32))</f>
        <v>18</v>
      </c>
      <c r="AG21" t="str">
        <f>IF(OR(Tbl_Summary[[#This Row],[NO]]="",Tbl_Summary[[#This Row],[NO]]="N/A"),"",_xlfn.XLOOKUP(Tbl_Summary[[#This Row],[NO]],Tbl_SM[NO],Tbl_SM[5 FACTOR]))</f>
        <v>MATERIAL</v>
      </c>
      <c r="AH21" t="str">
        <f>IF(OR(Tbl_Summary[[#This Row],[NO]]="",Tbl_Summary[[#This Row],[NO]]="N/A"),"",_xlfn.XLOOKUP(Tbl_Summary[[#This Row],[NO]],Tbl_SM[NO],Tbl_SM[CATEGORY]))</f>
        <v>Long Term / Development</v>
      </c>
      <c r="AI21" t="str">
        <f>IF(OR(Tbl_Summary[[#This Row],[NO]]="",Tbl_Summary[[#This Row],[NO]]="N/A"),"",_xlfn.XLOOKUP(Tbl_Summary[[#This Row],[NO]],Tbl_SM[NO],Tbl_SM[PIC]))</f>
        <v>GS-LOG-HO</v>
      </c>
      <c r="AJ21" s="72">
        <f>IF(OR(Tbl_Summary[[#This Row],[NO]]="",Tbl_Summary[[#This Row],[NO]]="N/A"),"",_xlfn.XLOOKUP(Tbl_Summary[[#This Row],[NO]],Tbl_SM[NO],Tbl_SM[PLAN START]))</f>
        <v>46204</v>
      </c>
      <c r="AK21" s="72">
        <f>IF(OR(Tbl_Summary[[#This Row],[NO]]="",Tbl_Summary[[#This Row],[NO]]="N/A"),"",_xlfn.XLOOKUP(Tbl_Summary[[#This Row],[NO]],Tbl_SM[NO],Tbl_SM[DUE DATA]))</f>
        <v>46241</v>
      </c>
      <c r="AL21" s="70">
        <f>IF(OR(Tbl_Summary[[#This Row],[NO]]="",Tbl_Summary[[#This Row],[NO]]="N/A"),"",_xlfn.XLOOKUP(Tbl_Summary[[#This Row],[NO]],Tbl_SM[NO],Tbl_SM[PLAN DURATION]))</f>
        <v>38</v>
      </c>
      <c r="AM21" s="72">
        <f>IFERROR(IF(OR(Tbl_Summary[[#This Row],[NO]]="",Tbl_Summary[[#This Row],[NO]]="N/A"),"",_xlfn.XLOOKUP(Tbl_Summary[[#This Row],[NO]],Tbl_SM[NO],Tbl_SM[ACTUAL START])),"")</f>
        <v>0</v>
      </c>
      <c r="AN21" s="72" t="str">
        <f>IFERROR(IF(OR(Tbl_Summary[[#This Row],[NO]]="",Tbl_Summary[[#This Row],[NO]]="N/A"),"N/A",
IF(_xlfn.XLOOKUP(Tbl_Summary[[#This Row],[NO]],Tbl_SM[NO],Tbl_SM[ACTUAL FINISH])=0,"N/A",
_xlfn.XLOOKUP(Tbl_Summary[[#This Row],[NO]],Tbl_SM[NO],Tbl_SM[ACTUAL FINISH]))),"N/A")</f>
        <v>N/A</v>
      </c>
      <c r="AO21" s="73" t="str">
        <f>IFERROR(IF(OR(Tbl_Summary[[#This Row],[NO]]="",Tbl_Summary[[#This Row],[NO]]="N/A"),"",_xlfn.XLOOKUP(Tbl_Summary[[#This Row],[NO]],Tbl_SM[NO],Tbl_SM[ACTUAL DURATION])),"")</f>
        <v>No Progress</v>
      </c>
      <c r="AP21" s="72" t="str">
        <f>IFERROR(IF(OR(Tbl_Summary[[#This Row],[NO]]="",Tbl_Summary[[#This Row],[NO]]="N/A"),"",_xlfn.XLOOKUP(Tbl_Summary[[#This Row],[NO]],Tbl_SM[NO],Tbl_SM[STATUS])),"")</f>
        <v>OPEN</v>
      </c>
      <c r="AQ21" s="72" t="str">
        <f ca="1">IFERROR(IF(OR(Tbl_Summary[[#This Row],[NO]]="",Tbl_Summary[[#This Row],[NO]]="N/A"),"",_xlfn.XLOOKUP(Tbl_Summary[[#This Row],[NO]],Tbl_SM[NO],Tbl_SM[DUE STATUS])),"")</f>
        <v>&gt; 14 HARI</v>
      </c>
      <c r="AR21" s="80">
        <f>IFERROR(IF(OR(Tbl_Summary[[#This Row],[NO]]="",Tbl_Summary[[#This Row],[NO]]="N/A"),"",_xlfn.XLOOKUP(Tbl_Summary[[#This Row],[NO]],Tbl_SM[NO],Tbl_SM[COMPLETION])),"")</f>
        <v>0.52666666666666595</v>
      </c>
      <c r="AS21" s="70">
        <f>IFERROR(IF(OR(Tbl_Summary[[#This Row],[NO]]="",Tbl_Summary[[#This Row],[NO]]="N/A"),"",_xlfn.XLOOKUP(Tbl_Summary[[#This Row],[NO]],Tbl_SM[NO],Tbl_SM[COMPLETION_FLAG])),"")</f>
        <v>0</v>
      </c>
      <c r="AU21" s="70">
        <f>IF(ROWS($Z$15:Z27)&gt;COUNTA(Tbl_SM[NO]),"N/A",ROWS($Z$15:Z27))</f>
        <v>13</v>
      </c>
      <c r="AV21" s="70" t="str">
        <f>IF(OR(Table8[[#This Row],[NO]]="",Table8[[#This Row],[NO]]="N/A"),"",_xlfn.XLOOKUP(Table8[[#This Row],[NO]],Tbl_SM[NO],Tbl_SM[5 FACTOR]))</f>
        <v>MACHINE</v>
      </c>
      <c r="AW21" t="str">
        <f>IF(OR(Table8[[#This Row],[NO]]="",Table8[[#This Row],[NO]]="N/A"),"",_xlfn.XLOOKUP(Table8[[#This Row],[NO]],Tbl_SM[NO],Tbl_SM[CATEGORY]))</f>
        <v>Long Term / Development</v>
      </c>
      <c r="AX21" s="77">
        <f>'Activity Plan'!GU20</f>
        <v>1</v>
      </c>
      <c r="AY21" s="77">
        <f>'Activity Plan'!GV20</f>
        <v>1</v>
      </c>
      <c r="AZ21" s="77">
        <f>'Activity Plan'!GW20</f>
        <v>1</v>
      </c>
      <c r="BA21" s="77">
        <f>'Activity Plan'!GX20</f>
        <v>1</v>
      </c>
      <c r="BB21" s="77">
        <f>'Activity Plan'!GY20</f>
        <v>1</v>
      </c>
      <c r="BC21" s="77">
        <f>'Activity Plan'!GZ20</f>
        <v>1</v>
      </c>
      <c r="BD21" s="77">
        <f>'Activity Plan'!HA20</f>
        <v>1</v>
      </c>
      <c r="BE21" s="77">
        <f>'Activity Plan'!HB20</f>
        <v>1</v>
      </c>
      <c r="BF21" s="77">
        <f>'Activity Plan'!HC20</f>
        <v>1</v>
      </c>
      <c r="BG21" s="77">
        <f>'Activity Plan'!HD20</f>
        <v>1</v>
      </c>
      <c r="BH21" s="77">
        <f>'Activity Plan'!HE20</f>
        <v>1</v>
      </c>
      <c r="BI21" s="77">
        <f>'Activity Plan'!HF20</f>
        <v>1</v>
      </c>
      <c r="BJ21" s="77">
        <f>'Activity Plan'!HG20</f>
        <v>1</v>
      </c>
      <c r="BK21" s="77">
        <f>'Activity Plan'!HH20</f>
        <v>1</v>
      </c>
      <c r="BL21" s="77">
        <f>'Activity Plan'!HI20</f>
        <v>1</v>
      </c>
      <c r="BM21" s="77">
        <f>'Activity Plan'!HJ20</f>
        <v>1</v>
      </c>
      <c r="BN21" s="77">
        <f>'Activity Plan'!HK20</f>
        <v>1</v>
      </c>
      <c r="BO21" s="77">
        <f>'Activity Plan'!HL20</f>
        <v>1</v>
      </c>
      <c r="BP21" s="77">
        <f>'Activity Plan'!HM20</f>
        <v>1</v>
      </c>
      <c r="BQ21" s="77">
        <f>'Activity Plan'!HN20</f>
        <v>1</v>
      </c>
      <c r="BR21" s="77">
        <f>'Activity Plan'!HO20</f>
        <v>1</v>
      </c>
      <c r="BS21" s="77">
        <f>'Activity Plan'!HP20</f>
        <v>1</v>
      </c>
      <c r="BT21" s="77">
        <f>'Activity Plan'!HQ20</f>
        <v>1</v>
      </c>
      <c r="BU21" s="77">
        <f>'Activity Plan'!HR20</f>
        <v>1</v>
      </c>
      <c r="BV21" s="77">
        <f>'Activity Plan'!HS20</f>
        <v>1</v>
      </c>
      <c r="BW21" s="77">
        <f>'Activity Plan'!HT20</f>
        <v>1</v>
      </c>
      <c r="BX21" s="77">
        <f>'Activity Plan'!HU20</f>
        <v>1</v>
      </c>
      <c r="BY21" s="77">
        <f>'Activity Plan'!HV20</f>
        <v>1</v>
      </c>
      <c r="BZ21" s="77">
        <f>'Activity Plan'!HW20</f>
        <v>1</v>
      </c>
      <c r="CA21" s="77">
        <f>'Activity Plan'!HX20</f>
        <v>1</v>
      </c>
      <c r="CB21" s="77">
        <f>'Activity Plan'!HY20</f>
        <v>1</v>
      </c>
      <c r="CF21">
        <v>1</v>
      </c>
      <c r="CG21" t="s">
        <v>30</v>
      </c>
      <c r="CH21" t="s">
        <v>2</v>
      </c>
      <c r="CI21" t="s">
        <v>67</v>
      </c>
      <c r="CJ21" s="68">
        <v>1</v>
      </c>
      <c r="CL21" t="s">
        <v>150</v>
      </c>
      <c r="CM21" t="s">
        <v>19</v>
      </c>
      <c r="CN21" t="s">
        <v>22</v>
      </c>
      <c r="CO21">
        <v>9</v>
      </c>
      <c r="CP21" cm="1">
        <f t="array" ref="CP21">IF(INDEX('Activity Plan'!$S$34:$AW$99,
MATCH("*"&amp;TRIM($B21)&amp;"*",'Activity Plan'!$D$35:$D$100,0)+MATCH($C21,{"PLAN";"ACTUAL";"ACHIVE"},0)-1,
MATCH($D21,DAY('Activity Plan'!$S$7:$AW$7),0))=0,
"N/A",
INDEX('Activity Plan'!$S$34:$AW$99,
MATCH("*"&amp;TRIM($B21)&amp;"*",'Activity Plan'!$D$35:$D$100,0)+MATCH($C21,{"PLAN";"ACTUAL";"ACHIVE"},0)-1,
MATCH($D21,DAY('Activity Plan'!$S$7:$AW$7),0)))</f>
        <v>13</v>
      </c>
      <c r="CS21" s="190" t="s">
        <v>32</v>
      </c>
      <c r="CU21">
        <f>'Activity Plan'!AA7</f>
        <v>46182</v>
      </c>
      <c r="CV21" t="s">
        <v>22</v>
      </c>
      <c r="CW21" s="194">
        <f>IFERROR(IF('Activity Plan'!BF33=0,"N/A",'Activity Plan'!BF33),"N/A")</f>
        <v>0.68999999999999961</v>
      </c>
      <c r="CZ21">
        <f t="shared" si="0"/>
        <v>18</v>
      </c>
      <c r="DA21" s="199">
        <f>SUMIFS(TBL_ACHIVEMENT[VALUE],
        TBL_ACHIVEMENT[DATE],TBL_ACHIVEMENT[[#This Row],[DATE]],
        TBL_ACHIVEMENT[CATEGORY],"PLAN")</f>
        <v>0.47666666666666674</v>
      </c>
      <c r="DB21" s="144">
        <f>SUMIFS(TBL_ACHIVEMENT[VALUE],
        TBL_ACHIVEMENT[DATE],TBL_ACHIVEMENT[[#This Row],[DATE]],
        TBL_ACHIVEMENT[CATEGORY],"ACTUAL")</f>
        <v>0.96000000000000052</v>
      </c>
      <c r="DC21" s="198">
        <f>SUMIFS(TBL_DOZER_READINESS[VALUE],
        TBL_DOZER_READINESS[DATE],TBL_DOZER_READINESS[[#This Row],[DATE]],
        TBL_DOZER_READINESS[CATEGORY],"ACTUAL")</f>
        <v>13</v>
      </c>
      <c r="DD21" s="200">
        <f>SUMIFS(TBL_PA_DOZER[VALUE],
TBL_PA_DOZER[DATE],TBL_PA_DOZER[[#This Row],[DATE]],
TBL_PA_DOZER[CATEGORY],"ACTUAL")</f>
        <v>0.87</v>
      </c>
      <c r="DE21">
        <f>SUMIFS(Tbl_MTBF[VALUE],
Tbl_MTBF[DATE],Tbl_MTBF[[#This Row],[DATE]],
Tbl_MTBF[CATEGORY],"ACTUAL")</f>
        <v>60</v>
      </c>
      <c r="DF21">
        <f>SUMIFS(Tbl_MTTR[VALUE],
Tbl_MTTR[DATE],Tbl_MTTR[[#This Row],[DATE]],
Tbl_MTTR[CATEGORY],"ACTUAL")</f>
        <v>60</v>
      </c>
    </row>
    <row r="22" spans="2:110" x14ac:dyDescent="0.35">
      <c r="B22" t="s">
        <v>19</v>
      </c>
      <c r="C22" t="s">
        <v>21</v>
      </c>
      <c r="D22">
        <v>10</v>
      </c>
      <c r="E22" cm="1">
        <f t="array" ref="E22">IF(INDEX('Activity Plan'!$S$34:$AW$99,
MATCH("*"&amp;TRIM($B22)&amp;"*",'Activity Plan'!$D$35:$D$100,0)+MATCH($C22,{"PLAN";"ACTUAL";"ACHIVE"},0)-1,
MATCH($D22,DAY('Activity Plan'!$S$7:$AW$7),0))=0,
"N/A",
INDEX('Activity Plan'!$S$34:$AW$99,
MATCH("*"&amp;TRIM($B22)&amp;"*",'Activity Plan'!$D$35:$D$100,0)+MATCH($C22,{"PLAN";"ACTUAL";"ACHIVE"},0)-1,
MATCH($D22,DAY('Activity Plan'!$S$7:$AW$7),0)))</f>
        <v>16</v>
      </c>
      <c r="G22" t="s">
        <v>18</v>
      </c>
      <c r="H22" t="s">
        <v>21</v>
      </c>
      <c r="I22">
        <v>10</v>
      </c>
      <c r="J22" s="68" cm="1">
        <f t="array" ref="J22">IF(INDEX('Activity Plan'!$S$34:$AW$99,
MATCH("*"&amp;TRIM($G22)&amp;"*",'Activity Plan'!$D$35:$D$100,0)+MATCH($H22,{"PLAN";"ACTUAL";"ACHIVE"},0)-1,
MATCH($I22,DAY('Activity Plan'!$S$7:$AW$7),0))=0,
"N/A",
INDEX('Activity Plan'!$S$34:$AW$99,
MATCH("*"&amp;TRIM($G22)&amp;"*",'Activity Plan'!$D$35:$D$100,0)+MATCH($H22,{"PLAN";"ACTUAL";"ACHIVE"},0)-1,
MATCH($I22,DAY('Activity Plan'!$S$7:$AW$7),0)))</f>
        <v>0.9</v>
      </c>
      <c r="L22" t="s">
        <v>20</v>
      </c>
      <c r="M22" t="s">
        <v>21</v>
      </c>
      <c r="N22">
        <v>10</v>
      </c>
      <c r="O22" s="71" cm="1">
        <f t="array" ref="O22">IF(INDEX('Activity Plan'!$S$34:$AW$99,
MATCH("*"&amp;TRIM($L22)&amp;"*",'Activity Plan'!$D$35:$D$100,0)+MATCH($M22,{"PLAN";"ACTUAL";"ACHIVE"},0)-1,
MATCH($N22,DAY('Activity Plan'!$S$7:$AW$7),0))=0,
"N/A",
INDEX('Activity Plan'!$S$34:$AW$99,
MATCH("*"&amp;TRIM($L22)&amp;"*",'Activity Plan'!$D$35:$D$100,0)+MATCH($M22,{"PLAN";"ACTUAL";"ACHIVE"},0)-1,
MATCH($N22,DAY('Activity Plan'!$S$7:$AW$7),0)))</f>
        <v>70</v>
      </c>
      <c r="Q22" t="s">
        <v>138</v>
      </c>
      <c r="R22" t="s">
        <v>21</v>
      </c>
      <c r="S22">
        <v>10</v>
      </c>
      <c r="T22" s="71" cm="1">
        <f t="array" ref="T22">IF(INDEX('Activity Plan'!$S$34:$AW$99,
MATCH("*"&amp;TRIM($Q22)&amp;"*",'Activity Plan'!$D$35:$D$100,0)+MATCH($R22,{"PLAN";"ACTUAL";"ACHIVE"},0)-1,
MATCH($S22,DAY('Activity Plan'!$S$7:$AW$7),0))=0,
"N/A",
INDEX('Activity Plan'!$S$34:$AW$99,
MATCH("*"&amp;TRIM($Q22)&amp;"*",'Activity Plan'!$D$35:$D$100,0)+MATCH($R22,{"PLAN";"ACTUAL";"ACHIVE"},0)-1,
MATCH($S22,DAY('Activity Plan'!$S$7:$AW$7),0)))</f>
        <v>80</v>
      </c>
      <c r="U22" s="71"/>
      <c r="V22" t="s">
        <v>19</v>
      </c>
      <c r="W22" t="s">
        <v>39</v>
      </c>
      <c r="X22" s="70">
        <v>19</v>
      </c>
      <c r="Y22" s="69" cm="1">
        <f t="array" ref="Y22">IF(INDEX('Activity Plan'!$S$34:$AW$99,
MATCH("*"&amp;TRIM($V22)&amp;"*",'Activity Plan'!$D$35:$D$100,0)+MATCH($W22,{"PLAN";"ACTUAL";"ACHIVE"},0)-1,
MATCH($X22,DAY('Activity Plan'!$S$7:$AW$7),0))=0,
"N/A",
INDEX('Activity Plan'!$S$34:$AW$99,
MATCH("*"&amp;TRIM($V22)&amp;"*",'Activity Plan'!$D$35:$D$100,0)+MATCH($W22,{"PLAN";"ACTUAL";"ACHIVE"},0)-1,
MATCH($X22,DAY('Activity Plan'!$S$7:$AW$7),0)))</f>
        <v>1</v>
      </c>
      <c r="AA22" t="s">
        <v>40</v>
      </c>
      <c r="AB22" t="s">
        <v>21</v>
      </c>
      <c r="AC22" s="70">
        <v>19</v>
      </c>
      <c r="AD22" s="77">
        <f>'Activity Plan'!AK33</f>
        <v>0.50166666666666704</v>
      </c>
      <c r="AF22" s="70">
        <f>IF(ROWS($Z$15:Z33)&gt;COUNTA(Tbl_SM[NO]),"N/A",ROWS($Z$15:Z33))</f>
        <v>19</v>
      </c>
      <c r="AG22" t="str">
        <f>IF(OR(Tbl_Summary[[#This Row],[NO]]="",Tbl_Summary[[#This Row],[NO]]="N/A"),"",_xlfn.XLOOKUP(Tbl_Summary[[#This Row],[NO]],Tbl_SM[NO],Tbl_SM[5 FACTOR]))</f>
        <v>MATERIAL</v>
      </c>
      <c r="AH22" t="str">
        <f>IF(OR(Tbl_Summary[[#This Row],[NO]]="",Tbl_Summary[[#This Row],[NO]]="N/A"),"",_xlfn.XLOOKUP(Tbl_Summary[[#This Row],[NO]],Tbl_SM[NO],Tbl_SM[CATEGORY]))</f>
        <v>Quick Action</v>
      </c>
      <c r="AI22" t="str">
        <f>IF(OR(Tbl_Summary[[#This Row],[NO]]="",Tbl_Summary[[#This Row],[NO]]="N/A"),"",_xlfn.XLOOKUP(Tbl_Summary[[#This Row],[NO]],Tbl_SM[NO],Tbl_SM[PIC]))</f>
        <v>LOG-PLANT</v>
      </c>
      <c r="AJ22" s="72">
        <f>IF(OR(Tbl_Summary[[#This Row],[NO]]="",Tbl_Summary[[#This Row],[NO]]="N/A"),"",_xlfn.XLOOKUP(Tbl_Summary[[#This Row],[NO]],Tbl_SM[NO],Tbl_SM[PLAN START]))</f>
        <v>46202</v>
      </c>
      <c r="AK22" s="72">
        <f>IF(OR(Tbl_Summary[[#This Row],[NO]]="",Tbl_Summary[[#This Row],[NO]]="N/A"),"",_xlfn.XLOOKUP(Tbl_Summary[[#This Row],[NO]],Tbl_SM[NO],Tbl_SM[DUE DATA]))</f>
        <v>46220</v>
      </c>
      <c r="AL22" s="70">
        <f>IF(OR(Tbl_Summary[[#This Row],[NO]]="",Tbl_Summary[[#This Row],[NO]]="N/A"),"",_xlfn.XLOOKUP(Tbl_Summary[[#This Row],[NO]],Tbl_SM[NO],Tbl_SM[PLAN DURATION]))</f>
        <v>19</v>
      </c>
      <c r="AM22" s="72">
        <f>IFERROR(IF(OR(Tbl_Summary[[#This Row],[NO]]="",Tbl_Summary[[#This Row],[NO]]="N/A"),"",_xlfn.XLOOKUP(Tbl_Summary[[#This Row],[NO]],Tbl_SM[NO],Tbl_SM[ACTUAL START])),"")</f>
        <v>0</v>
      </c>
      <c r="AN22" s="72" t="str">
        <f>IFERROR(IF(OR(Tbl_Summary[[#This Row],[NO]]="",Tbl_Summary[[#This Row],[NO]]="N/A"),"N/A",
IF(_xlfn.XLOOKUP(Tbl_Summary[[#This Row],[NO]],Tbl_SM[NO],Tbl_SM[ACTUAL FINISH])=0,"N/A",
_xlfn.XLOOKUP(Tbl_Summary[[#This Row],[NO]],Tbl_SM[NO],Tbl_SM[ACTUAL FINISH]))),"N/A")</f>
        <v>N/A</v>
      </c>
      <c r="AO22" s="73" t="str">
        <f>IFERROR(IF(OR(Tbl_Summary[[#This Row],[NO]]="",Tbl_Summary[[#This Row],[NO]]="N/A"),"",_xlfn.XLOOKUP(Tbl_Summary[[#This Row],[NO]],Tbl_SM[NO],Tbl_SM[ACTUAL DURATION])),"")</f>
        <v>No Progress</v>
      </c>
      <c r="AP22" s="72" t="str">
        <f>IFERROR(IF(OR(Tbl_Summary[[#This Row],[NO]]="",Tbl_Summary[[#This Row],[NO]]="N/A"),"",_xlfn.XLOOKUP(Tbl_Summary[[#This Row],[NO]],Tbl_SM[NO],Tbl_SM[STATUS])),"")</f>
        <v>OPEN</v>
      </c>
      <c r="AQ22" s="72" t="str">
        <f ca="1">IFERROR(IF(OR(Tbl_Summary[[#This Row],[NO]]="",Tbl_Summary[[#This Row],[NO]]="N/A"),"",_xlfn.XLOOKUP(Tbl_Summary[[#This Row],[NO]],Tbl_SM[NO],Tbl_SM[DUE STATUS])),"")</f>
        <v>&gt; 14 HARI</v>
      </c>
      <c r="AR22" s="80">
        <f>IFERROR(IF(OR(Tbl_Summary[[#This Row],[NO]]="",Tbl_Summary[[#This Row],[NO]]="N/A"),"",_xlfn.XLOOKUP(Tbl_Summary[[#This Row],[NO]],Tbl_SM[NO],Tbl_SM[COMPLETION])),"")</f>
        <v>0.52666666666666595</v>
      </c>
      <c r="AS22" s="70">
        <f>IFERROR(IF(OR(Tbl_Summary[[#This Row],[NO]]="",Tbl_Summary[[#This Row],[NO]]="N/A"),"",_xlfn.XLOOKUP(Tbl_Summary[[#This Row],[NO]],Tbl_SM[NO],Tbl_SM[COMPLETION_FLAG])),"")</f>
        <v>0</v>
      </c>
      <c r="AU22" s="70">
        <f>IF(ROWS($Z$15:Z28)&gt;COUNTA(Tbl_SM[NO]),"N/A",ROWS($Z$15:Z28))</f>
        <v>14</v>
      </c>
      <c r="AV22" s="70" t="str">
        <f>IF(OR(Table8[[#This Row],[NO]]="",Table8[[#This Row],[NO]]="N/A"),"",_xlfn.XLOOKUP(Table8[[#This Row],[NO]],Tbl_SM[NO],Tbl_SM[5 FACTOR]))</f>
        <v>MACHINE</v>
      </c>
      <c r="AW22" t="str">
        <f>IF(OR(Table8[[#This Row],[NO]]="",Table8[[#This Row],[NO]]="N/A"),"",_xlfn.XLOOKUP(Table8[[#This Row],[NO]],Tbl_SM[NO],Tbl_SM[CATEGORY]))</f>
        <v>Quick Action</v>
      </c>
      <c r="AX22" s="77">
        <f>'Activity Plan'!GU21</f>
        <v>1</v>
      </c>
      <c r="AY22" s="77">
        <f>'Activity Plan'!GV21</f>
        <v>1</v>
      </c>
      <c r="AZ22" s="77">
        <f>'Activity Plan'!GW21</f>
        <v>1</v>
      </c>
      <c r="BA22" s="77">
        <f>'Activity Plan'!GX21</f>
        <v>1</v>
      </c>
      <c r="BB22" s="77">
        <f>'Activity Plan'!GY21</f>
        <v>1</v>
      </c>
      <c r="BC22" s="77">
        <f>'Activity Plan'!GZ21</f>
        <v>1</v>
      </c>
      <c r="BD22" s="77">
        <f>'Activity Plan'!HA21</f>
        <v>1</v>
      </c>
      <c r="BE22" s="77">
        <f>'Activity Plan'!HB21</f>
        <v>1</v>
      </c>
      <c r="BF22" s="77">
        <f>'Activity Plan'!HC21</f>
        <v>1</v>
      </c>
      <c r="BG22" s="77">
        <f>'Activity Plan'!HD21</f>
        <v>1</v>
      </c>
      <c r="BH22" s="77">
        <f>'Activity Plan'!HE21</f>
        <v>1</v>
      </c>
      <c r="BI22" s="77">
        <f>'Activity Plan'!HF21</f>
        <v>1</v>
      </c>
      <c r="BJ22" s="77">
        <f>'Activity Plan'!HG21</f>
        <v>1</v>
      </c>
      <c r="BK22" s="77">
        <f>'Activity Plan'!HH21</f>
        <v>1</v>
      </c>
      <c r="BL22" s="77">
        <f>'Activity Plan'!HI21</f>
        <v>1</v>
      </c>
      <c r="BM22" s="77">
        <f>'Activity Plan'!HJ21</f>
        <v>1</v>
      </c>
      <c r="BN22" s="77">
        <f>'Activity Plan'!HK21</f>
        <v>1</v>
      </c>
      <c r="BO22" s="77">
        <f>'Activity Plan'!HL21</f>
        <v>1</v>
      </c>
      <c r="BP22" s="77">
        <f>'Activity Plan'!HM21</f>
        <v>1</v>
      </c>
      <c r="BQ22" s="77">
        <f>'Activity Plan'!HN21</f>
        <v>1</v>
      </c>
      <c r="BR22" s="77">
        <f>'Activity Plan'!HO21</f>
        <v>1</v>
      </c>
      <c r="BS22" s="77">
        <f>'Activity Plan'!HP21</f>
        <v>1</v>
      </c>
      <c r="BT22" s="77">
        <f>'Activity Plan'!HQ21</f>
        <v>1</v>
      </c>
      <c r="BU22" s="77">
        <f>'Activity Plan'!HR21</f>
        <v>1</v>
      </c>
      <c r="BV22" s="77">
        <f>'Activity Plan'!HS21</f>
        <v>1</v>
      </c>
      <c r="BW22" s="77">
        <f>'Activity Plan'!HT21</f>
        <v>1</v>
      </c>
      <c r="BX22" s="77">
        <f>'Activity Plan'!HU21</f>
        <v>1</v>
      </c>
      <c r="BY22" s="77">
        <f>'Activity Plan'!HV21</f>
        <v>1</v>
      </c>
      <c r="BZ22" s="77">
        <f>'Activity Plan'!HW21</f>
        <v>1</v>
      </c>
      <c r="CA22" s="77">
        <f>'Activity Plan'!HX21</f>
        <v>1</v>
      </c>
      <c r="CB22" s="77">
        <f>'Activity Plan'!HY21</f>
        <v>1</v>
      </c>
      <c r="CF22">
        <v>1</v>
      </c>
      <c r="CG22" t="s">
        <v>30</v>
      </c>
      <c r="CH22" t="s">
        <v>2</v>
      </c>
      <c r="CI22" t="s">
        <v>68</v>
      </c>
      <c r="CJ22" s="68">
        <v>1</v>
      </c>
      <c r="CL22" t="s">
        <v>150</v>
      </c>
      <c r="CM22" t="s">
        <v>19</v>
      </c>
      <c r="CN22" t="s">
        <v>21</v>
      </c>
      <c r="CO22">
        <v>10</v>
      </c>
      <c r="CP22" cm="1">
        <f t="array" ref="CP22">IF(INDEX('Activity Plan'!$S$34:$AW$99,
MATCH("*"&amp;TRIM($B22)&amp;"*",'Activity Plan'!$D$35:$D$100,0)+MATCH($C22,{"PLAN";"ACTUAL";"ACHIVE"},0)-1,
MATCH($D22,DAY('Activity Plan'!$S$7:$AW$7),0))=0,
"N/A",
INDEX('Activity Plan'!$S$34:$AW$99,
MATCH("*"&amp;TRIM($B22)&amp;"*",'Activity Plan'!$D$35:$D$100,0)+MATCH($C22,{"PLAN";"ACTUAL";"ACHIVE"},0)-1,
MATCH($D22,DAY('Activity Plan'!$S$7:$AW$7),0)))</f>
        <v>16</v>
      </c>
      <c r="CS22" s="190" t="s">
        <v>168</v>
      </c>
      <c r="CU22">
        <f>'Activity Plan'!AB7</f>
        <v>46183</v>
      </c>
      <c r="CV22" t="s">
        <v>21</v>
      </c>
      <c r="CW22" s="194">
        <f>IFERROR(IF('Activity Plan'!AB33=0,"N/A",'Activity Plan'!AB33),"N/A")</f>
        <v>0.27666666666666706</v>
      </c>
      <c r="CZ22">
        <f t="shared" si="0"/>
        <v>19</v>
      </c>
      <c r="DA22" s="199">
        <f>SUMIFS(TBL_ACHIVEMENT[VALUE],
        TBL_ACHIVEMENT[DATE],TBL_ACHIVEMENT[[#This Row],[DATE]],
        TBL_ACHIVEMENT[CATEGORY],"PLAN")</f>
        <v>0.50166666666666704</v>
      </c>
      <c r="DB22" s="144">
        <f>SUMIFS(TBL_ACHIVEMENT[VALUE],
        TBL_ACHIVEMENT[DATE],TBL_ACHIVEMENT[[#This Row],[DATE]],
        TBL_ACHIVEMENT[CATEGORY],"ACTUAL")</f>
        <v>0.98999999999999966</v>
      </c>
      <c r="DC22" s="198">
        <f>SUMIFS(TBL_DOZER_READINESS[VALUE],
        TBL_DOZER_READINESS[DATE],TBL_DOZER_READINESS[[#This Row],[DATE]],
        TBL_DOZER_READINESS[CATEGORY],"ACTUAL")</f>
        <v>14</v>
      </c>
      <c r="DD22" s="200">
        <f>SUMIFS(TBL_PA_DOZER[VALUE],
TBL_PA_DOZER[DATE],TBL_PA_DOZER[[#This Row],[DATE]],
TBL_PA_DOZER[CATEGORY],"ACTUAL")</f>
        <v>0.8</v>
      </c>
      <c r="DE22">
        <f>SUMIFS(Tbl_MTBF[VALUE],
Tbl_MTBF[DATE],Tbl_MTBF[[#This Row],[DATE]],
Tbl_MTBF[CATEGORY],"ACTUAL")</f>
        <v>50</v>
      </c>
      <c r="DF22">
        <f>SUMIFS(Tbl_MTTR[VALUE],
Tbl_MTTR[DATE],Tbl_MTTR[[#This Row],[DATE]],
Tbl_MTTR[CATEGORY],"ACTUAL")</f>
        <v>50</v>
      </c>
    </row>
    <row r="23" spans="2:110" x14ac:dyDescent="0.35">
      <c r="B23" t="s">
        <v>19</v>
      </c>
      <c r="C23" t="s">
        <v>22</v>
      </c>
      <c r="D23">
        <v>10</v>
      </c>
      <c r="E23" cm="1">
        <f t="array" ref="E23">IF(INDEX('Activity Plan'!$S$34:$AW$99,
MATCH("*"&amp;TRIM($B23)&amp;"*",'Activity Plan'!$D$35:$D$100,0)+MATCH($C23,{"PLAN";"ACTUAL";"ACHIVE"},0)-1,
MATCH($D23,DAY('Activity Plan'!$S$7:$AW$7),0))=0,
"N/A",
INDEX('Activity Plan'!$S$34:$AW$99,
MATCH("*"&amp;TRIM($B23)&amp;"*",'Activity Plan'!$D$35:$D$100,0)+MATCH($C23,{"PLAN";"ACTUAL";"ACHIVE"},0)-1,
MATCH($D23,DAY('Activity Plan'!$S$7:$AW$7),0)))</f>
        <v>14</v>
      </c>
      <c r="G23" t="s">
        <v>18</v>
      </c>
      <c r="H23" t="s">
        <v>22</v>
      </c>
      <c r="I23">
        <v>10</v>
      </c>
      <c r="J23" s="68" cm="1">
        <f t="array" ref="J23">IF(INDEX('Activity Plan'!$S$34:$AW$99,
MATCH("*"&amp;TRIM($G23)&amp;"*",'Activity Plan'!$D$35:$D$100,0)+MATCH($H23,{"PLAN";"ACTUAL";"ACHIVE"},0)-1,
MATCH($I23,DAY('Activity Plan'!$S$7:$AW$7),0))=0,
"N/A",
INDEX('Activity Plan'!$S$34:$AW$99,
MATCH("*"&amp;TRIM($G23)&amp;"*",'Activity Plan'!$D$35:$D$100,0)+MATCH($H23,{"PLAN";"ACTUAL";"ACHIVE"},0)-1,
MATCH($I23,DAY('Activity Plan'!$S$7:$AW$7),0)))</f>
        <v>0.8</v>
      </c>
      <c r="L23" t="s">
        <v>20</v>
      </c>
      <c r="M23" t="s">
        <v>22</v>
      </c>
      <c r="N23">
        <v>10</v>
      </c>
      <c r="O23" s="71" cm="1">
        <f t="array" ref="O23">IF(INDEX('Activity Plan'!$S$34:$AW$99,
MATCH("*"&amp;TRIM($L23)&amp;"*",'Activity Plan'!$D$35:$D$100,0)+MATCH($M23,{"PLAN";"ACTUAL";"ACHIVE"},0)-1,
MATCH($N23,DAY('Activity Plan'!$S$7:$AW$7),0))=0,
"N/A",
INDEX('Activity Plan'!$S$34:$AW$99,
MATCH("*"&amp;TRIM($L23)&amp;"*",'Activity Plan'!$D$35:$D$100,0)+MATCH($M23,{"PLAN";"ACTUAL";"ACHIVE"},0)-1,
MATCH($N23,DAY('Activity Plan'!$S$7:$AW$7),0)))</f>
        <v>50</v>
      </c>
      <c r="Q23" t="s">
        <v>138</v>
      </c>
      <c r="R23" t="s">
        <v>22</v>
      </c>
      <c r="S23">
        <v>10</v>
      </c>
      <c r="T23" s="71" cm="1">
        <f t="array" ref="T23">IF(INDEX('Activity Plan'!$S$34:$AW$99,
MATCH("*"&amp;TRIM($Q23)&amp;"*",'Activity Plan'!$D$35:$D$100,0)+MATCH($R23,{"PLAN";"ACTUAL";"ACHIVE"},0)-1,
MATCH($S23,DAY('Activity Plan'!$S$7:$AW$7),0))=0,
"N/A",
INDEX('Activity Plan'!$S$34:$AW$99,
MATCH("*"&amp;TRIM($Q23)&amp;"*",'Activity Plan'!$D$35:$D$100,0)+MATCH($R23,{"PLAN";"ACTUAL";"ACHIVE"},0)-1,
MATCH($S23,DAY('Activity Plan'!$S$7:$AW$7),0)))</f>
        <v>50</v>
      </c>
      <c r="U23" s="71"/>
      <c r="V23" t="s">
        <v>19</v>
      </c>
      <c r="W23" t="s">
        <v>39</v>
      </c>
      <c r="X23" s="70">
        <v>20</v>
      </c>
      <c r="Y23" s="69" cm="1">
        <f t="array" ref="Y23">IF(INDEX('Activity Plan'!$S$34:$AW$99,
MATCH("*"&amp;TRIM($V23)&amp;"*",'Activity Plan'!$D$35:$D$100,0)+MATCH($W23,{"PLAN";"ACTUAL";"ACHIVE"},0)-1,
MATCH($X23,DAY('Activity Plan'!$S$7:$AW$7),0))=0,
"N/A",
INDEX('Activity Plan'!$S$34:$AW$99,
MATCH("*"&amp;TRIM($V23)&amp;"*",'Activity Plan'!$D$35:$D$100,0)+MATCH($W23,{"PLAN";"ACTUAL";"ACHIVE"},0)-1,
MATCH($X23,DAY('Activity Plan'!$S$7:$AW$7),0)))</f>
        <v>0.875</v>
      </c>
      <c r="AA23" t="s">
        <v>40</v>
      </c>
      <c r="AB23" t="s">
        <v>21</v>
      </c>
      <c r="AC23" s="70">
        <v>20</v>
      </c>
      <c r="AD23" s="77">
        <f>'Activity Plan'!AL33</f>
        <v>0.50166666666666704</v>
      </c>
      <c r="AF23" s="70">
        <f>IF(ROWS($Z$15:Z34)&gt;COUNTA(Tbl_SM[NO]),"N/A",ROWS($Z$15:Z34))</f>
        <v>20</v>
      </c>
      <c r="AG23" t="str">
        <f>IF(OR(Tbl_Summary[[#This Row],[NO]]="",Tbl_Summary[[#This Row],[NO]]="N/A"),"",_xlfn.XLOOKUP(Tbl_Summary[[#This Row],[NO]],Tbl_SM[NO],Tbl_SM[5 FACTOR]))</f>
        <v>MEASUREMENT</v>
      </c>
      <c r="AH23" t="str">
        <f>IF(OR(Tbl_Summary[[#This Row],[NO]]="",Tbl_Summary[[#This Row],[NO]]="N/A"),"",_xlfn.XLOOKUP(Tbl_Summary[[#This Row],[NO]],Tbl_SM[NO],Tbl_SM[CATEGORY]))</f>
        <v>Quick Action</v>
      </c>
      <c r="AI23" t="str">
        <f>IF(OR(Tbl_Summary[[#This Row],[NO]]="",Tbl_Summary[[#This Row],[NO]]="N/A"),"",_xlfn.XLOOKUP(Tbl_Summary[[#This Row],[NO]],Tbl_SM[NO],Tbl_SM[PIC]))</f>
        <v>GS-PLANT</v>
      </c>
      <c r="AJ23" s="72">
        <f>IF(OR(Tbl_Summary[[#This Row],[NO]]="",Tbl_Summary[[#This Row],[NO]]="N/A"),"",_xlfn.XLOOKUP(Tbl_Summary[[#This Row],[NO]],Tbl_SM[NO],Tbl_SM[PLAN START]))</f>
        <v>46181</v>
      </c>
      <c r="AK23" s="72">
        <f>IF(OR(Tbl_Summary[[#This Row],[NO]]="",Tbl_Summary[[#This Row],[NO]]="N/A"),"",_xlfn.XLOOKUP(Tbl_Summary[[#This Row],[NO]],Tbl_SM[NO],Tbl_SM[DUE DATA]))</f>
        <v>46199</v>
      </c>
      <c r="AL23" s="70">
        <f>IF(OR(Tbl_Summary[[#This Row],[NO]]="",Tbl_Summary[[#This Row],[NO]]="N/A"),"",_xlfn.XLOOKUP(Tbl_Summary[[#This Row],[NO]],Tbl_SM[NO],Tbl_SM[PLAN DURATION]))</f>
        <v>19</v>
      </c>
      <c r="AM23" s="72">
        <f>IFERROR(IF(OR(Tbl_Summary[[#This Row],[NO]]="",Tbl_Summary[[#This Row],[NO]]="N/A"),"",_xlfn.XLOOKUP(Tbl_Summary[[#This Row],[NO]],Tbl_SM[NO],Tbl_SM[ACTUAL START])),"")</f>
        <v>0</v>
      </c>
      <c r="AN23" s="72" t="str">
        <f>IFERROR(IF(OR(Tbl_Summary[[#This Row],[NO]]="",Tbl_Summary[[#This Row],[NO]]="N/A"),"N/A",
IF(_xlfn.XLOOKUP(Tbl_Summary[[#This Row],[NO]],Tbl_SM[NO],Tbl_SM[ACTUAL FINISH])=0,"N/A",
_xlfn.XLOOKUP(Tbl_Summary[[#This Row],[NO]],Tbl_SM[NO],Tbl_SM[ACTUAL FINISH]))),"N/A")</f>
        <v>N/A</v>
      </c>
      <c r="AO23" s="73" t="str">
        <f>IFERROR(IF(OR(Tbl_Summary[[#This Row],[NO]]="",Tbl_Summary[[#This Row],[NO]]="N/A"),"",_xlfn.XLOOKUP(Tbl_Summary[[#This Row],[NO]],Tbl_SM[NO],Tbl_SM[ACTUAL DURATION])),"")</f>
        <v>No Progress</v>
      </c>
      <c r="AP23" s="72" t="str">
        <f>IFERROR(IF(OR(Tbl_Summary[[#This Row],[NO]]="",Tbl_Summary[[#This Row],[NO]]="N/A"),"",_xlfn.XLOOKUP(Tbl_Summary[[#This Row],[NO]],Tbl_SM[NO],Tbl_SM[STATUS])),"")</f>
        <v>OPEN</v>
      </c>
      <c r="AQ23" s="72" t="str">
        <f ca="1">IFERROR(IF(OR(Tbl_Summary[[#This Row],[NO]]="",Tbl_Summary[[#This Row],[NO]]="N/A"),"",_xlfn.XLOOKUP(Tbl_Summary[[#This Row],[NO]],Tbl_SM[NO],Tbl_SM[DUE STATUS])),"")</f>
        <v>&gt; 14 HARI</v>
      </c>
      <c r="AR23" s="80">
        <f>IFERROR(IF(OR(Tbl_Summary[[#This Row],[NO]]="",Tbl_Summary[[#This Row],[NO]]="N/A"),"",_xlfn.XLOOKUP(Tbl_Summary[[#This Row],[NO]],Tbl_SM[NO],Tbl_SM[COMPLETION])),"")</f>
        <v>0.52666666666666595</v>
      </c>
      <c r="AS23" s="70">
        <f>IFERROR(IF(OR(Tbl_Summary[[#This Row],[NO]]="",Tbl_Summary[[#This Row],[NO]]="N/A"),"",_xlfn.XLOOKUP(Tbl_Summary[[#This Row],[NO]],Tbl_SM[NO],Tbl_SM[COMPLETION_FLAG])),"")</f>
        <v>0</v>
      </c>
      <c r="AU23" s="70">
        <f>IF(ROWS($Z$15:Z29)&gt;COUNTA(Tbl_SM[NO]),"N/A",ROWS($Z$15:Z29))</f>
        <v>15</v>
      </c>
      <c r="AV23" s="70" t="str">
        <f>IF(OR(Table8[[#This Row],[NO]]="",Table8[[#This Row],[NO]]="N/A"),"",_xlfn.XLOOKUP(Table8[[#This Row],[NO]],Tbl_SM[NO],Tbl_SM[5 FACTOR]))</f>
        <v>MACHINE</v>
      </c>
      <c r="AW23" t="str">
        <f>IF(OR(Table8[[#This Row],[NO]]="",Table8[[#This Row],[NO]]="N/A"),"",_xlfn.XLOOKUP(Table8[[#This Row],[NO]],Tbl_SM[NO],Tbl_SM[CATEGORY]))</f>
        <v>Long Term / Development</v>
      </c>
      <c r="AX23" s="77">
        <f>'Activity Plan'!GU22</f>
        <v>1</v>
      </c>
      <c r="AY23" s="77">
        <f>'Activity Plan'!GV22</f>
        <v>1</v>
      </c>
      <c r="AZ23" s="77">
        <f>'Activity Plan'!GW22</f>
        <v>1</v>
      </c>
      <c r="BA23" s="77">
        <f>'Activity Plan'!GX22</f>
        <v>1</v>
      </c>
      <c r="BB23" s="77">
        <f>'Activity Plan'!GY22</f>
        <v>1</v>
      </c>
      <c r="BC23" s="77">
        <f>'Activity Plan'!GZ22</f>
        <v>1</v>
      </c>
      <c r="BD23" s="77">
        <f>'Activity Plan'!HA22</f>
        <v>1</v>
      </c>
      <c r="BE23" s="77">
        <f>'Activity Plan'!HB22</f>
        <v>1</v>
      </c>
      <c r="BF23" s="77">
        <f>'Activity Plan'!HC22</f>
        <v>1</v>
      </c>
      <c r="BG23" s="77">
        <f>'Activity Plan'!HD22</f>
        <v>1</v>
      </c>
      <c r="BH23" s="77">
        <f>'Activity Plan'!HE22</f>
        <v>1</v>
      </c>
      <c r="BI23" s="77">
        <f>'Activity Plan'!HF22</f>
        <v>1</v>
      </c>
      <c r="BJ23" s="77">
        <f>'Activity Plan'!HG22</f>
        <v>1</v>
      </c>
      <c r="BK23" s="77">
        <f>'Activity Plan'!HH22</f>
        <v>1</v>
      </c>
      <c r="BL23" s="77">
        <f>'Activity Plan'!HI22</f>
        <v>1</v>
      </c>
      <c r="BM23" s="77">
        <f>'Activity Plan'!HJ22</f>
        <v>1</v>
      </c>
      <c r="BN23" s="77">
        <f>'Activity Plan'!HK22</f>
        <v>1</v>
      </c>
      <c r="BO23" s="77">
        <f>'Activity Plan'!HL22</f>
        <v>1</v>
      </c>
      <c r="BP23" s="77">
        <f>'Activity Plan'!HM22</f>
        <v>1</v>
      </c>
      <c r="BQ23" s="77">
        <f>'Activity Plan'!HN22</f>
        <v>1</v>
      </c>
      <c r="BR23" s="77">
        <f>'Activity Plan'!HO22</f>
        <v>1</v>
      </c>
      <c r="BS23" s="77">
        <f>'Activity Plan'!HP22</f>
        <v>1</v>
      </c>
      <c r="BT23" s="77">
        <f>'Activity Plan'!HQ22</f>
        <v>1</v>
      </c>
      <c r="BU23" s="77">
        <f>'Activity Plan'!HR22</f>
        <v>1</v>
      </c>
      <c r="BV23" s="77">
        <f>'Activity Plan'!HS22</f>
        <v>1</v>
      </c>
      <c r="BW23" s="77">
        <f>'Activity Plan'!HT22</f>
        <v>1</v>
      </c>
      <c r="BX23" s="77">
        <f>'Activity Plan'!HU22</f>
        <v>1</v>
      </c>
      <c r="BY23" s="77">
        <f>'Activity Plan'!HV22</f>
        <v>1</v>
      </c>
      <c r="BZ23" s="77">
        <f>'Activity Plan'!HW22</f>
        <v>1</v>
      </c>
      <c r="CA23" s="77">
        <f>'Activity Plan'!HX22</f>
        <v>1</v>
      </c>
      <c r="CB23" s="77">
        <f>'Activity Plan'!HY22</f>
        <v>1</v>
      </c>
      <c r="CF23">
        <v>1</v>
      </c>
      <c r="CG23" t="s">
        <v>30</v>
      </c>
      <c r="CH23" t="s">
        <v>2</v>
      </c>
      <c r="CI23" t="s">
        <v>69</v>
      </c>
      <c r="CJ23" s="68">
        <v>1</v>
      </c>
      <c r="CL23" t="s">
        <v>150</v>
      </c>
      <c r="CM23" t="s">
        <v>19</v>
      </c>
      <c r="CN23" t="s">
        <v>22</v>
      </c>
      <c r="CO23">
        <v>10</v>
      </c>
      <c r="CP23" cm="1">
        <f t="array" ref="CP23">IF(INDEX('Activity Plan'!$S$34:$AW$99,
MATCH("*"&amp;TRIM($B23)&amp;"*",'Activity Plan'!$D$35:$D$100,0)+MATCH($C23,{"PLAN";"ACTUAL";"ACHIVE"},0)-1,
MATCH($D23,DAY('Activity Plan'!$S$7:$AW$7),0))=0,
"N/A",
INDEX('Activity Plan'!$S$34:$AW$99,
MATCH("*"&amp;TRIM($B23)&amp;"*",'Activity Plan'!$D$35:$D$100,0)+MATCH($C23,{"PLAN";"ACTUAL";"ACHIVE"},0)-1,
MATCH($D23,DAY('Activity Plan'!$S$7:$AW$7),0)))</f>
        <v>14</v>
      </c>
      <c r="CU23">
        <f>'Activity Plan'!AB7</f>
        <v>46183</v>
      </c>
      <c r="CV23" t="s">
        <v>22</v>
      </c>
      <c r="CW23" s="194">
        <f>IFERROR(IF('Activity Plan'!BG33=0,"N/A",'Activity Plan'!BG33),"N/A")</f>
        <v>0.7200000000000002</v>
      </c>
      <c r="CZ23">
        <f t="shared" si="0"/>
        <v>20</v>
      </c>
      <c r="DA23" s="199">
        <f>SUMIFS(TBL_ACHIVEMENT[VALUE],
        TBL_ACHIVEMENT[DATE],TBL_ACHIVEMENT[[#This Row],[DATE]],
        TBL_ACHIVEMENT[CATEGORY],"PLAN")</f>
        <v>0.50166666666666704</v>
      </c>
      <c r="DB23" s="144">
        <f>SUMIFS(TBL_ACHIVEMENT[VALUE],
        TBL_ACHIVEMENT[DATE],TBL_ACHIVEMENT[[#This Row],[DATE]],
        TBL_ACHIVEMENT[CATEGORY],"ACTUAL")</f>
        <v>1</v>
      </c>
      <c r="DC23" s="198">
        <f>SUMIFS(TBL_DOZER_READINESS[VALUE],
        TBL_DOZER_READINESS[DATE],TBL_DOZER_READINESS[[#This Row],[DATE]],
        TBL_DOZER_READINESS[CATEGORY],"ACTUAL")</f>
        <v>14</v>
      </c>
      <c r="DD23" s="200">
        <f>SUMIFS(TBL_PA_DOZER[VALUE],
TBL_PA_DOZER[DATE],TBL_PA_DOZER[[#This Row],[DATE]],
TBL_PA_DOZER[CATEGORY],"ACTUAL")</f>
        <v>0.8</v>
      </c>
      <c r="DE23">
        <f>SUMIFS(Tbl_MTBF[VALUE],
Tbl_MTBF[DATE],Tbl_MTBF[[#This Row],[DATE]],
Tbl_MTBF[CATEGORY],"ACTUAL")</f>
        <v>50</v>
      </c>
      <c r="DF23">
        <f>SUMIFS(Tbl_MTTR[VALUE],
Tbl_MTTR[DATE],Tbl_MTTR[[#This Row],[DATE]],
Tbl_MTTR[CATEGORY],"ACTUAL")</f>
        <v>50</v>
      </c>
    </row>
    <row r="24" spans="2:110" x14ac:dyDescent="0.35">
      <c r="B24" t="s">
        <v>19</v>
      </c>
      <c r="C24" t="s">
        <v>21</v>
      </c>
      <c r="D24">
        <v>11</v>
      </c>
      <c r="E24" cm="1">
        <f t="array" ref="E24">IF(INDEX('Activity Plan'!$S$34:$AW$99,
MATCH("*"&amp;TRIM($B24)&amp;"*",'Activity Plan'!$D$35:$D$100,0)+MATCH($C24,{"PLAN";"ACTUAL";"ACHIVE"},0)-1,
MATCH($D24,DAY('Activity Plan'!$S$7:$AW$7),0))=0,
"N/A",
INDEX('Activity Plan'!$S$34:$AW$99,
MATCH("*"&amp;TRIM($B24)&amp;"*",'Activity Plan'!$D$35:$D$100,0)+MATCH($C24,{"PLAN";"ACTUAL";"ACHIVE"},0)-1,
MATCH($D24,DAY('Activity Plan'!$S$7:$AW$7),0)))</f>
        <v>16</v>
      </c>
      <c r="G24" t="s">
        <v>18</v>
      </c>
      <c r="H24" t="s">
        <v>21</v>
      </c>
      <c r="I24">
        <v>11</v>
      </c>
      <c r="J24" s="68" cm="1">
        <f t="array" ref="J24">IF(INDEX('Activity Plan'!$S$34:$AW$99,
MATCH("*"&amp;TRIM($G24)&amp;"*",'Activity Plan'!$D$35:$D$100,0)+MATCH($H24,{"PLAN";"ACTUAL";"ACHIVE"},0)-1,
MATCH($I24,DAY('Activity Plan'!$S$7:$AW$7),0))=0,
"N/A",
INDEX('Activity Plan'!$S$34:$AW$99,
MATCH("*"&amp;TRIM($G24)&amp;"*",'Activity Plan'!$D$35:$D$100,0)+MATCH($H24,{"PLAN";"ACTUAL";"ACHIVE"},0)-1,
MATCH($I24,DAY('Activity Plan'!$S$7:$AW$7),0)))</f>
        <v>0.9</v>
      </c>
      <c r="L24" t="s">
        <v>20</v>
      </c>
      <c r="M24" t="s">
        <v>21</v>
      </c>
      <c r="N24">
        <v>11</v>
      </c>
      <c r="O24" s="71" cm="1">
        <f t="array" ref="O24">IF(INDEX('Activity Plan'!$S$34:$AW$99,
MATCH("*"&amp;TRIM($L24)&amp;"*",'Activity Plan'!$D$35:$D$100,0)+MATCH($M24,{"PLAN";"ACTUAL";"ACHIVE"},0)-1,
MATCH($N24,DAY('Activity Plan'!$S$7:$AW$7),0))=0,
"N/A",
INDEX('Activity Plan'!$S$34:$AW$99,
MATCH("*"&amp;TRIM($L24)&amp;"*",'Activity Plan'!$D$35:$D$100,0)+MATCH($M24,{"PLAN";"ACTUAL";"ACHIVE"},0)-1,
MATCH($N24,DAY('Activity Plan'!$S$7:$AW$7),0)))</f>
        <v>70</v>
      </c>
      <c r="Q24" t="s">
        <v>138</v>
      </c>
      <c r="R24" t="s">
        <v>21</v>
      </c>
      <c r="S24">
        <v>11</v>
      </c>
      <c r="T24" s="71" cm="1">
        <f t="array" ref="T24">IF(INDEX('Activity Plan'!$S$34:$AW$99,
MATCH("*"&amp;TRIM($Q24)&amp;"*",'Activity Plan'!$D$35:$D$100,0)+MATCH($R24,{"PLAN";"ACTUAL";"ACHIVE"},0)-1,
MATCH($S24,DAY('Activity Plan'!$S$7:$AW$7),0))=0,
"N/A",
INDEX('Activity Plan'!$S$34:$AW$99,
MATCH("*"&amp;TRIM($Q24)&amp;"*",'Activity Plan'!$D$35:$D$100,0)+MATCH($R24,{"PLAN";"ACTUAL";"ACHIVE"},0)-1,
MATCH($S24,DAY('Activity Plan'!$S$7:$AW$7),0)))</f>
        <v>80</v>
      </c>
      <c r="U24" s="71"/>
      <c r="V24" t="s">
        <v>19</v>
      </c>
      <c r="W24" t="s">
        <v>39</v>
      </c>
      <c r="X24" s="70">
        <v>21</v>
      </c>
      <c r="Y24" s="69" cm="1">
        <f t="array" ref="Y24">IF(INDEX('Activity Plan'!$S$34:$AW$99,
MATCH("*"&amp;TRIM($V24)&amp;"*",'Activity Plan'!$D$35:$D$100,0)+MATCH($W24,{"PLAN";"ACTUAL";"ACHIVE"},0)-1,
MATCH($X24,DAY('Activity Plan'!$S$7:$AW$7),0))=0,
"N/A",
INDEX('Activity Plan'!$S$34:$AW$99,
MATCH("*"&amp;TRIM($V24)&amp;"*",'Activity Plan'!$D$35:$D$100,0)+MATCH($W24,{"PLAN";"ACTUAL";"ACHIVE"},0)-1,
MATCH($X24,DAY('Activity Plan'!$S$7:$AW$7),0)))</f>
        <v>1</v>
      </c>
      <c r="AA24" t="s">
        <v>40</v>
      </c>
      <c r="AB24" t="s">
        <v>21</v>
      </c>
      <c r="AC24" s="70">
        <v>21</v>
      </c>
      <c r="AD24" s="77">
        <f>'Activity Plan'!AM33</f>
        <v>0.50166666666666704</v>
      </c>
      <c r="AF24" s="70">
        <f>IF(ROWS($Z$15:Z35)&gt;COUNTA(Tbl_SM[NO]),"N/A",ROWS($Z$15:Z35))</f>
        <v>21</v>
      </c>
      <c r="AG24" t="str">
        <f>IF(OR(Tbl_Summary[[#This Row],[NO]]="",Tbl_Summary[[#This Row],[NO]]="N/A"),"",_xlfn.XLOOKUP(Tbl_Summary[[#This Row],[NO]],Tbl_SM[NO],Tbl_SM[5 FACTOR]))</f>
        <v>MEASUREMENT</v>
      </c>
      <c r="AH24" t="str">
        <f>IF(OR(Tbl_Summary[[#This Row],[NO]]="",Tbl_Summary[[#This Row],[NO]]="N/A"),"",_xlfn.XLOOKUP(Tbl_Summary[[#This Row],[NO]],Tbl_SM[NO],Tbl_SM[CATEGORY]))</f>
        <v>Long Term / Development</v>
      </c>
      <c r="AI24" t="str">
        <f>IF(OR(Tbl_Summary[[#This Row],[NO]]="",Tbl_Summary[[#This Row],[NO]]="N/A"),"",_xlfn.XLOOKUP(Tbl_Summary[[#This Row],[NO]],Tbl_SM[NO],Tbl_SM[PIC]))</f>
        <v>GS-PLANT-LOG</v>
      </c>
      <c r="AJ24" s="72">
        <f>IF(OR(Tbl_Summary[[#This Row],[NO]]="",Tbl_Summary[[#This Row],[NO]]="N/A"),"",_xlfn.XLOOKUP(Tbl_Summary[[#This Row],[NO]],Tbl_SM[NO],Tbl_SM[PLAN START]))</f>
        <v>46204</v>
      </c>
      <c r="AK24" s="72">
        <f>IF(OR(Tbl_Summary[[#This Row],[NO]]="",Tbl_Summary[[#This Row],[NO]]="N/A"),"",_xlfn.XLOOKUP(Tbl_Summary[[#This Row],[NO]],Tbl_SM[NO],Tbl_SM[DUE DATA]))</f>
        <v>46262</v>
      </c>
      <c r="AL24" s="70">
        <f>IF(OR(Tbl_Summary[[#This Row],[NO]]="",Tbl_Summary[[#This Row],[NO]]="N/A"),"",_xlfn.XLOOKUP(Tbl_Summary[[#This Row],[NO]],Tbl_SM[NO],Tbl_SM[PLAN DURATION]))</f>
        <v>59</v>
      </c>
      <c r="AM24" s="72">
        <f>IFERROR(IF(OR(Tbl_Summary[[#This Row],[NO]]="",Tbl_Summary[[#This Row],[NO]]="N/A"),"",_xlfn.XLOOKUP(Tbl_Summary[[#This Row],[NO]],Tbl_SM[NO],Tbl_SM[ACTUAL START])),"")</f>
        <v>0</v>
      </c>
      <c r="AN24" s="72" t="str">
        <f>IFERROR(IF(OR(Tbl_Summary[[#This Row],[NO]]="",Tbl_Summary[[#This Row],[NO]]="N/A"),"N/A",
IF(_xlfn.XLOOKUP(Tbl_Summary[[#This Row],[NO]],Tbl_SM[NO],Tbl_SM[ACTUAL FINISH])=0,"N/A",
_xlfn.XLOOKUP(Tbl_Summary[[#This Row],[NO]],Tbl_SM[NO],Tbl_SM[ACTUAL FINISH]))),"N/A")</f>
        <v>N/A</v>
      </c>
      <c r="AO24" s="73" t="str">
        <f>IFERROR(IF(OR(Tbl_Summary[[#This Row],[NO]]="",Tbl_Summary[[#This Row],[NO]]="N/A"),"",_xlfn.XLOOKUP(Tbl_Summary[[#This Row],[NO]],Tbl_SM[NO],Tbl_SM[ACTUAL DURATION])),"")</f>
        <v>No Progress</v>
      </c>
      <c r="AP24" s="72" t="str">
        <f>IFERROR(IF(OR(Tbl_Summary[[#This Row],[NO]]="",Tbl_Summary[[#This Row],[NO]]="N/A"),"",_xlfn.XLOOKUP(Tbl_Summary[[#This Row],[NO]],Tbl_SM[NO],Tbl_SM[STATUS])),"")</f>
        <v>OPEN</v>
      </c>
      <c r="AQ24" s="72" t="str">
        <f ca="1">IFERROR(IF(OR(Tbl_Summary[[#This Row],[NO]]="",Tbl_Summary[[#This Row],[NO]]="N/A"),"",_xlfn.XLOOKUP(Tbl_Summary[[#This Row],[NO]],Tbl_SM[NO],Tbl_SM[DUE STATUS])),"")</f>
        <v>&gt; 14 HARI</v>
      </c>
      <c r="AR24" s="80">
        <f>IFERROR(IF(OR(Tbl_Summary[[#This Row],[NO]]="",Tbl_Summary[[#This Row],[NO]]="N/A"),"",_xlfn.XLOOKUP(Tbl_Summary[[#This Row],[NO]],Tbl_SM[NO],Tbl_SM[COMPLETION])),"")</f>
        <v>0.52666666666666595</v>
      </c>
      <c r="AS24" s="70">
        <f>IFERROR(IF(OR(Tbl_Summary[[#This Row],[NO]]="",Tbl_Summary[[#This Row],[NO]]="N/A"),"",_xlfn.XLOOKUP(Tbl_Summary[[#This Row],[NO]],Tbl_SM[NO],Tbl_SM[COMPLETION_FLAG])),"")</f>
        <v>0</v>
      </c>
      <c r="AU24" s="70">
        <f>IF(ROWS($Z$15:Z30)&gt;COUNTA(Tbl_SM[NO]),"N/A",ROWS($Z$15:Z30))</f>
        <v>16</v>
      </c>
      <c r="AV24" s="70" t="str">
        <f>IF(OR(Table8[[#This Row],[NO]]="",Table8[[#This Row],[NO]]="N/A"),"",_xlfn.XLOOKUP(Table8[[#This Row],[NO]],Tbl_SM[NO],Tbl_SM[5 FACTOR]))</f>
        <v>MATERIAL</v>
      </c>
      <c r="AW24" t="str">
        <f>IF(OR(Table8[[#This Row],[NO]]="",Table8[[#This Row],[NO]]="N/A"),"",_xlfn.XLOOKUP(Table8[[#This Row],[NO]],Tbl_SM[NO],Tbl_SM[CATEGORY]))</f>
        <v>Quick Action</v>
      </c>
      <c r="AX24" s="77">
        <f>'Activity Plan'!GU23</f>
        <v>1</v>
      </c>
      <c r="AY24" s="77">
        <f>'Activity Plan'!GV23</f>
        <v>1</v>
      </c>
      <c r="AZ24" s="77">
        <f>'Activity Plan'!GW23</f>
        <v>1</v>
      </c>
      <c r="BA24" s="77">
        <f>'Activity Plan'!GX23</f>
        <v>1</v>
      </c>
      <c r="BB24" s="77">
        <f>'Activity Plan'!GY23</f>
        <v>1</v>
      </c>
      <c r="BC24" s="77">
        <f>'Activity Plan'!GZ23</f>
        <v>1</v>
      </c>
      <c r="BD24" s="77">
        <f>'Activity Plan'!HA23</f>
        <v>1</v>
      </c>
      <c r="BE24" s="77">
        <f>'Activity Plan'!HB23</f>
        <v>1</v>
      </c>
      <c r="BF24" s="77">
        <f>'Activity Plan'!HC23</f>
        <v>1</v>
      </c>
      <c r="BG24" s="77">
        <f>'Activity Plan'!HD23</f>
        <v>1</v>
      </c>
      <c r="BH24" s="77">
        <f>'Activity Plan'!HE23</f>
        <v>1</v>
      </c>
      <c r="BI24" s="77">
        <f>'Activity Plan'!HF23</f>
        <v>1</v>
      </c>
      <c r="BJ24" s="77">
        <f>'Activity Plan'!HG23</f>
        <v>1</v>
      </c>
      <c r="BK24" s="77">
        <f>'Activity Plan'!HH23</f>
        <v>1</v>
      </c>
      <c r="BL24" s="77">
        <f>'Activity Plan'!HI23</f>
        <v>1</v>
      </c>
      <c r="BM24" s="77">
        <f>'Activity Plan'!HJ23</f>
        <v>1</v>
      </c>
      <c r="BN24" s="77">
        <f>'Activity Plan'!HK23</f>
        <v>1</v>
      </c>
      <c r="BO24" s="77">
        <f>'Activity Plan'!HL23</f>
        <v>1</v>
      </c>
      <c r="BP24" s="77">
        <f>'Activity Plan'!HM23</f>
        <v>1</v>
      </c>
      <c r="BQ24" s="77">
        <f>'Activity Plan'!HN23</f>
        <v>1</v>
      </c>
      <c r="BR24" s="77">
        <f>'Activity Plan'!HO23</f>
        <v>1</v>
      </c>
      <c r="BS24" s="77">
        <f>'Activity Plan'!HP23</f>
        <v>1</v>
      </c>
      <c r="BT24" s="77">
        <f>'Activity Plan'!HQ23</f>
        <v>1</v>
      </c>
      <c r="BU24" s="77">
        <f>'Activity Plan'!HR23</f>
        <v>1</v>
      </c>
      <c r="BV24" s="77">
        <f>'Activity Plan'!HS23</f>
        <v>1</v>
      </c>
      <c r="BW24" s="77">
        <f>'Activity Plan'!HT23</f>
        <v>1</v>
      </c>
      <c r="BX24" s="77">
        <f>'Activity Plan'!HU23</f>
        <v>1</v>
      </c>
      <c r="BY24" s="77">
        <f>'Activity Plan'!HV23</f>
        <v>1</v>
      </c>
      <c r="BZ24" s="77">
        <f>'Activity Plan'!HW23</f>
        <v>1</v>
      </c>
      <c r="CA24" s="77">
        <f>'Activity Plan'!HX23</f>
        <v>1</v>
      </c>
      <c r="CB24" s="77">
        <f>'Activity Plan'!HY23</f>
        <v>1</v>
      </c>
      <c r="CF24">
        <v>1</v>
      </c>
      <c r="CG24" t="s">
        <v>30</v>
      </c>
      <c r="CH24" t="s">
        <v>2</v>
      </c>
      <c r="CI24" t="s">
        <v>70</v>
      </c>
      <c r="CJ24" s="68">
        <v>1</v>
      </c>
      <c r="CL24" t="s">
        <v>150</v>
      </c>
      <c r="CM24" t="s">
        <v>19</v>
      </c>
      <c r="CN24" t="s">
        <v>21</v>
      </c>
      <c r="CO24">
        <v>11</v>
      </c>
      <c r="CP24" cm="1">
        <f t="array" ref="CP24">IF(INDEX('Activity Plan'!$S$34:$AW$99,
MATCH("*"&amp;TRIM($B24)&amp;"*",'Activity Plan'!$D$35:$D$100,0)+MATCH($C24,{"PLAN";"ACTUAL";"ACHIVE"},0)-1,
MATCH($D24,DAY('Activity Plan'!$S$7:$AW$7),0))=0,
"N/A",
INDEX('Activity Plan'!$S$34:$AW$99,
MATCH("*"&amp;TRIM($B24)&amp;"*",'Activity Plan'!$D$35:$D$100,0)+MATCH($C24,{"PLAN";"ACTUAL";"ACHIVE"},0)-1,
MATCH($D24,DAY('Activity Plan'!$S$7:$AW$7),0)))</f>
        <v>16</v>
      </c>
      <c r="CU24">
        <f>'Activity Plan'!AC7</f>
        <v>46184</v>
      </c>
      <c r="CV24" t="s">
        <v>21</v>
      </c>
      <c r="CW24" s="194">
        <f>IFERROR(IF('Activity Plan'!AC33=0,"N/A",'Activity Plan'!AC33),"N/A")</f>
        <v>0.30166666666666692</v>
      </c>
      <c r="CZ24">
        <f t="shared" si="0"/>
        <v>21</v>
      </c>
      <c r="DA24" s="199">
        <f>SUMIFS(TBL_ACHIVEMENT[VALUE],
        TBL_ACHIVEMENT[DATE],TBL_ACHIVEMENT[[#This Row],[DATE]],
        TBL_ACHIVEMENT[CATEGORY],"PLAN")</f>
        <v>0.50166666666666704</v>
      </c>
      <c r="DB24" s="144">
        <f>SUMIFS(TBL_ACHIVEMENT[VALUE],
        TBL_ACHIVEMENT[DATE],TBL_ACHIVEMENT[[#This Row],[DATE]],
        TBL_ACHIVEMENT[CATEGORY],"ACTUAL")</f>
        <v>1</v>
      </c>
      <c r="DC24" s="198">
        <f>SUMIFS(TBL_DOZER_READINESS[VALUE],
        TBL_DOZER_READINESS[DATE],TBL_DOZER_READINESS[[#This Row],[DATE]],
        TBL_DOZER_READINESS[CATEGORY],"ACTUAL")</f>
        <v>11</v>
      </c>
      <c r="DD24" s="200">
        <f>SUMIFS(TBL_PA_DOZER[VALUE],
TBL_PA_DOZER[DATE],TBL_PA_DOZER[[#This Row],[DATE]],
TBL_PA_DOZER[CATEGORY],"ACTUAL")</f>
        <v>0.83</v>
      </c>
      <c r="DE24">
        <f>SUMIFS(Tbl_MTBF[VALUE],
Tbl_MTBF[DATE],Tbl_MTBF[[#This Row],[DATE]],
Tbl_MTBF[CATEGORY],"ACTUAL")</f>
        <v>75</v>
      </c>
      <c r="DF24">
        <f>SUMIFS(Tbl_MTTR[VALUE],
Tbl_MTTR[DATE],Tbl_MTTR[[#This Row],[DATE]],
Tbl_MTTR[CATEGORY],"ACTUAL")</f>
        <v>75</v>
      </c>
    </row>
    <row r="25" spans="2:110" x14ac:dyDescent="0.35">
      <c r="B25" t="s">
        <v>19</v>
      </c>
      <c r="C25" t="s">
        <v>22</v>
      </c>
      <c r="D25">
        <v>11</v>
      </c>
      <c r="E25" cm="1">
        <f t="array" ref="E25">IF(INDEX('Activity Plan'!$S$34:$AW$99,
MATCH("*"&amp;TRIM($B25)&amp;"*",'Activity Plan'!$D$35:$D$100,0)+MATCH($C25,{"PLAN";"ACTUAL";"ACHIVE"},0)-1,
MATCH($D25,DAY('Activity Plan'!$S$7:$AW$7),0))=0,
"N/A",
INDEX('Activity Plan'!$S$34:$AW$99,
MATCH("*"&amp;TRIM($B25)&amp;"*",'Activity Plan'!$D$35:$D$100,0)+MATCH($C25,{"PLAN";"ACTUAL";"ACHIVE"},0)-1,
MATCH($D25,DAY('Activity Plan'!$S$7:$AW$7),0)))</f>
        <v>11</v>
      </c>
      <c r="G25" t="s">
        <v>18</v>
      </c>
      <c r="H25" t="s">
        <v>22</v>
      </c>
      <c r="I25">
        <v>11</v>
      </c>
      <c r="J25" s="68" cm="1">
        <f t="array" ref="J25">IF(INDEX('Activity Plan'!$S$34:$AW$99,
MATCH("*"&amp;TRIM($G25)&amp;"*",'Activity Plan'!$D$35:$D$100,0)+MATCH($H25,{"PLAN";"ACTUAL";"ACHIVE"},0)-1,
MATCH($I25,DAY('Activity Plan'!$S$7:$AW$7),0))=0,
"N/A",
INDEX('Activity Plan'!$S$34:$AW$99,
MATCH("*"&amp;TRIM($G25)&amp;"*",'Activity Plan'!$D$35:$D$100,0)+MATCH($H25,{"PLAN";"ACTUAL";"ACHIVE"},0)-1,
MATCH($I25,DAY('Activity Plan'!$S$7:$AW$7),0)))</f>
        <v>0.83</v>
      </c>
      <c r="L25" t="s">
        <v>20</v>
      </c>
      <c r="M25" t="s">
        <v>22</v>
      </c>
      <c r="N25">
        <v>11</v>
      </c>
      <c r="O25" s="71" cm="1">
        <f t="array" ref="O25">IF(INDEX('Activity Plan'!$S$34:$AW$99,
MATCH("*"&amp;TRIM($L25)&amp;"*",'Activity Plan'!$D$35:$D$100,0)+MATCH($M25,{"PLAN";"ACTUAL";"ACHIVE"},0)-1,
MATCH($N25,DAY('Activity Plan'!$S$7:$AW$7),0))=0,
"N/A",
INDEX('Activity Plan'!$S$34:$AW$99,
MATCH("*"&amp;TRIM($L25)&amp;"*",'Activity Plan'!$D$35:$D$100,0)+MATCH($M25,{"PLAN";"ACTUAL";"ACHIVE"},0)-1,
MATCH($N25,DAY('Activity Plan'!$S$7:$AW$7),0)))</f>
        <v>75</v>
      </c>
      <c r="Q25" t="s">
        <v>138</v>
      </c>
      <c r="R25" t="s">
        <v>22</v>
      </c>
      <c r="S25">
        <v>11</v>
      </c>
      <c r="T25" s="71" cm="1">
        <f t="array" ref="T25">IF(INDEX('Activity Plan'!$S$34:$AW$99,
MATCH("*"&amp;TRIM($Q25)&amp;"*",'Activity Plan'!$D$35:$D$100,0)+MATCH($R25,{"PLAN";"ACTUAL";"ACHIVE"},0)-1,
MATCH($S25,DAY('Activity Plan'!$S$7:$AW$7),0))=0,
"N/A",
INDEX('Activity Plan'!$S$34:$AW$99,
MATCH("*"&amp;TRIM($Q25)&amp;"*",'Activity Plan'!$D$35:$D$100,0)+MATCH($R25,{"PLAN";"ACTUAL";"ACHIVE"},0)-1,
MATCH($S25,DAY('Activity Plan'!$S$7:$AW$7),0)))</f>
        <v>75</v>
      </c>
      <c r="U25" s="71"/>
      <c r="V25" t="s">
        <v>19</v>
      </c>
      <c r="W25" t="s">
        <v>39</v>
      </c>
      <c r="X25" s="70">
        <v>22</v>
      </c>
      <c r="Y25" s="69" cm="1">
        <f t="array" ref="Y25">IF(INDEX('Activity Plan'!$S$34:$AW$99,
MATCH("*"&amp;TRIM($V25)&amp;"*",'Activity Plan'!$D$35:$D$100,0)+MATCH($W25,{"PLAN";"ACTUAL";"ACHIVE"},0)-1,
MATCH($X25,DAY('Activity Plan'!$S$7:$AW$7),0))=0,
"N/A",
INDEX('Activity Plan'!$S$34:$AW$99,
MATCH("*"&amp;TRIM($V25)&amp;"*",'Activity Plan'!$D$35:$D$100,0)+MATCH($W25,{"PLAN";"ACTUAL";"ACHIVE"},0)-1,
MATCH($X25,DAY('Activity Plan'!$S$7:$AW$7),0)))</f>
        <v>0.9375</v>
      </c>
      <c r="AA25" t="s">
        <v>40</v>
      </c>
      <c r="AB25" t="s">
        <v>21</v>
      </c>
      <c r="AC25" s="70">
        <v>22</v>
      </c>
      <c r="AD25" s="77">
        <f>'Activity Plan'!AN33</f>
        <v>0.50166666666666704</v>
      </c>
      <c r="AF25" s="70">
        <f>IF(ROWS($Z$15:Z36)&gt;COUNTA(Tbl_SM[NO]),"N/A",ROWS($Z$15:Z36))</f>
        <v>22</v>
      </c>
      <c r="AG25" t="str">
        <f>IF(OR(Tbl_Summary[[#This Row],[NO]]="",Tbl_Summary[[#This Row],[NO]]="N/A"),"",_xlfn.XLOOKUP(Tbl_Summary[[#This Row],[NO]],Tbl_SM[NO],Tbl_SM[5 FACTOR]))</f>
        <v>ENVIRONMENT</v>
      </c>
      <c r="AH25" t="str">
        <f>IF(OR(Tbl_Summary[[#This Row],[NO]]="",Tbl_Summary[[#This Row],[NO]]="N/A"),"",_xlfn.XLOOKUP(Tbl_Summary[[#This Row],[NO]],Tbl_SM[NO],Tbl_SM[CATEGORY]))</f>
        <v>Long Term / Development</v>
      </c>
      <c r="AI25" t="str">
        <f>IF(OR(Tbl_Summary[[#This Row],[NO]]="",Tbl_Summary[[#This Row],[NO]]="N/A"),"",_xlfn.XLOOKUP(Tbl_Summary[[#This Row],[NO]],Tbl_SM[NO],Tbl_SM[PIC]))</f>
        <v>GS-OPS-SHE</v>
      </c>
      <c r="AJ25" s="72">
        <f>IF(OR(Tbl_Summary[[#This Row],[NO]]="",Tbl_Summary[[#This Row],[NO]]="N/A"),"",_xlfn.XLOOKUP(Tbl_Summary[[#This Row],[NO]],Tbl_SM[NO],Tbl_SM[PLAN START]))</f>
        <v>46204</v>
      </c>
      <c r="AK25" s="72">
        <f>IF(OR(Tbl_Summary[[#This Row],[NO]]="",Tbl_Summary[[#This Row],[NO]]="N/A"),"",_xlfn.XLOOKUP(Tbl_Summary[[#This Row],[NO]],Tbl_SM[NO],Tbl_SM[DUE DATA]))</f>
        <v>46248</v>
      </c>
      <c r="AL25" s="70">
        <f>IF(OR(Tbl_Summary[[#This Row],[NO]]="",Tbl_Summary[[#This Row],[NO]]="N/A"),"",_xlfn.XLOOKUP(Tbl_Summary[[#This Row],[NO]],Tbl_SM[NO],Tbl_SM[PLAN DURATION]))</f>
        <v>45</v>
      </c>
      <c r="AM25" s="72">
        <f>IFERROR(IF(OR(Tbl_Summary[[#This Row],[NO]]="",Tbl_Summary[[#This Row],[NO]]="N/A"),"",_xlfn.XLOOKUP(Tbl_Summary[[#This Row],[NO]],Tbl_SM[NO],Tbl_SM[ACTUAL START])),"")</f>
        <v>0</v>
      </c>
      <c r="AN25" s="72" t="str">
        <f>IFERROR(IF(OR(Tbl_Summary[[#This Row],[NO]]="",Tbl_Summary[[#This Row],[NO]]="N/A"),"N/A",
IF(_xlfn.XLOOKUP(Tbl_Summary[[#This Row],[NO]],Tbl_SM[NO],Tbl_SM[ACTUAL FINISH])=0,"N/A",
_xlfn.XLOOKUP(Tbl_Summary[[#This Row],[NO]],Tbl_SM[NO],Tbl_SM[ACTUAL FINISH]))),"N/A")</f>
        <v>N/A</v>
      </c>
      <c r="AO25" s="73" t="str">
        <f>IFERROR(IF(OR(Tbl_Summary[[#This Row],[NO]]="",Tbl_Summary[[#This Row],[NO]]="N/A"),"",_xlfn.XLOOKUP(Tbl_Summary[[#This Row],[NO]],Tbl_SM[NO],Tbl_SM[ACTUAL DURATION])),"")</f>
        <v>No Progress</v>
      </c>
      <c r="AP25" s="72" t="str">
        <f>IFERROR(IF(OR(Tbl_Summary[[#This Row],[NO]]="",Tbl_Summary[[#This Row],[NO]]="N/A"),"",_xlfn.XLOOKUP(Tbl_Summary[[#This Row],[NO]],Tbl_SM[NO],Tbl_SM[STATUS])),"")</f>
        <v>OPEN</v>
      </c>
      <c r="AQ25" s="72" t="str">
        <f ca="1">IFERROR(IF(OR(Tbl_Summary[[#This Row],[NO]]="",Tbl_Summary[[#This Row],[NO]]="N/A"),"",_xlfn.XLOOKUP(Tbl_Summary[[#This Row],[NO]],Tbl_SM[NO],Tbl_SM[DUE STATUS])),"")</f>
        <v>&gt; 14 HARI</v>
      </c>
      <c r="AR25" s="80">
        <f>IFERROR(IF(OR(Tbl_Summary[[#This Row],[NO]]="",Tbl_Summary[[#This Row],[NO]]="N/A"),"",_xlfn.XLOOKUP(Tbl_Summary[[#This Row],[NO]],Tbl_SM[NO],Tbl_SM[COMPLETION])),"")</f>
        <v>0.52666666666666595</v>
      </c>
      <c r="AS25" s="70">
        <f>IFERROR(IF(OR(Tbl_Summary[[#This Row],[NO]]="",Tbl_Summary[[#This Row],[NO]]="N/A"),"",_xlfn.XLOOKUP(Tbl_Summary[[#This Row],[NO]],Tbl_SM[NO],Tbl_SM[COMPLETION_FLAG])),"")</f>
        <v>0</v>
      </c>
      <c r="AU25" s="70">
        <f>IF(ROWS($Z$15:Z31)&gt;COUNTA(Tbl_SM[NO]),"N/A",ROWS($Z$15:Z31))</f>
        <v>17</v>
      </c>
      <c r="AV25" s="70" t="str">
        <f>IF(OR(Table8[[#This Row],[NO]]="",Table8[[#This Row],[NO]]="N/A"),"",_xlfn.XLOOKUP(Table8[[#This Row],[NO]],Tbl_SM[NO],Tbl_SM[5 FACTOR]))</f>
        <v>MATERIAL</v>
      </c>
      <c r="AW25" t="str">
        <f>IF(OR(Table8[[#This Row],[NO]]="",Table8[[#This Row],[NO]]="N/A"),"",_xlfn.XLOOKUP(Table8[[#This Row],[NO]],Tbl_SM[NO],Tbl_SM[CATEGORY]))</f>
        <v>Quick Action</v>
      </c>
      <c r="AX25" s="77">
        <f>'Activity Plan'!GU24</f>
        <v>1</v>
      </c>
      <c r="AY25" s="77">
        <f>'Activity Plan'!GV24</f>
        <v>1</v>
      </c>
      <c r="AZ25" s="77">
        <f>'Activity Plan'!GW24</f>
        <v>1</v>
      </c>
      <c r="BA25" s="77">
        <f>'Activity Plan'!GX24</f>
        <v>1</v>
      </c>
      <c r="BB25" s="77">
        <f>'Activity Plan'!GY24</f>
        <v>1</v>
      </c>
      <c r="BC25" s="77">
        <f>'Activity Plan'!GZ24</f>
        <v>1</v>
      </c>
      <c r="BD25" s="77">
        <f>'Activity Plan'!HA24</f>
        <v>1</v>
      </c>
      <c r="BE25" s="77">
        <f>'Activity Plan'!HB24</f>
        <v>1</v>
      </c>
      <c r="BF25" s="77">
        <f>'Activity Plan'!HC24</f>
        <v>1</v>
      </c>
      <c r="BG25" s="77">
        <f>'Activity Plan'!HD24</f>
        <v>1</v>
      </c>
      <c r="BH25" s="77">
        <f>'Activity Plan'!HE24</f>
        <v>1</v>
      </c>
      <c r="BI25" s="77">
        <f>'Activity Plan'!HF24</f>
        <v>1</v>
      </c>
      <c r="BJ25" s="77">
        <f>'Activity Plan'!HG24</f>
        <v>1</v>
      </c>
      <c r="BK25" s="77">
        <f>'Activity Plan'!HH24</f>
        <v>1</v>
      </c>
      <c r="BL25" s="77">
        <f>'Activity Plan'!HI24</f>
        <v>1</v>
      </c>
      <c r="BM25" s="77">
        <f>'Activity Plan'!HJ24</f>
        <v>1</v>
      </c>
      <c r="BN25" s="77">
        <f>'Activity Plan'!HK24</f>
        <v>1</v>
      </c>
      <c r="BO25" s="77">
        <f>'Activity Plan'!HL24</f>
        <v>1</v>
      </c>
      <c r="BP25" s="77">
        <f>'Activity Plan'!HM24</f>
        <v>1</v>
      </c>
      <c r="BQ25" s="77">
        <f>'Activity Plan'!HN24</f>
        <v>1</v>
      </c>
      <c r="BR25" s="77">
        <f>'Activity Plan'!HO24</f>
        <v>1</v>
      </c>
      <c r="BS25" s="77">
        <f>'Activity Plan'!HP24</f>
        <v>1</v>
      </c>
      <c r="BT25" s="77">
        <f>'Activity Plan'!HQ24</f>
        <v>1</v>
      </c>
      <c r="BU25" s="77">
        <f>'Activity Plan'!HR24</f>
        <v>1</v>
      </c>
      <c r="BV25" s="77">
        <f>'Activity Plan'!HS24</f>
        <v>1</v>
      </c>
      <c r="BW25" s="77">
        <f>'Activity Plan'!HT24</f>
        <v>1</v>
      </c>
      <c r="BX25" s="77">
        <f>'Activity Plan'!HU24</f>
        <v>1</v>
      </c>
      <c r="BY25" s="77">
        <f>'Activity Plan'!HV24</f>
        <v>1</v>
      </c>
      <c r="BZ25" s="77">
        <f>'Activity Plan'!HW24</f>
        <v>1</v>
      </c>
      <c r="CA25" s="77">
        <f>'Activity Plan'!HX24</f>
        <v>1</v>
      </c>
      <c r="CB25" s="77">
        <f>'Activity Plan'!HY24</f>
        <v>1</v>
      </c>
      <c r="CF25">
        <v>1</v>
      </c>
      <c r="CG25" t="s">
        <v>30</v>
      </c>
      <c r="CH25" t="s">
        <v>2</v>
      </c>
      <c r="CI25" t="s">
        <v>71</v>
      </c>
      <c r="CJ25" s="68">
        <v>1</v>
      </c>
      <c r="CL25" t="s">
        <v>150</v>
      </c>
      <c r="CM25" t="s">
        <v>19</v>
      </c>
      <c r="CN25" t="s">
        <v>22</v>
      </c>
      <c r="CO25">
        <v>11</v>
      </c>
      <c r="CP25" cm="1">
        <f t="array" ref="CP25">IF(INDEX('Activity Plan'!$S$34:$AW$99,
MATCH("*"&amp;TRIM($B25)&amp;"*",'Activity Plan'!$D$35:$D$100,0)+MATCH($C25,{"PLAN";"ACTUAL";"ACHIVE"},0)-1,
MATCH($D25,DAY('Activity Plan'!$S$7:$AW$7),0))=0,
"N/A",
INDEX('Activity Plan'!$S$34:$AW$99,
MATCH("*"&amp;TRIM($B25)&amp;"*",'Activity Plan'!$D$35:$D$100,0)+MATCH($C25,{"PLAN";"ACTUAL";"ACHIVE"},0)-1,
MATCH($D25,DAY('Activity Plan'!$S$7:$AW$7),0)))</f>
        <v>11</v>
      </c>
      <c r="CU25">
        <f>'Activity Plan'!AC7</f>
        <v>46184</v>
      </c>
      <c r="CV25" t="s">
        <v>22</v>
      </c>
      <c r="CW25" s="194">
        <f>IFERROR(IF('Activity Plan'!BH33=0,"N/A",'Activity Plan'!BH33),"N/A")</f>
        <v>0.75</v>
      </c>
      <c r="CZ25">
        <f t="shared" si="0"/>
        <v>22</v>
      </c>
      <c r="DA25" s="199">
        <f>SUMIFS(TBL_ACHIVEMENT[VALUE],
        TBL_ACHIVEMENT[DATE],TBL_ACHIVEMENT[[#This Row],[DATE]],
        TBL_ACHIVEMENT[CATEGORY],"PLAN")</f>
        <v>0.50166666666666704</v>
      </c>
      <c r="DB25" s="144">
        <f>SUMIFS(TBL_ACHIVEMENT[VALUE],
        TBL_ACHIVEMENT[DATE],TBL_ACHIVEMENT[[#This Row],[DATE]],
        TBL_ACHIVEMENT[CATEGORY],"ACTUAL")</f>
        <v>1</v>
      </c>
      <c r="DC25" s="198">
        <f>SUMIFS(TBL_DOZER_READINESS[VALUE],
        TBL_DOZER_READINESS[DATE],TBL_DOZER_READINESS[[#This Row],[DATE]],
        TBL_DOZER_READINESS[CATEGORY],"ACTUAL")</f>
        <v>11</v>
      </c>
      <c r="DD25" s="200">
        <f>SUMIFS(TBL_PA_DOZER[VALUE],
TBL_PA_DOZER[DATE],TBL_PA_DOZER[[#This Row],[DATE]],
TBL_PA_DOZER[CATEGORY],"ACTUAL")</f>
        <v>0.83</v>
      </c>
      <c r="DE25">
        <f>SUMIFS(Tbl_MTBF[VALUE],
Tbl_MTBF[DATE],Tbl_MTBF[[#This Row],[DATE]],
Tbl_MTBF[CATEGORY],"ACTUAL")</f>
        <v>75</v>
      </c>
      <c r="DF25">
        <f>SUMIFS(Tbl_MTTR[VALUE],
Tbl_MTTR[DATE],Tbl_MTTR[[#This Row],[DATE]],
Tbl_MTTR[CATEGORY],"ACTUAL")</f>
        <v>75</v>
      </c>
    </row>
    <row r="26" spans="2:110" x14ac:dyDescent="0.35">
      <c r="B26" t="s">
        <v>19</v>
      </c>
      <c r="C26" t="s">
        <v>21</v>
      </c>
      <c r="D26">
        <v>12</v>
      </c>
      <c r="E26" cm="1">
        <f t="array" ref="E26">IF(INDEX('Activity Plan'!$S$34:$AW$99,
MATCH("*"&amp;TRIM($B26)&amp;"*",'Activity Plan'!$D$35:$D$100,0)+MATCH($C26,{"PLAN";"ACTUAL";"ACHIVE"},0)-1,
MATCH($D26,DAY('Activity Plan'!$S$7:$AW$7),0))=0,
"N/A",
INDEX('Activity Plan'!$S$34:$AW$99,
MATCH("*"&amp;TRIM($B26)&amp;"*",'Activity Plan'!$D$35:$D$100,0)+MATCH($C26,{"PLAN";"ACTUAL";"ACHIVE"},0)-1,
MATCH($D26,DAY('Activity Plan'!$S$7:$AW$7),0)))</f>
        <v>16</v>
      </c>
      <c r="G26" t="s">
        <v>18</v>
      </c>
      <c r="H26" t="s">
        <v>21</v>
      </c>
      <c r="I26">
        <v>12</v>
      </c>
      <c r="J26" s="68" cm="1">
        <f t="array" ref="J26">IF(INDEX('Activity Plan'!$S$34:$AW$99,
MATCH("*"&amp;TRIM($G26)&amp;"*",'Activity Plan'!$D$35:$D$100,0)+MATCH($H26,{"PLAN";"ACTUAL";"ACHIVE"},0)-1,
MATCH($I26,DAY('Activity Plan'!$S$7:$AW$7),0))=0,
"N/A",
INDEX('Activity Plan'!$S$34:$AW$99,
MATCH("*"&amp;TRIM($G26)&amp;"*",'Activity Plan'!$D$35:$D$100,0)+MATCH($H26,{"PLAN";"ACTUAL";"ACHIVE"},0)-1,
MATCH($I26,DAY('Activity Plan'!$S$7:$AW$7),0)))</f>
        <v>0.9</v>
      </c>
      <c r="L26" t="s">
        <v>20</v>
      </c>
      <c r="M26" t="s">
        <v>21</v>
      </c>
      <c r="N26">
        <v>12</v>
      </c>
      <c r="O26" s="71" cm="1">
        <f t="array" ref="O26">IF(INDEX('Activity Plan'!$S$34:$AW$99,
MATCH("*"&amp;TRIM($L26)&amp;"*",'Activity Plan'!$D$35:$D$100,0)+MATCH($M26,{"PLAN";"ACTUAL";"ACHIVE"},0)-1,
MATCH($N26,DAY('Activity Plan'!$S$7:$AW$7),0))=0,
"N/A",
INDEX('Activity Plan'!$S$34:$AW$99,
MATCH("*"&amp;TRIM($L26)&amp;"*",'Activity Plan'!$D$35:$D$100,0)+MATCH($M26,{"PLAN";"ACTUAL";"ACHIVE"},0)-1,
MATCH($N26,DAY('Activity Plan'!$S$7:$AW$7),0)))</f>
        <v>70</v>
      </c>
      <c r="Q26" t="s">
        <v>138</v>
      </c>
      <c r="R26" t="s">
        <v>21</v>
      </c>
      <c r="S26">
        <v>12</v>
      </c>
      <c r="T26" s="71" cm="1">
        <f t="array" ref="T26">IF(INDEX('Activity Plan'!$S$34:$AW$99,
MATCH("*"&amp;TRIM($Q26)&amp;"*",'Activity Plan'!$D$35:$D$100,0)+MATCH($R26,{"PLAN";"ACTUAL";"ACHIVE"},0)-1,
MATCH($S26,DAY('Activity Plan'!$S$7:$AW$7),0))=0,
"N/A",
INDEX('Activity Plan'!$S$34:$AW$99,
MATCH("*"&amp;TRIM($Q26)&amp;"*",'Activity Plan'!$D$35:$D$100,0)+MATCH($R26,{"PLAN";"ACTUAL";"ACHIVE"},0)-1,
MATCH($S26,DAY('Activity Plan'!$S$7:$AW$7),0)))</f>
        <v>80</v>
      </c>
      <c r="U26" s="71"/>
      <c r="V26" t="s">
        <v>19</v>
      </c>
      <c r="W26" t="s">
        <v>39</v>
      </c>
      <c r="X26" s="70">
        <v>23</v>
      </c>
      <c r="Y26" s="69" cm="1">
        <f t="array" ref="Y26">IF(INDEX('Activity Plan'!$S$34:$AW$99,
MATCH("*"&amp;TRIM($V26)&amp;"*",'Activity Plan'!$D$35:$D$100,0)+MATCH($W26,{"PLAN";"ACTUAL";"ACHIVE"},0)-1,
MATCH($X26,DAY('Activity Plan'!$S$7:$AW$7),0))=0,
"N/A",
INDEX('Activity Plan'!$S$34:$AW$99,
MATCH("*"&amp;TRIM($V26)&amp;"*",'Activity Plan'!$D$35:$D$100,0)+MATCH($W26,{"PLAN";"ACTUAL";"ACHIVE"},0)-1,
MATCH($X26,DAY('Activity Plan'!$S$7:$AW$7),0)))</f>
        <v>0.8125</v>
      </c>
      <c r="AA26" t="s">
        <v>40</v>
      </c>
      <c r="AB26" t="s">
        <v>21</v>
      </c>
      <c r="AC26" s="70">
        <v>23</v>
      </c>
      <c r="AD26" s="77">
        <f>'Activity Plan'!AO33</f>
        <v>0.50166666666666704</v>
      </c>
      <c r="AF26" s="70">
        <f>IF(ROWS($Z$15:Z37)&gt;COUNTA(Tbl_SM[NO]),"N/A",ROWS($Z$15:Z37))</f>
        <v>23</v>
      </c>
      <c r="AG26" t="str">
        <f>IF(OR(Tbl_Summary[[#This Row],[NO]]="",Tbl_Summary[[#This Row],[NO]]="N/A"),"",_xlfn.XLOOKUP(Tbl_Summary[[#This Row],[NO]],Tbl_SM[NO],Tbl_SM[5 FACTOR]))</f>
        <v>ENVIRONMENT</v>
      </c>
      <c r="AH26" t="str">
        <f>IF(OR(Tbl_Summary[[#This Row],[NO]]="",Tbl_Summary[[#This Row],[NO]]="N/A"),"",_xlfn.XLOOKUP(Tbl_Summary[[#This Row],[NO]],Tbl_SM[NO],Tbl_SM[CATEGORY]))</f>
        <v>Quick Action</v>
      </c>
      <c r="AI26" t="str">
        <f>IF(OR(Tbl_Summary[[#This Row],[NO]]="",Tbl_Summary[[#This Row],[NO]]="N/A"),"",_xlfn.XLOOKUP(Tbl_Summary[[#This Row],[NO]],Tbl_SM[NO],Tbl_SM[PIC]))</f>
        <v>GS-SHE</v>
      </c>
      <c r="AJ26" s="72">
        <f>IF(OR(Tbl_Summary[[#This Row],[NO]]="",Tbl_Summary[[#This Row],[NO]]="N/A"),"",_xlfn.XLOOKUP(Tbl_Summary[[#This Row],[NO]],Tbl_SM[NO],Tbl_SM[PLAN START]))</f>
        <v>46202</v>
      </c>
      <c r="AK26" s="72">
        <f>IF(OR(Tbl_Summary[[#This Row],[NO]]="",Tbl_Summary[[#This Row],[NO]]="N/A"),"",_xlfn.XLOOKUP(Tbl_Summary[[#This Row],[NO]],Tbl_SM[NO],Tbl_SM[DUE DATA]))</f>
        <v>46234</v>
      </c>
      <c r="AL26" s="70">
        <f>IF(OR(Tbl_Summary[[#This Row],[NO]]="",Tbl_Summary[[#This Row],[NO]]="N/A"),"",_xlfn.XLOOKUP(Tbl_Summary[[#This Row],[NO]],Tbl_SM[NO],Tbl_SM[PLAN DURATION]))</f>
        <v>33</v>
      </c>
      <c r="AM26" s="72">
        <f>IFERROR(IF(OR(Tbl_Summary[[#This Row],[NO]]="",Tbl_Summary[[#This Row],[NO]]="N/A"),"",_xlfn.XLOOKUP(Tbl_Summary[[#This Row],[NO]],Tbl_SM[NO],Tbl_SM[ACTUAL START])),"")</f>
        <v>0</v>
      </c>
      <c r="AN26" s="72" t="str">
        <f>IFERROR(IF(OR(Tbl_Summary[[#This Row],[NO]]="",Tbl_Summary[[#This Row],[NO]]="N/A"),"N/A",
IF(_xlfn.XLOOKUP(Tbl_Summary[[#This Row],[NO]],Tbl_SM[NO],Tbl_SM[ACTUAL FINISH])=0,"N/A",
_xlfn.XLOOKUP(Tbl_Summary[[#This Row],[NO]],Tbl_SM[NO],Tbl_SM[ACTUAL FINISH]))),"N/A")</f>
        <v>N/A</v>
      </c>
      <c r="AO26" s="73" t="str">
        <f>IFERROR(IF(OR(Tbl_Summary[[#This Row],[NO]]="",Tbl_Summary[[#This Row],[NO]]="N/A"),"",_xlfn.XLOOKUP(Tbl_Summary[[#This Row],[NO]],Tbl_SM[NO],Tbl_SM[ACTUAL DURATION])),"")</f>
        <v>No Progress</v>
      </c>
      <c r="AP26" s="72" t="str">
        <f>IFERROR(IF(OR(Tbl_Summary[[#This Row],[NO]]="",Tbl_Summary[[#This Row],[NO]]="N/A"),"",_xlfn.XLOOKUP(Tbl_Summary[[#This Row],[NO]],Tbl_SM[NO],Tbl_SM[STATUS])),"")</f>
        <v>OPEN</v>
      </c>
      <c r="AQ26" s="72" t="str">
        <f ca="1">IFERROR(IF(OR(Tbl_Summary[[#This Row],[NO]]="",Tbl_Summary[[#This Row],[NO]]="N/A"),"",_xlfn.XLOOKUP(Tbl_Summary[[#This Row],[NO]],Tbl_SM[NO],Tbl_SM[DUE STATUS])),"")</f>
        <v>&gt; 14 HARI</v>
      </c>
      <c r="AR26" s="80">
        <f>IFERROR(IF(OR(Tbl_Summary[[#This Row],[NO]]="",Tbl_Summary[[#This Row],[NO]]="N/A"),"",_xlfn.XLOOKUP(Tbl_Summary[[#This Row],[NO]],Tbl_SM[NO],Tbl_SM[COMPLETION])),"")</f>
        <v>0.52666666666666595</v>
      </c>
      <c r="AS26" s="70">
        <f>IFERROR(IF(OR(Tbl_Summary[[#This Row],[NO]]="",Tbl_Summary[[#This Row],[NO]]="N/A"),"",_xlfn.XLOOKUP(Tbl_Summary[[#This Row],[NO]],Tbl_SM[NO],Tbl_SM[COMPLETION_FLAG])),"")</f>
        <v>0</v>
      </c>
      <c r="AU26" s="70">
        <f>IF(ROWS($Z$15:Z32)&gt;COUNTA(Tbl_SM[NO]),"N/A",ROWS($Z$15:Z32))</f>
        <v>18</v>
      </c>
      <c r="AV26" s="70" t="str">
        <f>IF(OR(Table8[[#This Row],[NO]]="",Table8[[#This Row],[NO]]="N/A"),"",_xlfn.XLOOKUP(Table8[[#This Row],[NO]],Tbl_SM[NO],Tbl_SM[5 FACTOR]))</f>
        <v>MATERIAL</v>
      </c>
      <c r="AW26" t="str">
        <f>IF(OR(Table8[[#This Row],[NO]]="",Table8[[#This Row],[NO]]="N/A"),"",_xlfn.XLOOKUP(Table8[[#This Row],[NO]],Tbl_SM[NO],Tbl_SM[CATEGORY]))</f>
        <v>Long Term / Development</v>
      </c>
      <c r="AX26" s="77">
        <f>'Activity Plan'!GU25</f>
        <v>1</v>
      </c>
      <c r="AY26" s="77">
        <f>'Activity Plan'!GV25</f>
        <v>1</v>
      </c>
      <c r="AZ26" s="77">
        <f>'Activity Plan'!GW25</f>
        <v>1</v>
      </c>
      <c r="BA26" s="77">
        <f>'Activity Plan'!GX25</f>
        <v>1</v>
      </c>
      <c r="BB26" s="77">
        <f>'Activity Plan'!GY25</f>
        <v>1</v>
      </c>
      <c r="BC26" s="77">
        <f>'Activity Plan'!GZ25</f>
        <v>1</v>
      </c>
      <c r="BD26" s="77">
        <f>'Activity Plan'!HA25</f>
        <v>1</v>
      </c>
      <c r="BE26" s="77">
        <f>'Activity Plan'!HB25</f>
        <v>1</v>
      </c>
      <c r="BF26" s="77">
        <f>'Activity Plan'!HC25</f>
        <v>1</v>
      </c>
      <c r="BG26" s="77">
        <f>'Activity Plan'!HD25</f>
        <v>1</v>
      </c>
      <c r="BH26" s="77">
        <f>'Activity Plan'!HE25</f>
        <v>1</v>
      </c>
      <c r="BI26" s="77">
        <f>'Activity Plan'!HF25</f>
        <v>1</v>
      </c>
      <c r="BJ26" s="77">
        <f>'Activity Plan'!HG25</f>
        <v>1</v>
      </c>
      <c r="BK26" s="77">
        <f>'Activity Plan'!HH25</f>
        <v>1</v>
      </c>
      <c r="BL26" s="77">
        <f>'Activity Plan'!HI25</f>
        <v>1</v>
      </c>
      <c r="BM26" s="77">
        <f>'Activity Plan'!HJ25</f>
        <v>1</v>
      </c>
      <c r="BN26" s="77">
        <f>'Activity Plan'!HK25</f>
        <v>1</v>
      </c>
      <c r="BO26" s="77">
        <f>'Activity Plan'!HL25</f>
        <v>1</v>
      </c>
      <c r="BP26" s="77">
        <f>'Activity Plan'!HM25</f>
        <v>1</v>
      </c>
      <c r="BQ26" s="77">
        <f>'Activity Plan'!HN25</f>
        <v>1</v>
      </c>
      <c r="BR26" s="77">
        <f>'Activity Plan'!HO25</f>
        <v>1</v>
      </c>
      <c r="BS26" s="77">
        <f>'Activity Plan'!HP25</f>
        <v>1</v>
      </c>
      <c r="BT26" s="77">
        <f>'Activity Plan'!HQ25</f>
        <v>1</v>
      </c>
      <c r="BU26" s="77">
        <f>'Activity Plan'!HR25</f>
        <v>1</v>
      </c>
      <c r="BV26" s="77">
        <f>'Activity Plan'!HS25</f>
        <v>1</v>
      </c>
      <c r="BW26" s="77">
        <f>'Activity Plan'!HT25</f>
        <v>1</v>
      </c>
      <c r="BX26" s="77">
        <f>'Activity Plan'!HU25</f>
        <v>1</v>
      </c>
      <c r="BY26" s="77">
        <f>'Activity Plan'!HV25</f>
        <v>1</v>
      </c>
      <c r="BZ26" s="77">
        <f>'Activity Plan'!HW25</f>
        <v>1</v>
      </c>
      <c r="CA26" s="77">
        <f>'Activity Plan'!HX25</f>
        <v>1</v>
      </c>
      <c r="CB26" s="77">
        <f>'Activity Plan'!HY25</f>
        <v>1</v>
      </c>
      <c r="CF26">
        <v>1</v>
      </c>
      <c r="CG26" t="s">
        <v>30</v>
      </c>
      <c r="CH26" t="s">
        <v>2</v>
      </c>
      <c r="CI26" t="s">
        <v>72</v>
      </c>
      <c r="CJ26" s="68">
        <v>1</v>
      </c>
      <c r="CL26" t="s">
        <v>150</v>
      </c>
      <c r="CM26" t="s">
        <v>19</v>
      </c>
      <c r="CN26" t="s">
        <v>21</v>
      </c>
      <c r="CO26">
        <v>12</v>
      </c>
      <c r="CP26" cm="1">
        <f t="array" ref="CP26">IF(INDEX('Activity Plan'!$S$34:$AW$99,
MATCH("*"&amp;TRIM($B26)&amp;"*",'Activity Plan'!$D$35:$D$100,0)+MATCH($C26,{"PLAN";"ACTUAL";"ACHIVE"},0)-1,
MATCH($D26,DAY('Activity Plan'!$S$7:$AW$7),0))=0,
"N/A",
INDEX('Activity Plan'!$S$34:$AW$99,
MATCH("*"&amp;TRIM($B26)&amp;"*",'Activity Plan'!$D$35:$D$100,0)+MATCH($C26,{"PLAN";"ACTUAL";"ACHIVE"},0)-1,
MATCH($D26,DAY('Activity Plan'!$S$7:$AW$7),0)))</f>
        <v>16</v>
      </c>
      <c r="CU26">
        <f>'Activity Plan'!AD7</f>
        <v>46185</v>
      </c>
      <c r="CV26" t="s">
        <v>21</v>
      </c>
      <c r="CW26" s="194">
        <f>IFERROR(IF('Activity Plan'!AD33=0,"N/A",'Activity Plan'!AD33),"N/A")</f>
        <v>0.32666666666666705</v>
      </c>
      <c r="CZ26">
        <f t="shared" si="0"/>
        <v>23</v>
      </c>
      <c r="DA26" s="199">
        <f>SUMIFS(TBL_ACHIVEMENT[VALUE],
        TBL_ACHIVEMENT[DATE],TBL_ACHIVEMENT[[#This Row],[DATE]],
        TBL_ACHIVEMENT[CATEGORY],"PLAN")</f>
        <v>0.50166666666666704</v>
      </c>
      <c r="DB26" s="144">
        <f>SUMIFS(TBL_ACHIVEMENT[VALUE],
        TBL_ACHIVEMENT[DATE],TBL_ACHIVEMENT[[#This Row],[DATE]],
        TBL_ACHIVEMENT[CATEGORY],"ACTUAL")</f>
        <v>1</v>
      </c>
      <c r="DC26" s="198">
        <f>SUMIFS(TBL_DOZER_READINESS[VALUE],
        TBL_DOZER_READINESS[DATE],TBL_DOZER_READINESS[[#This Row],[DATE]],
        TBL_DOZER_READINESS[CATEGORY],"ACTUAL")</f>
        <v>16</v>
      </c>
      <c r="DD26" s="200">
        <f>SUMIFS(TBL_PA_DOZER[VALUE],
TBL_PA_DOZER[DATE],TBL_PA_DOZER[[#This Row],[DATE]],
TBL_PA_DOZER[CATEGORY],"ACTUAL")</f>
        <v>0.72</v>
      </c>
      <c r="DE26">
        <f>SUMIFS(Tbl_MTBF[VALUE],
Tbl_MTBF[DATE],Tbl_MTBF[[#This Row],[DATE]],
Tbl_MTBF[CATEGORY],"ACTUAL")</f>
        <v>83</v>
      </c>
      <c r="DF26">
        <f>SUMIFS(Tbl_MTTR[VALUE],
Tbl_MTTR[DATE],Tbl_MTTR[[#This Row],[DATE]],
Tbl_MTTR[CATEGORY],"ACTUAL")</f>
        <v>83</v>
      </c>
    </row>
    <row r="27" spans="2:110" x14ac:dyDescent="0.35">
      <c r="B27" t="s">
        <v>19</v>
      </c>
      <c r="C27" t="s">
        <v>22</v>
      </c>
      <c r="D27">
        <v>12</v>
      </c>
      <c r="E27" cm="1">
        <f t="array" ref="E27">IF(INDEX('Activity Plan'!$S$34:$AW$99,
MATCH("*"&amp;TRIM($B27)&amp;"*",'Activity Plan'!$D$35:$D$100,0)+MATCH($C27,{"PLAN";"ACTUAL";"ACHIVE"},0)-1,
MATCH($D27,DAY('Activity Plan'!$S$7:$AW$7),0))=0,
"N/A",
INDEX('Activity Plan'!$S$34:$AW$99,
MATCH("*"&amp;TRIM($B27)&amp;"*",'Activity Plan'!$D$35:$D$100,0)+MATCH($C27,{"PLAN";"ACTUAL";"ACHIVE"},0)-1,
MATCH($D27,DAY('Activity Plan'!$S$7:$AW$7),0)))</f>
        <v>16</v>
      </c>
      <c r="G27" t="s">
        <v>18</v>
      </c>
      <c r="H27" t="s">
        <v>22</v>
      </c>
      <c r="I27">
        <v>12</v>
      </c>
      <c r="J27" s="68" cm="1">
        <f t="array" ref="J27">IF(INDEX('Activity Plan'!$S$34:$AW$99,
MATCH("*"&amp;TRIM($G27)&amp;"*",'Activity Plan'!$D$35:$D$100,0)+MATCH($H27,{"PLAN";"ACTUAL";"ACHIVE"},0)-1,
MATCH($I27,DAY('Activity Plan'!$S$7:$AW$7),0))=0,
"N/A",
INDEX('Activity Plan'!$S$34:$AW$99,
MATCH("*"&amp;TRIM($G27)&amp;"*",'Activity Plan'!$D$35:$D$100,0)+MATCH($H27,{"PLAN";"ACTUAL";"ACHIVE"},0)-1,
MATCH($I27,DAY('Activity Plan'!$S$7:$AW$7),0)))</f>
        <v>0.72</v>
      </c>
      <c r="L27" t="s">
        <v>20</v>
      </c>
      <c r="M27" t="s">
        <v>22</v>
      </c>
      <c r="N27">
        <v>12</v>
      </c>
      <c r="O27" s="71" cm="1">
        <f t="array" ref="O27">IF(INDEX('Activity Plan'!$S$34:$AW$99,
MATCH("*"&amp;TRIM($L27)&amp;"*",'Activity Plan'!$D$35:$D$100,0)+MATCH($M27,{"PLAN";"ACTUAL";"ACHIVE"},0)-1,
MATCH($N27,DAY('Activity Plan'!$S$7:$AW$7),0))=0,
"N/A",
INDEX('Activity Plan'!$S$34:$AW$99,
MATCH("*"&amp;TRIM($L27)&amp;"*",'Activity Plan'!$D$35:$D$100,0)+MATCH($M27,{"PLAN";"ACTUAL";"ACHIVE"},0)-1,
MATCH($N27,DAY('Activity Plan'!$S$7:$AW$7),0)))</f>
        <v>83</v>
      </c>
      <c r="Q27" t="s">
        <v>138</v>
      </c>
      <c r="R27" t="s">
        <v>22</v>
      </c>
      <c r="S27">
        <v>12</v>
      </c>
      <c r="T27" s="71" cm="1">
        <f t="array" ref="T27">IF(INDEX('Activity Plan'!$S$34:$AW$99,
MATCH("*"&amp;TRIM($Q27)&amp;"*",'Activity Plan'!$D$35:$D$100,0)+MATCH($R27,{"PLAN";"ACTUAL";"ACHIVE"},0)-1,
MATCH($S27,DAY('Activity Plan'!$S$7:$AW$7),0))=0,
"N/A",
INDEX('Activity Plan'!$S$34:$AW$99,
MATCH("*"&amp;TRIM($Q27)&amp;"*",'Activity Plan'!$D$35:$D$100,0)+MATCH($R27,{"PLAN";"ACTUAL";"ACHIVE"},0)-1,
MATCH($S27,DAY('Activity Plan'!$S$7:$AW$7),0)))</f>
        <v>83</v>
      </c>
      <c r="U27" s="71"/>
      <c r="V27" t="s">
        <v>19</v>
      </c>
      <c r="W27" t="s">
        <v>39</v>
      </c>
      <c r="X27" s="70">
        <v>24</v>
      </c>
      <c r="Y27" s="69" cm="1">
        <f t="array" ref="Y27">IF(INDEX('Activity Plan'!$S$34:$AW$99,
MATCH("*"&amp;TRIM($V27)&amp;"*",'Activity Plan'!$D$35:$D$100,0)+MATCH($W27,{"PLAN";"ACTUAL";"ACHIVE"},0)-1,
MATCH($X27,DAY('Activity Plan'!$S$7:$AW$7),0))=0,
"N/A",
INDEX('Activity Plan'!$S$34:$AW$99,
MATCH("*"&amp;TRIM($V27)&amp;"*",'Activity Plan'!$D$35:$D$100,0)+MATCH($W27,{"PLAN";"ACTUAL";"ACHIVE"},0)-1,
MATCH($X27,DAY('Activity Plan'!$S$7:$AW$7),0)))</f>
        <v>0.875</v>
      </c>
      <c r="AA27" t="s">
        <v>40</v>
      </c>
      <c r="AB27" t="s">
        <v>21</v>
      </c>
      <c r="AC27" s="70">
        <v>24</v>
      </c>
      <c r="AD27" s="77">
        <f>'Activity Plan'!AP33</f>
        <v>0.50166666666666704</v>
      </c>
      <c r="AF27" s="70">
        <f>IF(ROWS($Z$15:Z38)&gt;COUNTA(Tbl_SM[NO]),"N/A",ROWS($Z$15:Z38))</f>
        <v>24</v>
      </c>
      <c r="AG27" t="str">
        <f>IF(OR(Tbl_Summary[[#This Row],[NO]]="",Tbl_Summary[[#This Row],[NO]]="N/A"),"",_xlfn.XLOOKUP(Tbl_Summary[[#This Row],[NO]],Tbl_SM[NO],Tbl_SM[5 FACTOR]))</f>
        <v>ENVIRONMENT</v>
      </c>
      <c r="AH27" t="str">
        <f>IF(OR(Tbl_Summary[[#This Row],[NO]]="",Tbl_Summary[[#This Row],[NO]]="N/A"),"",_xlfn.XLOOKUP(Tbl_Summary[[#This Row],[NO]],Tbl_SM[NO],Tbl_SM[CATEGORY]))</f>
        <v>Long Term / Development</v>
      </c>
      <c r="AI27" t="str">
        <f>IF(OR(Tbl_Summary[[#This Row],[NO]]="",Tbl_Summary[[#This Row],[NO]]="N/A"),"",_xlfn.XLOOKUP(Tbl_Summary[[#This Row],[NO]],Tbl_SM[NO],Tbl_SM[PIC]))</f>
        <v>GS-SHE-OPS</v>
      </c>
      <c r="AJ27" s="72">
        <f>IF(OR(Tbl_Summary[[#This Row],[NO]]="",Tbl_Summary[[#This Row],[NO]]="N/A"),"",_xlfn.XLOOKUP(Tbl_Summary[[#This Row],[NO]],Tbl_SM[NO],Tbl_SM[PLAN START]))</f>
        <v>46216</v>
      </c>
      <c r="AK27" s="72">
        <f>IF(OR(Tbl_Summary[[#This Row],[NO]]="",Tbl_Summary[[#This Row],[NO]]="N/A"),"",_xlfn.XLOOKUP(Tbl_Summary[[#This Row],[NO]],Tbl_SM[NO],Tbl_SM[DUE DATA]))</f>
        <v>46262</v>
      </c>
      <c r="AL27" s="70">
        <f>IF(OR(Tbl_Summary[[#This Row],[NO]]="",Tbl_Summary[[#This Row],[NO]]="N/A"),"",_xlfn.XLOOKUP(Tbl_Summary[[#This Row],[NO]],Tbl_SM[NO],Tbl_SM[PLAN DURATION]))</f>
        <v>47</v>
      </c>
      <c r="AM27" s="72">
        <f>IFERROR(IF(OR(Tbl_Summary[[#This Row],[NO]]="",Tbl_Summary[[#This Row],[NO]]="N/A"),"",_xlfn.XLOOKUP(Tbl_Summary[[#This Row],[NO]],Tbl_SM[NO],Tbl_SM[ACTUAL START])),"")</f>
        <v>0</v>
      </c>
      <c r="AN27" s="72" t="str">
        <f>IFERROR(IF(OR(Tbl_Summary[[#This Row],[NO]]="",Tbl_Summary[[#This Row],[NO]]="N/A"),"N/A",
IF(_xlfn.XLOOKUP(Tbl_Summary[[#This Row],[NO]],Tbl_SM[NO],Tbl_SM[ACTUAL FINISH])=0,"N/A",
_xlfn.XLOOKUP(Tbl_Summary[[#This Row],[NO]],Tbl_SM[NO],Tbl_SM[ACTUAL FINISH]))),"N/A")</f>
        <v>N/A</v>
      </c>
      <c r="AO27" s="73" t="str">
        <f>IFERROR(IF(OR(Tbl_Summary[[#This Row],[NO]]="",Tbl_Summary[[#This Row],[NO]]="N/A"),"",_xlfn.XLOOKUP(Tbl_Summary[[#This Row],[NO]],Tbl_SM[NO],Tbl_SM[ACTUAL DURATION])),"")</f>
        <v>No Progress</v>
      </c>
      <c r="AP27" s="72" t="str">
        <f>IFERROR(IF(OR(Tbl_Summary[[#This Row],[NO]]="",Tbl_Summary[[#This Row],[NO]]="N/A"),"",_xlfn.XLOOKUP(Tbl_Summary[[#This Row],[NO]],Tbl_SM[NO],Tbl_SM[STATUS])),"")</f>
        <v>OPEN</v>
      </c>
      <c r="AQ27" s="72" t="str">
        <f ca="1">IFERROR(IF(OR(Tbl_Summary[[#This Row],[NO]]="",Tbl_Summary[[#This Row],[NO]]="N/A"),"",_xlfn.XLOOKUP(Tbl_Summary[[#This Row],[NO]],Tbl_SM[NO],Tbl_SM[DUE STATUS])),"")</f>
        <v>&gt; 14 HARI</v>
      </c>
      <c r="AR27" s="80">
        <f>IFERROR(IF(OR(Tbl_Summary[[#This Row],[NO]]="",Tbl_Summary[[#This Row],[NO]]="N/A"),"",_xlfn.XLOOKUP(Tbl_Summary[[#This Row],[NO]],Tbl_SM[NO],Tbl_SM[COMPLETION])),"")</f>
        <v>0.52666666666666595</v>
      </c>
      <c r="AS27" s="70">
        <f>IFERROR(IF(OR(Tbl_Summary[[#This Row],[NO]]="",Tbl_Summary[[#This Row],[NO]]="N/A"),"",_xlfn.XLOOKUP(Tbl_Summary[[#This Row],[NO]],Tbl_SM[NO],Tbl_SM[COMPLETION_FLAG])),"")</f>
        <v>0</v>
      </c>
      <c r="AU27" s="70">
        <f>IF(ROWS($Z$15:Z33)&gt;COUNTA(Tbl_SM[NO]),"N/A",ROWS($Z$15:Z33))</f>
        <v>19</v>
      </c>
      <c r="AV27" s="70" t="str">
        <f>IF(OR(Table8[[#This Row],[NO]]="",Table8[[#This Row],[NO]]="N/A"),"",_xlfn.XLOOKUP(Table8[[#This Row],[NO]],Tbl_SM[NO],Tbl_SM[5 FACTOR]))</f>
        <v>MATERIAL</v>
      </c>
      <c r="AW27" t="str">
        <f>IF(OR(Table8[[#This Row],[NO]]="",Table8[[#This Row],[NO]]="N/A"),"",_xlfn.XLOOKUP(Table8[[#This Row],[NO]],Tbl_SM[NO],Tbl_SM[CATEGORY]))</f>
        <v>Quick Action</v>
      </c>
      <c r="AX27" s="77">
        <f>'Activity Plan'!GU26</f>
        <v>1</v>
      </c>
      <c r="AY27" s="77">
        <f>'Activity Plan'!GV26</f>
        <v>1</v>
      </c>
      <c r="AZ27" s="77">
        <f>'Activity Plan'!GW26</f>
        <v>1</v>
      </c>
      <c r="BA27" s="77">
        <f>'Activity Plan'!GX26</f>
        <v>1</v>
      </c>
      <c r="BB27" s="77">
        <f>'Activity Plan'!GY26</f>
        <v>1</v>
      </c>
      <c r="BC27" s="77">
        <f>'Activity Plan'!GZ26</f>
        <v>1</v>
      </c>
      <c r="BD27" s="77">
        <f>'Activity Plan'!HA26</f>
        <v>1</v>
      </c>
      <c r="BE27" s="77">
        <f>'Activity Plan'!HB26</f>
        <v>1</v>
      </c>
      <c r="BF27" s="77">
        <f>'Activity Plan'!HC26</f>
        <v>1</v>
      </c>
      <c r="BG27" s="77">
        <f>'Activity Plan'!HD26</f>
        <v>1</v>
      </c>
      <c r="BH27" s="77">
        <f>'Activity Plan'!HE26</f>
        <v>1</v>
      </c>
      <c r="BI27" s="77">
        <f>'Activity Plan'!HF26</f>
        <v>1</v>
      </c>
      <c r="BJ27" s="77">
        <f>'Activity Plan'!HG26</f>
        <v>1</v>
      </c>
      <c r="BK27" s="77">
        <f>'Activity Plan'!HH26</f>
        <v>1</v>
      </c>
      <c r="BL27" s="77">
        <f>'Activity Plan'!HI26</f>
        <v>1</v>
      </c>
      <c r="BM27" s="77">
        <f>'Activity Plan'!HJ26</f>
        <v>1</v>
      </c>
      <c r="BN27" s="77">
        <f>'Activity Plan'!HK26</f>
        <v>1</v>
      </c>
      <c r="BO27" s="77">
        <f>'Activity Plan'!HL26</f>
        <v>1</v>
      </c>
      <c r="BP27" s="77">
        <f>'Activity Plan'!HM26</f>
        <v>1</v>
      </c>
      <c r="BQ27" s="77">
        <f>'Activity Plan'!HN26</f>
        <v>1</v>
      </c>
      <c r="BR27" s="77">
        <f>'Activity Plan'!HO26</f>
        <v>1</v>
      </c>
      <c r="BS27" s="77">
        <f>'Activity Plan'!HP26</f>
        <v>1</v>
      </c>
      <c r="BT27" s="77">
        <f>'Activity Plan'!HQ26</f>
        <v>1</v>
      </c>
      <c r="BU27" s="77">
        <f>'Activity Plan'!HR26</f>
        <v>1</v>
      </c>
      <c r="BV27" s="77">
        <f>'Activity Plan'!HS26</f>
        <v>1</v>
      </c>
      <c r="BW27" s="77">
        <f>'Activity Plan'!HT26</f>
        <v>1</v>
      </c>
      <c r="BX27" s="77">
        <f>'Activity Plan'!HU26</f>
        <v>1</v>
      </c>
      <c r="BY27" s="77">
        <f>'Activity Plan'!HV26</f>
        <v>1</v>
      </c>
      <c r="BZ27" s="77">
        <f>'Activity Plan'!HW26</f>
        <v>1</v>
      </c>
      <c r="CA27" s="77">
        <f>'Activity Plan'!HX26</f>
        <v>1</v>
      </c>
      <c r="CB27" s="77">
        <f>'Activity Plan'!HY26</f>
        <v>1</v>
      </c>
      <c r="CF27">
        <v>1</v>
      </c>
      <c r="CG27" t="s">
        <v>30</v>
      </c>
      <c r="CH27" t="s">
        <v>2</v>
      </c>
      <c r="CI27" t="s">
        <v>73</v>
      </c>
      <c r="CJ27" s="68">
        <v>1</v>
      </c>
      <c r="CL27" t="s">
        <v>150</v>
      </c>
      <c r="CM27" t="s">
        <v>19</v>
      </c>
      <c r="CN27" t="s">
        <v>22</v>
      </c>
      <c r="CO27">
        <v>12</v>
      </c>
      <c r="CP27" cm="1">
        <f t="array" ref="CP27">IF(INDEX('Activity Plan'!$S$34:$AW$99,
MATCH("*"&amp;TRIM($B27)&amp;"*",'Activity Plan'!$D$35:$D$100,0)+MATCH($C27,{"PLAN";"ACTUAL";"ACHIVE"},0)-1,
MATCH($D27,DAY('Activity Plan'!$S$7:$AW$7),0))=0,
"N/A",
INDEX('Activity Plan'!$S$34:$AW$99,
MATCH("*"&amp;TRIM($B27)&amp;"*",'Activity Plan'!$D$35:$D$100,0)+MATCH($C27,{"PLAN";"ACTUAL";"ACHIVE"},0)-1,
MATCH($D27,DAY('Activity Plan'!$S$7:$AW$7),0)))</f>
        <v>16</v>
      </c>
      <c r="CU27">
        <f>'Activity Plan'!AD7</f>
        <v>46185</v>
      </c>
      <c r="CV27" t="s">
        <v>22</v>
      </c>
      <c r="CW27" s="194">
        <f>IFERROR(IF('Activity Plan'!BI33=0,"N/A",'Activity Plan'!BI33),"N/A")</f>
        <v>0.77999999999999992</v>
      </c>
      <c r="CZ27">
        <f t="shared" si="0"/>
        <v>24</v>
      </c>
      <c r="DA27" s="199">
        <f>SUMIFS(TBL_ACHIVEMENT[VALUE],
        TBL_ACHIVEMENT[DATE],TBL_ACHIVEMENT[[#This Row],[DATE]],
        TBL_ACHIVEMENT[CATEGORY],"PLAN")</f>
        <v>0.50166666666666704</v>
      </c>
      <c r="DB27" s="144">
        <f>SUMIFS(TBL_ACHIVEMENT[VALUE],
        TBL_ACHIVEMENT[DATE],TBL_ACHIVEMENT[[#This Row],[DATE]],
        TBL_ACHIVEMENT[CATEGORY],"ACTUAL")</f>
        <v>1</v>
      </c>
      <c r="DC27" s="198">
        <f>SUMIFS(TBL_DOZER_READINESS[VALUE],
        TBL_DOZER_READINESS[DATE],TBL_DOZER_READINESS[[#This Row],[DATE]],
        TBL_DOZER_READINESS[CATEGORY],"ACTUAL")</f>
        <v>16</v>
      </c>
      <c r="DD27" s="200">
        <f>SUMIFS(TBL_PA_DOZER[VALUE],
TBL_PA_DOZER[DATE],TBL_PA_DOZER[[#This Row],[DATE]],
TBL_PA_DOZER[CATEGORY],"ACTUAL")</f>
        <v>0.72</v>
      </c>
      <c r="DE27">
        <f>SUMIFS(Tbl_MTBF[VALUE],
Tbl_MTBF[DATE],Tbl_MTBF[[#This Row],[DATE]],
Tbl_MTBF[CATEGORY],"ACTUAL")</f>
        <v>83</v>
      </c>
      <c r="DF27">
        <f>SUMIFS(Tbl_MTTR[VALUE],
Tbl_MTTR[DATE],Tbl_MTTR[[#This Row],[DATE]],
Tbl_MTTR[CATEGORY],"ACTUAL")</f>
        <v>83</v>
      </c>
    </row>
    <row r="28" spans="2:110" x14ac:dyDescent="0.35">
      <c r="B28" t="s">
        <v>19</v>
      </c>
      <c r="C28" t="s">
        <v>21</v>
      </c>
      <c r="D28">
        <v>13</v>
      </c>
      <c r="E28" cm="1">
        <f t="array" ref="E28">IF(INDEX('Activity Plan'!$S$34:$AW$99,
MATCH("*"&amp;TRIM($B28)&amp;"*",'Activity Plan'!$D$35:$D$100,0)+MATCH($C28,{"PLAN";"ACTUAL";"ACHIVE"},0)-1,
MATCH($D28,DAY('Activity Plan'!$S$7:$AW$7),0))=0,
"N/A",
INDEX('Activity Plan'!$S$34:$AW$99,
MATCH("*"&amp;TRIM($B28)&amp;"*",'Activity Plan'!$D$35:$D$100,0)+MATCH($C28,{"PLAN";"ACTUAL";"ACHIVE"},0)-1,
MATCH($D28,DAY('Activity Plan'!$S$7:$AW$7),0)))</f>
        <v>16</v>
      </c>
      <c r="G28" t="s">
        <v>18</v>
      </c>
      <c r="H28" t="s">
        <v>21</v>
      </c>
      <c r="I28">
        <v>13</v>
      </c>
      <c r="J28" s="68" cm="1">
        <f t="array" ref="J28">IF(INDEX('Activity Plan'!$S$34:$AW$99,
MATCH("*"&amp;TRIM($G28)&amp;"*",'Activity Plan'!$D$35:$D$100,0)+MATCH($H28,{"PLAN";"ACTUAL";"ACHIVE"},0)-1,
MATCH($I28,DAY('Activity Plan'!$S$7:$AW$7),0))=0,
"N/A",
INDEX('Activity Plan'!$S$34:$AW$99,
MATCH("*"&amp;TRIM($G28)&amp;"*",'Activity Plan'!$D$35:$D$100,0)+MATCH($H28,{"PLAN";"ACTUAL";"ACHIVE"},0)-1,
MATCH($I28,DAY('Activity Plan'!$S$7:$AW$7),0)))</f>
        <v>0.9</v>
      </c>
      <c r="L28" t="s">
        <v>20</v>
      </c>
      <c r="M28" t="s">
        <v>21</v>
      </c>
      <c r="N28">
        <v>13</v>
      </c>
      <c r="O28" s="71" cm="1">
        <f t="array" ref="O28">IF(INDEX('Activity Plan'!$S$34:$AW$99,
MATCH("*"&amp;TRIM($L28)&amp;"*",'Activity Plan'!$D$35:$D$100,0)+MATCH($M28,{"PLAN";"ACTUAL";"ACHIVE"},0)-1,
MATCH($N28,DAY('Activity Plan'!$S$7:$AW$7),0))=0,
"N/A",
INDEX('Activity Plan'!$S$34:$AW$99,
MATCH("*"&amp;TRIM($L28)&amp;"*",'Activity Plan'!$D$35:$D$100,0)+MATCH($M28,{"PLAN";"ACTUAL";"ACHIVE"},0)-1,
MATCH($N28,DAY('Activity Plan'!$S$7:$AW$7),0)))</f>
        <v>70</v>
      </c>
      <c r="Q28" t="s">
        <v>138</v>
      </c>
      <c r="R28" t="s">
        <v>21</v>
      </c>
      <c r="S28">
        <v>13</v>
      </c>
      <c r="T28" s="71" cm="1">
        <f t="array" ref="T28">IF(INDEX('Activity Plan'!$S$34:$AW$99,
MATCH("*"&amp;TRIM($Q28)&amp;"*",'Activity Plan'!$D$35:$D$100,0)+MATCH($R28,{"PLAN";"ACTUAL";"ACHIVE"},0)-1,
MATCH($S28,DAY('Activity Plan'!$S$7:$AW$7),0))=0,
"N/A",
INDEX('Activity Plan'!$S$34:$AW$99,
MATCH("*"&amp;TRIM($Q28)&amp;"*",'Activity Plan'!$D$35:$D$100,0)+MATCH($R28,{"PLAN";"ACTUAL";"ACHIVE"},0)-1,
MATCH($S28,DAY('Activity Plan'!$S$7:$AW$7),0)))</f>
        <v>80</v>
      </c>
      <c r="U28" s="71"/>
      <c r="V28" t="s">
        <v>19</v>
      </c>
      <c r="W28" t="s">
        <v>39</v>
      </c>
      <c r="X28" s="70">
        <v>25</v>
      </c>
      <c r="Y28" s="69" cm="1">
        <f t="array" ref="Y28">IF(INDEX('Activity Plan'!$S$34:$AW$99,
MATCH("*"&amp;TRIM($V28)&amp;"*",'Activity Plan'!$D$35:$D$100,0)+MATCH($W28,{"PLAN";"ACTUAL";"ACHIVE"},0)-1,
MATCH($X28,DAY('Activity Plan'!$S$7:$AW$7),0))=0,
"N/A",
INDEX('Activity Plan'!$S$34:$AW$99,
MATCH("*"&amp;TRIM($V28)&amp;"*",'Activity Plan'!$D$35:$D$100,0)+MATCH($W28,{"PLAN";"ACTUAL";"ACHIVE"},0)-1,
MATCH($X28,DAY('Activity Plan'!$S$7:$AW$7),0)))</f>
        <v>0.6875</v>
      </c>
      <c r="AA28" t="s">
        <v>40</v>
      </c>
      <c r="AB28" t="s">
        <v>21</v>
      </c>
      <c r="AC28" s="70">
        <v>25</v>
      </c>
      <c r="AD28" s="77">
        <f>'Activity Plan'!AQ33</f>
        <v>0.50166666666666704</v>
      </c>
      <c r="AF28" s="70" t="str">
        <f>IF(ROWS($Z$15:Z39)&gt;COUNTA(Tbl_SM[NO]),"N/A",ROWS($Z$15:Z39))</f>
        <v>N/A</v>
      </c>
      <c r="AG28" t="str">
        <f>IF(OR(Tbl_Summary[[#This Row],[NO]]="",Tbl_Summary[[#This Row],[NO]]="N/A"),"",_xlfn.XLOOKUP(Tbl_Summary[[#This Row],[NO]],Tbl_SM[NO],Tbl_SM[5 FACTOR]))</f>
        <v/>
      </c>
      <c r="AH28" t="str">
        <f>IF(OR(Tbl_Summary[[#This Row],[NO]]="",Tbl_Summary[[#This Row],[NO]]="N/A"),"",_xlfn.XLOOKUP(Tbl_Summary[[#This Row],[NO]],Tbl_SM[NO],Tbl_SM[CATEGORY]))</f>
        <v/>
      </c>
      <c r="AI28" t="str">
        <f>IF(OR(Tbl_Summary[[#This Row],[NO]]="",Tbl_Summary[[#This Row],[NO]]="N/A"),"",_xlfn.XLOOKUP(Tbl_Summary[[#This Row],[NO]],Tbl_SM[NO],Tbl_SM[PIC]))</f>
        <v/>
      </c>
      <c r="AJ28" s="72" t="str">
        <f>IF(OR(Tbl_Summary[[#This Row],[NO]]="",Tbl_Summary[[#This Row],[NO]]="N/A"),"",_xlfn.XLOOKUP(Tbl_Summary[[#This Row],[NO]],Tbl_SM[NO],Tbl_SM[PLAN START]))</f>
        <v/>
      </c>
      <c r="AK28" s="72" t="str">
        <f>IF(OR(Tbl_Summary[[#This Row],[NO]]="",Tbl_Summary[[#This Row],[NO]]="N/A"),"",_xlfn.XLOOKUP(Tbl_Summary[[#This Row],[NO]],Tbl_SM[NO],Tbl_SM[DUE DATA]))</f>
        <v/>
      </c>
      <c r="AL28" s="70" t="str">
        <f>IF(OR(Tbl_Summary[[#This Row],[NO]]="",Tbl_Summary[[#This Row],[NO]]="N/A"),"",_xlfn.XLOOKUP(Tbl_Summary[[#This Row],[NO]],Tbl_SM[NO],Tbl_SM[PLAN DURATION]))</f>
        <v/>
      </c>
      <c r="AM28" s="72" t="str">
        <f>IFERROR(IF(OR(Tbl_Summary[[#This Row],[NO]]="",Tbl_Summary[[#This Row],[NO]]="N/A"),"",_xlfn.XLOOKUP(Tbl_Summary[[#This Row],[NO]],Tbl_SM[NO],Tbl_SM[ACTUAL START])),"")</f>
        <v/>
      </c>
      <c r="AN28" s="72" t="str">
        <f>IFERROR(IF(OR(Tbl_Summary[[#This Row],[NO]]="",Tbl_Summary[[#This Row],[NO]]="N/A"),"N/A",
IF(_xlfn.XLOOKUP(Tbl_Summary[[#This Row],[NO]],Tbl_SM[NO],Tbl_SM[ACTUAL FINISH])=0,"N/A",
_xlfn.XLOOKUP(Tbl_Summary[[#This Row],[NO]],Tbl_SM[NO],Tbl_SM[ACTUAL FINISH]))),"N/A")</f>
        <v>N/A</v>
      </c>
      <c r="AO28" s="73" t="str">
        <f>IFERROR(IF(OR(Tbl_Summary[[#This Row],[NO]]="",Tbl_Summary[[#This Row],[NO]]="N/A"),"",_xlfn.XLOOKUP(Tbl_Summary[[#This Row],[NO]],Tbl_SM[NO],Tbl_SM[ACTUAL DURATION])),"")</f>
        <v/>
      </c>
      <c r="AP28" s="72" t="str">
        <f>IFERROR(IF(OR(Tbl_Summary[[#This Row],[NO]]="",Tbl_Summary[[#This Row],[NO]]="N/A"),"",_xlfn.XLOOKUP(Tbl_Summary[[#This Row],[NO]],Tbl_SM[NO],Tbl_SM[STATUS])),"")</f>
        <v/>
      </c>
      <c r="AQ28" s="72" t="str">
        <f>IFERROR(IF(OR(Tbl_Summary[[#This Row],[NO]]="",Tbl_Summary[[#This Row],[NO]]="N/A"),"",_xlfn.XLOOKUP(Tbl_Summary[[#This Row],[NO]],Tbl_SM[NO],Tbl_SM[DUE STATUS])),"")</f>
        <v/>
      </c>
      <c r="AR28" s="80" t="str">
        <f>IFERROR(IF(OR(Tbl_Summary[[#This Row],[NO]]="",Tbl_Summary[[#This Row],[NO]]="N/A"),"",_xlfn.XLOOKUP(Tbl_Summary[[#This Row],[NO]],Tbl_SM[NO],Tbl_SM[COMPLETION])),"")</f>
        <v/>
      </c>
      <c r="AS28" s="70" t="str">
        <f>IFERROR(IF(OR(Tbl_Summary[[#This Row],[NO]]="",Tbl_Summary[[#This Row],[NO]]="N/A"),"",_xlfn.XLOOKUP(Tbl_Summary[[#This Row],[NO]],Tbl_SM[NO],Tbl_SM[COMPLETION_FLAG])),"")</f>
        <v/>
      </c>
      <c r="AU28" s="70">
        <f>IF(ROWS($Z$15:Z34)&gt;COUNTA(Tbl_SM[NO]),"N/A",ROWS($Z$15:Z34))</f>
        <v>20</v>
      </c>
      <c r="AV28" s="70" t="str">
        <f>IF(OR(Table8[[#This Row],[NO]]="",Table8[[#This Row],[NO]]="N/A"),"",_xlfn.XLOOKUP(Table8[[#This Row],[NO]],Tbl_SM[NO],Tbl_SM[5 FACTOR]))</f>
        <v>MEASUREMENT</v>
      </c>
      <c r="AW28" t="str">
        <f>IF(OR(Table8[[#This Row],[NO]]="",Table8[[#This Row],[NO]]="N/A"),"",_xlfn.XLOOKUP(Table8[[#This Row],[NO]],Tbl_SM[NO],Tbl_SM[CATEGORY]))</f>
        <v>Quick Action</v>
      </c>
      <c r="AX28" s="77">
        <f>'Activity Plan'!GU27</f>
        <v>1</v>
      </c>
      <c r="AY28" s="77">
        <f>'Activity Plan'!GV27</f>
        <v>1</v>
      </c>
      <c r="AZ28" s="77">
        <f>'Activity Plan'!GW27</f>
        <v>1</v>
      </c>
      <c r="BA28" s="77">
        <f>'Activity Plan'!GX27</f>
        <v>1</v>
      </c>
      <c r="BB28" s="77">
        <f>'Activity Plan'!GY27</f>
        <v>1</v>
      </c>
      <c r="BC28" s="77">
        <f>'Activity Plan'!GZ27</f>
        <v>1</v>
      </c>
      <c r="BD28" s="77">
        <f>'Activity Plan'!HA27</f>
        <v>1</v>
      </c>
      <c r="BE28" s="77">
        <f>'Activity Plan'!HB27</f>
        <v>1</v>
      </c>
      <c r="BF28" s="77">
        <f>'Activity Plan'!HC27</f>
        <v>1</v>
      </c>
      <c r="BG28" s="77">
        <f>'Activity Plan'!HD27</f>
        <v>1</v>
      </c>
      <c r="BH28" s="77">
        <f>'Activity Plan'!HE27</f>
        <v>1</v>
      </c>
      <c r="BI28" s="77">
        <f>'Activity Plan'!HF27</f>
        <v>1</v>
      </c>
      <c r="BJ28" s="77">
        <f>'Activity Plan'!HG27</f>
        <v>1</v>
      </c>
      <c r="BK28" s="77">
        <f>'Activity Plan'!HH27</f>
        <v>1</v>
      </c>
      <c r="BL28" s="77">
        <f>'Activity Plan'!HI27</f>
        <v>1</v>
      </c>
      <c r="BM28" s="77">
        <f>'Activity Plan'!HJ27</f>
        <v>1</v>
      </c>
      <c r="BN28" s="77">
        <f>'Activity Plan'!HK27</f>
        <v>1</v>
      </c>
      <c r="BO28" s="77">
        <f>'Activity Plan'!HL27</f>
        <v>1</v>
      </c>
      <c r="BP28" s="77">
        <f>'Activity Plan'!HM27</f>
        <v>1</v>
      </c>
      <c r="BQ28" s="77">
        <f>'Activity Plan'!HN27</f>
        <v>1</v>
      </c>
      <c r="BR28" s="77">
        <f>'Activity Plan'!HO27</f>
        <v>1</v>
      </c>
      <c r="BS28" s="77">
        <f>'Activity Plan'!HP27</f>
        <v>1</v>
      </c>
      <c r="BT28" s="77">
        <f>'Activity Plan'!HQ27</f>
        <v>1</v>
      </c>
      <c r="BU28" s="77">
        <f>'Activity Plan'!HR27</f>
        <v>1</v>
      </c>
      <c r="BV28" s="77">
        <f>'Activity Plan'!HS27</f>
        <v>1</v>
      </c>
      <c r="BW28" s="77">
        <f>'Activity Plan'!HT27</f>
        <v>1</v>
      </c>
      <c r="BX28" s="77">
        <f>'Activity Plan'!HU27</f>
        <v>1</v>
      </c>
      <c r="BY28" s="77">
        <f>'Activity Plan'!HV27</f>
        <v>1</v>
      </c>
      <c r="BZ28" s="77">
        <f>'Activity Plan'!HW27</f>
        <v>1</v>
      </c>
      <c r="CA28" s="77">
        <f>'Activity Plan'!HX27</f>
        <v>1</v>
      </c>
      <c r="CB28" s="77">
        <f>'Activity Plan'!HY27</f>
        <v>1</v>
      </c>
      <c r="CF28">
        <v>1</v>
      </c>
      <c r="CG28" t="s">
        <v>30</v>
      </c>
      <c r="CH28" t="s">
        <v>2</v>
      </c>
      <c r="CI28" t="s">
        <v>74</v>
      </c>
      <c r="CJ28" s="68">
        <v>1</v>
      </c>
      <c r="CL28" t="s">
        <v>150</v>
      </c>
      <c r="CM28" t="s">
        <v>19</v>
      </c>
      <c r="CN28" t="s">
        <v>21</v>
      </c>
      <c r="CO28">
        <v>13</v>
      </c>
      <c r="CP28" cm="1">
        <f t="array" ref="CP28">IF(INDEX('Activity Plan'!$S$34:$AW$99,
MATCH("*"&amp;TRIM($B28)&amp;"*",'Activity Plan'!$D$35:$D$100,0)+MATCH($C28,{"PLAN";"ACTUAL";"ACHIVE"},0)-1,
MATCH($D28,DAY('Activity Plan'!$S$7:$AW$7),0))=0,
"N/A",
INDEX('Activity Plan'!$S$34:$AW$99,
MATCH("*"&amp;TRIM($B28)&amp;"*",'Activity Plan'!$D$35:$D$100,0)+MATCH($C28,{"PLAN";"ACTUAL";"ACHIVE"},0)-1,
MATCH($D28,DAY('Activity Plan'!$S$7:$AW$7),0)))</f>
        <v>16</v>
      </c>
      <c r="CU28">
        <f>'Activity Plan'!AE7</f>
        <v>46186</v>
      </c>
      <c r="CV28" t="s">
        <v>21</v>
      </c>
      <c r="CW28" s="194">
        <f>IFERROR(IF('Activity Plan'!AE33=0,"N/A",'Activity Plan'!AE33),"N/A")</f>
        <v>0.35166666666666679</v>
      </c>
      <c r="CZ28">
        <f t="shared" si="0"/>
        <v>25</v>
      </c>
      <c r="DA28" s="199">
        <f>SUMIFS(TBL_ACHIVEMENT[VALUE],
        TBL_ACHIVEMENT[DATE],TBL_ACHIVEMENT[[#This Row],[DATE]],
        TBL_ACHIVEMENT[CATEGORY],"PLAN")</f>
        <v>0.50166666666666704</v>
      </c>
      <c r="DB28" s="144">
        <f>SUMIFS(TBL_ACHIVEMENT[VALUE],
        TBL_ACHIVEMENT[DATE],TBL_ACHIVEMENT[[#This Row],[DATE]],
        TBL_ACHIVEMENT[CATEGORY],"ACTUAL")</f>
        <v>1</v>
      </c>
      <c r="DC28" s="198">
        <f>SUMIFS(TBL_DOZER_READINESS[VALUE],
        TBL_DOZER_READINESS[DATE],TBL_DOZER_READINESS[[#This Row],[DATE]],
        TBL_DOZER_READINESS[CATEGORY],"ACTUAL")</f>
        <v>14</v>
      </c>
      <c r="DD28" s="200">
        <f>SUMIFS(TBL_PA_DOZER[VALUE],
TBL_PA_DOZER[DATE],TBL_PA_DOZER[[#This Row],[DATE]],
TBL_PA_DOZER[CATEGORY],"ACTUAL")</f>
        <v>1</v>
      </c>
      <c r="DE28">
        <f>SUMIFS(Tbl_MTBF[VALUE],
Tbl_MTBF[DATE],Tbl_MTBF[[#This Row],[DATE]],
Tbl_MTBF[CATEGORY],"ACTUAL")</f>
        <v>65</v>
      </c>
      <c r="DF28">
        <f>SUMIFS(Tbl_MTTR[VALUE],
Tbl_MTTR[DATE],Tbl_MTTR[[#This Row],[DATE]],
Tbl_MTTR[CATEGORY],"ACTUAL")</f>
        <v>65</v>
      </c>
    </row>
    <row r="29" spans="2:110" x14ac:dyDescent="0.35">
      <c r="B29" t="s">
        <v>19</v>
      </c>
      <c r="C29" t="s">
        <v>22</v>
      </c>
      <c r="D29">
        <v>13</v>
      </c>
      <c r="E29" cm="1">
        <f t="array" ref="E29">IF(INDEX('Activity Plan'!$S$34:$AW$99,
MATCH("*"&amp;TRIM($B29)&amp;"*",'Activity Plan'!$D$35:$D$100,0)+MATCH($C29,{"PLAN";"ACTUAL";"ACHIVE"},0)-1,
MATCH($D29,DAY('Activity Plan'!$S$7:$AW$7),0))=0,
"N/A",
INDEX('Activity Plan'!$S$34:$AW$99,
MATCH("*"&amp;TRIM($B29)&amp;"*",'Activity Plan'!$D$35:$D$100,0)+MATCH($C29,{"PLAN";"ACTUAL";"ACHIVE"},0)-1,
MATCH($D29,DAY('Activity Plan'!$S$7:$AW$7),0)))</f>
        <v>14</v>
      </c>
      <c r="G29" t="s">
        <v>18</v>
      </c>
      <c r="H29" t="s">
        <v>22</v>
      </c>
      <c r="I29">
        <v>13</v>
      </c>
      <c r="J29" s="68" cm="1">
        <f t="array" ref="J29">IF(INDEX('Activity Plan'!$S$34:$AW$99,
MATCH("*"&amp;TRIM($G29)&amp;"*",'Activity Plan'!$D$35:$D$100,0)+MATCH($H29,{"PLAN";"ACTUAL";"ACHIVE"},0)-1,
MATCH($I29,DAY('Activity Plan'!$S$7:$AW$7),0))=0,
"N/A",
INDEX('Activity Plan'!$S$34:$AW$99,
MATCH("*"&amp;TRIM($G29)&amp;"*",'Activity Plan'!$D$35:$D$100,0)+MATCH($H29,{"PLAN";"ACTUAL";"ACHIVE"},0)-1,
MATCH($I29,DAY('Activity Plan'!$S$7:$AW$7),0)))</f>
        <v>1</v>
      </c>
      <c r="L29" t="s">
        <v>20</v>
      </c>
      <c r="M29" t="s">
        <v>22</v>
      </c>
      <c r="N29">
        <v>13</v>
      </c>
      <c r="O29" s="71" cm="1">
        <f t="array" ref="O29">IF(INDEX('Activity Plan'!$S$34:$AW$99,
MATCH("*"&amp;TRIM($L29)&amp;"*",'Activity Plan'!$D$35:$D$100,0)+MATCH($M29,{"PLAN";"ACTUAL";"ACHIVE"},0)-1,
MATCH($N29,DAY('Activity Plan'!$S$7:$AW$7),0))=0,
"N/A",
INDEX('Activity Plan'!$S$34:$AW$99,
MATCH("*"&amp;TRIM($L29)&amp;"*",'Activity Plan'!$D$35:$D$100,0)+MATCH($M29,{"PLAN";"ACTUAL";"ACHIVE"},0)-1,
MATCH($N29,DAY('Activity Plan'!$S$7:$AW$7),0)))</f>
        <v>65</v>
      </c>
      <c r="Q29" t="s">
        <v>138</v>
      </c>
      <c r="R29" t="s">
        <v>22</v>
      </c>
      <c r="S29">
        <v>13</v>
      </c>
      <c r="T29" s="71" cm="1">
        <f t="array" ref="T29">IF(INDEX('Activity Plan'!$S$34:$AW$99,
MATCH("*"&amp;TRIM($Q29)&amp;"*",'Activity Plan'!$D$35:$D$100,0)+MATCH($R29,{"PLAN";"ACTUAL";"ACHIVE"},0)-1,
MATCH($S29,DAY('Activity Plan'!$S$7:$AW$7),0))=0,
"N/A",
INDEX('Activity Plan'!$S$34:$AW$99,
MATCH("*"&amp;TRIM($Q29)&amp;"*",'Activity Plan'!$D$35:$D$100,0)+MATCH($R29,{"PLAN";"ACTUAL";"ACHIVE"},0)-1,
MATCH($S29,DAY('Activity Plan'!$S$7:$AW$7),0)))</f>
        <v>65</v>
      </c>
      <c r="U29" s="71"/>
      <c r="V29" t="s">
        <v>19</v>
      </c>
      <c r="W29" t="s">
        <v>39</v>
      </c>
      <c r="X29" s="70">
        <v>26</v>
      </c>
      <c r="Y29" s="69" cm="1">
        <f t="array" ref="Y29">IF(INDEX('Activity Plan'!$S$34:$AW$99,
MATCH("*"&amp;TRIM($V29)&amp;"*",'Activity Plan'!$D$35:$D$100,0)+MATCH($W29,{"PLAN";"ACTUAL";"ACHIVE"},0)-1,
MATCH($X29,DAY('Activity Plan'!$S$7:$AW$7),0))=0,
"N/A",
INDEX('Activity Plan'!$S$34:$AW$99,
MATCH("*"&amp;TRIM($V29)&amp;"*",'Activity Plan'!$D$35:$D$100,0)+MATCH($W29,{"PLAN";"ACTUAL";"ACHIVE"},0)-1,
MATCH($X29,DAY('Activity Plan'!$S$7:$AW$7),0)))</f>
        <v>1</v>
      </c>
      <c r="AA29" t="s">
        <v>40</v>
      </c>
      <c r="AB29" t="s">
        <v>21</v>
      </c>
      <c r="AC29" s="70">
        <v>26</v>
      </c>
      <c r="AD29" s="77">
        <f>'Activity Plan'!AR33</f>
        <v>0.50166666666666704</v>
      </c>
      <c r="AF29" s="70" t="str">
        <f>IF(ROWS($Z$15:Z40)&gt;COUNTA(Tbl_SM[NO]),"N/A",ROWS($Z$15:Z40))</f>
        <v>N/A</v>
      </c>
      <c r="AG29" t="str">
        <f>IF(OR(Tbl_Summary[[#This Row],[NO]]="",Tbl_Summary[[#This Row],[NO]]="N/A"),"",_xlfn.XLOOKUP(Tbl_Summary[[#This Row],[NO]],Tbl_SM[NO],Tbl_SM[5 FACTOR]))</f>
        <v/>
      </c>
      <c r="AH29" t="str">
        <f>IF(OR(Tbl_Summary[[#This Row],[NO]]="",Tbl_Summary[[#This Row],[NO]]="N/A"),"",_xlfn.XLOOKUP(Tbl_Summary[[#This Row],[NO]],Tbl_SM[NO],Tbl_SM[CATEGORY]))</f>
        <v/>
      </c>
      <c r="AI29" t="str">
        <f>IF(OR(Tbl_Summary[[#This Row],[NO]]="",Tbl_Summary[[#This Row],[NO]]="N/A"),"",_xlfn.XLOOKUP(Tbl_Summary[[#This Row],[NO]],Tbl_SM[NO],Tbl_SM[PIC]))</f>
        <v/>
      </c>
      <c r="AJ29" s="72" t="str">
        <f>IF(OR(Tbl_Summary[[#This Row],[NO]]="",Tbl_Summary[[#This Row],[NO]]="N/A"),"",_xlfn.XLOOKUP(Tbl_Summary[[#This Row],[NO]],Tbl_SM[NO],Tbl_SM[PLAN START]))</f>
        <v/>
      </c>
      <c r="AK29" s="72" t="str">
        <f>IF(OR(Tbl_Summary[[#This Row],[NO]]="",Tbl_Summary[[#This Row],[NO]]="N/A"),"",_xlfn.XLOOKUP(Tbl_Summary[[#This Row],[NO]],Tbl_SM[NO],Tbl_SM[DUE DATA]))</f>
        <v/>
      </c>
      <c r="AL29" s="70" t="str">
        <f>IF(OR(Tbl_Summary[[#This Row],[NO]]="",Tbl_Summary[[#This Row],[NO]]="N/A"),"",_xlfn.XLOOKUP(Tbl_Summary[[#This Row],[NO]],Tbl_SM[NO],Tbl_SM[PLAN DURATION]))</f>
        <v/>
      </c>
      <c r="AM29" s="72" t="str">
        <f>IFERROR(IF(OR(Tbl_Summary[[#This Row],[NO]]="",Tbl_Summary[[#This Row],[NO]]="N/A"),"",_xlfn.XLOOKUP(Tbl_Summary[[#This Row],[NO]],Tbl_SM[NO],Tbl_SM[ACTUAL START])),"")</f>
        <v/>
      </c>
      <c r="AN29" s="72" t="str">
        <f>IFERROR(IF(OR(Tbl_Summary[[#This Row],[NO]]="",Tbl_Summary[[#This Row],[NO]]="N/A"),"N/A",
IF(_xlfn.XLOOKUP(Tbl_Summary[[#This Row],[NO]],Tbl_SM[NO],Tbl_SM[ACTUAL FINISH])=0,"N/A",
_xlfn.XLOOKUP(Tbl_Summary[[#This Row],[NO]],Tbl_SM[NO],Tbl_SM[ACTUAL FINISH]))),"N/A")</f>
        <v>N/A</v>
      </c>
      <c r="AO29" s="73" t="str">
        <f>IFERROR(IF(OR(Tbl_Summary[[#This Row],[NO]]="",Tbl_Summary[[#This Row],[NO]]="N/A"),"",_xlfn.XLOOKUP(Tbl_Summary[[#This Row],[NO]],Tbl_SM[NO],Tbl_SM[ACTUAL DURATION])),"")</f>
        <v/>
      </c>
      <c r="AP29" s="72" t="str">
        <f>IFERROR(IF(OR(Tbl_Summary[[#This Row],[NO]]="",Tbl_Summary[[#This Row],[NO]]="N/A"),"",_xlfn.XLOOKUP(Tbl_Summary[[#This Row],[NO]],Tbl_SM[NO],Tbl_SM[STATUS])),"")</f>
        <v/>
      </c>
      <c r="AQ29" s="72" t="str">
        <f>IFERROR(IF(OR(Tbl_Summary[[#This Row],[NO]]="",Tbl_Summary[[#This Row],[NO]]="N/A"),"",_xlfn.XLOOKUP(Tbl_Summary[[#This Row],[NO]],Tbl_SM[NO],Tbl_SM[DUE STATUS])),"")</f>
        <v/>
      </c>
      <c r="AR29" s="80" t="str">
        <f>IFERROR(IF(OR(Tbl_Summary[[#This Row],[NO]]="",Tbl_Summary[[#This Row],[NO]]="N/A"),"",_xlfn.XLOOKUP(Tbl_Summary[[#This Row],[NO]],Tbl_SM[NO],Tbl_SM[COMPLETION])),"")</f>
        <v/>
      </c>
      <c r="AS29" s="70" t="str">
        <f>IFERROR(IF(OR(Tbl_Summary[[#This Row],[NO]]="",Tbl_Summary[[#This Row],[NO]]="N/A"),"",_xlfn.XLOOKUP(Tbl_Summary[[#This Row],[NO]],Tbl_SM[NO],Tbl_SM[COMPLETION_FLAG])),"")</f>
        <v/>
      </c>
      <c r="AU29" s="70">
        <f>IF(ROWS($Z$15:Z35)&gt;COUNTA(Tbl_SM[NO]),"N/A",ROWS($Z$15:Z35))</f>
        <v>21</v>
      </c>
      <c r="AV29" s="70" t="str">
        <f>IF(OR(Table8[[#This Row],[NO]]="",Table8[[#This Row],[NO]]="N/A"),"",_xlfn.XLOOKUP(Table8[[#This Row],[NO]],Tbl_SM[NO],Tbl_SM[5 FACTOR]))</f>
        <v>MEASUREMENT</v>
      </c>
      <c r="AW29" t="str">
        <f>IF(OR(Table8[[#This Row],[NO]]="",Table8[[#This Row],[NO]]="N/A"),"",_xlfn.XLOOKUP(Table8[[#This Row],[NO]],Tbl_SM[NO],Tbl_SM[CATEGORY]))</f>
        <v>Long Term / Development</v>
      </c>
      <c r="AX29" s="77">
        <f>'Activity Plan'!GU28</f>
        <v>1</v>
      </c>
      <c r="AY29" s="77">
        <f>'Activity Plan'!GV28</f>
        <v>1</v>
      </c>
      <c r="AZ29" s="77">
        <f>'Activity Plan'!GW28</f>
        <v>1</v>
      </c>
      <c r="BA29" s="77">
        <f>'Activity Plan'!GX28</f>
        <v>1</v>
      </c>
      <c r="BB29" s="77">
        <f>'Activity Plan'!GY28</f>
        <v>1</v>
      </c>
      <c r="BC29" s="77">
        <f>'Activity Plan'!GZ28</f>
        <v>1</v>
      </c>
      <c r="BD29" s="77">
        <f>'Activity Plan'!HA28</f>
        <v>1</v>
      </c>
      <c r="BE29" s="77">
        <f>'Activity Plan'!HB28</f>
        <v>1</v>
      </c>
      <c r="BF29" s="77">
        <f>'Activity Plan'!HC28</f>
        <v>1</v>
      </c>
      <c r="BG29" s="77">
        <f>'Activity Plan'!HD28</f>
        <v>1</v>
      </c>
      <c r="BH29" s="77">
        <f>'Activity Plan'!HE28</f>
        <v>1</v>
      </c>
      <c r="BI29" s="77">
        <f>'Activity Plan'!HF28</f>
        <v>1</v>
      </c>
      <c r="BJ29" s="77">
        <f>'Activity Plan'!HG28</f>
        <v>1</v>
      </c>
      <c r="BK29" s="77">
        <f>'Activity Plan'!HH28</f>
        <v>1</v>
      </c>
      <c r="BL29" s="77">
        <f>'Activity Plan'!HI28</f>
        <v>1</v>
      </c>
      <c r="BM29" s="77">
        <f>'Activity Plan'!HJ28</f>
        <v>1</v>
      </c>
      <c r="BN29" s="77">
        <f>'Activity Plan'!HK28</f>
        <v>1</v>
      </c>
      <c r="BO29" s="77">
        <f>'Activity Plan'!HL28</f>
        <v>1</v>
      </c>
      <c r="BP29" s="77">
        <f>'Activity Plan'!HM28</f>
        <v>1</v>
      </c>
      <c r="BQ29" s="77">
        <f>'Activity Plan'!HN28</f>
        <v>1</v>
      </c>
      <c r="BR29" s="77">
        <f>'Activity Plan'!HO28</f>
        <v>1</v>
      </c>
      <c r="BS29" s="77">
        <f>'Activity Plan'!HP28</f>
        <v>1</v>
      </c>
      <c r="BT29" s="77">
        <f>'Activity Plan'!HQ28</f>
        <v>1</v>
      </c>
      <c r="BU29" s="77">
        <f>'Activity Plan'!HR28</f>
        <v>1</v>
      </c>
      <c r="BV29" s="77">
        <f>'Activity Plan'!HS28</f>
        <v>1</v>
      </c>
      <c r="BW29" s="77">
        <f>'Activity Plan'!HT28</f>
        <v>1</v>
      </c>
      <c r="BX29" s="77">
        <f>'Activity Plan'!HU28</f>
        <v>1</v>
      </c>
      <c r="BY29" s="77">
        <f>'Activity Plan'!HV28</f>
        <v>1</v>
      </c>
      <c r="BZ29" s="77">
        <f>'Activity Plan'!HW28</f>
        <v>1</v>
      </c>
      <c r="CA29" s="77">
        <f>'Activity Plan'!HX28</f>
        <v>1</v>
      </c>
      <c r="CB29" s="77">
        <f>'Activity Plan'!HY28</f>
        <v>1</v>
      </c>
      <c r="CF29">
        <v>1</v>
      </c>
      <c r="CG29" t="s">
        <v>30</v>
      </c>
      <c r="CH29" t="s">
        <v>2</v>
      </c>
      <c r="CI29" t="s">
        <v>75</v>
      </c>
      <c r="CJ29" s="68">
        <v>1</v>
      </c>
      <c r="CL29" t="s">
        <v>150</v>
      </c>
      <c r="CM29" t="s">
        <v>19</v>
      </c>
      <c r="CN29" t="s">
        <v>22</v>
      </c>
      <c r="CO29">
        <v>13</v>
      </c>
      <c r="CP29" cm="1">
        <f t="array" ref="CP29">IF(INDEX('Activity Plan'!$S$34:$AW$99,
MATCH("*"&amp;TRIM($B29)&amp;"*",'Activity Plan'!$D$35:$D$100,0)+MATCH($C29,{"PLAN";"ACTUAL";"ACHIVE"},0)-1,
MATCH($D29,DAY('Activity Plan'!$S$7:$AW$7),0))=0,
"N/A",
INDEX('Activity Plan'!$S$34:$AW$99,
MATCH("*"&amp;TRIM($B29)&amp;"*",'Activity Plan'!$D$35:$D$100,0)+MATCH($C29,{"PLAN";"ACTUAL";"ACHIVE"},0)-1,
MATCH($D29,DAY('Activity Plan'!$S$7:$AW$7),0)))</f>
        <v>14</v>
      </c>
      <c r="CU29">
        <f>'Activity Plan'!AE7</f>
        <v>46186</v>
      </c>
      <c r="CV29" t="s">
        <v>22</v>
      </c>
      <c r="CW29" s="194">
        <f>IFERROR(IF('Activity Plan'!BJ33=0,"N/A",'Activity Plan'!BJ33),"N/A")</f>
        <v>0.81</v>
      </c>
      <c r="CZ29">
        <f t="shared" si="0"/>
        <v>26</v>
      </c>
      <c r="DA29" s="199">
        <f>SUMIFS(TBL_ACHIVEMENT[VALUE],
        TBL_ACHIVEMENT[DATE],TBL_ACHIVEMENT[[#This Row],[DATE]],
        TBL_ACHIVEMENT[CATEGORY],"PLAN")</f>
        <v>0.50166666666666704</v>
      </c>
      <c r="DB29" s="144">
        <f>SUMIFS(TBL_ACHIVEMENT[VALUE],
        TBL_ACHIVEMENT[DATE],TBL_ACHIVEMENT[[#This Row],[DATE]],
        TBL_ACHIVEMENT[CATEGORY],"ACTUAL")</f>
        <v>1</v>
      </c>
      <c r="DC29" s="198">
        <f>SUMIFS(TBL_DOZER_READINESS[VALUE],
        TBL_DOZER_READINESS[DATE],TBL_DOZER_READINESS[[#This Row],[DATE]],
        TBL_DOZER_READINESS[CATEGORY],"ACTUAL")</f>
        <v>14</v>
      </c>
      <c r="DD29" s="200">
        <f>SUMIFS(TBL_PA_DOZER[VALUE],
TBL_PA_DOZER[DATE],TBL_PA_DOZER[[#This Row],[DATE]],
TBL_PA_DOZER[CATEGORY],"ACTUAL")</f>
        <v>1</v>
      </c>
      <c r="DE29">
        <f>SUMIFS(Tbl_MTBF[VALUE],
Tbl_MTBF[DATE],Tbl_MTBF[[#This Row],[DATE]],
Tbl_MTBF[CATEGORY],"ACTUAL")</f>
        <v>65</v>
      </c>
      <c r="DF29">
        <f>SUMIFS(Tbl_MTTR[VALUE],
Tbl_MTTR[DATE],Tbl_MTTR[[#This Row],[DATE]],
Tbl_MTTR[CATEGORY],"ACTUAL")</f>
        <v>65</v>
      </c>
    </row>
    <row r="30" spans="2:110" x14ac:dyDescent="0.35">
      <c r="B30" t="s">
        <v>19</v>
      </c>
      <c r="C30" t="s">
        <v>21</v>
      </c>
      <c r="D30">
        <v>14</v>
      </c>
      <c r="E30" cm="1">
        <f t="array" ref="E30">IF(INDEX('Activity Plan'!$S$34:$AW$99,
MATCH("*"&amp;TRIM($B30)&amp;"*",'Activity Plan'!$D$35:$D$100,0)+MATCH($C30,{"PLAN";"ACTUAL";"ACHIVE"},0)-1,
MATCH($D30,DAY('Activity Plan'!$S$7:$AW$7),0))=0,
"N/A",
INDEX('Activity Plan'!$S$34:$AW$99,
MATCH("*"&amp;TRIM($B30)&amp;"*",'Activity Plan'!$D$35:$D$100,0)+MATCH($C30,{"PLAN";"ACTUAL";"ACHIVE"},0)-1,
MATCH($D30,DAY('Activity Plan'!$S$7:$AW$7),0)))</f>
        <v>16</v>
      </c>
      <c r="G30" t="s">
        <v>18</v>
      </c>
      <c r="H30" t="s">
        <v>21</v>
      </c>
      <c r="I30">
        <v>14</v>
      </c>
      <c r="J30" s="68" cm="1">
        <f t="array" ref="J30">IF(INDEX('Activity Plan'!$S$34:$AW$99,
MATCH("*"&amp;TRIM($G30)&amp;"*",'Activity Plan'!$D$35:$D$100,0)+MATCH($H30,{"PLAN";"ACTUAL";"ACHIVE"},0)-1,
MATCH($I30,DAY('Activity Plan'!$S$7:$AW$7),0))=0,
"N/A",
INDEX('Activity Plan'!$S$34:$AW$99,
MATCH("*"&amp;TRIM($G30)&amp;"*",'Activity Plan'!$D$35:$D$100,0)+MATCH($H30,{"PLAN";"ACTUAL";"ACHIVE"},0)-1,
MATCH($I30,DAY('Activity Plan'!$S$7:$AW$7),0)))</f>
        <v>0.9</v>
      </c>
      <c r="L30" t="s">
        <v>20</v>
      </c>
      <c r="M30" t="s">
        <v>21</v>
      </c>
      <c r="N30">
        <v>14</v>
      </c>
      <c r="O30" s="71" cm="1">
        <f t="array" ref="O30">IF(INDEX('Activity Plan'!$S$34:$AW$99,
MATCH("*"&amp;TRIM($L30)&amp;"*",'Activity Plan'!$D$35:$D$100,0)+MATCH($M30,{"PLAN";"ACTUAL";"ACHIVE"},0)-1,
MATCH($N30,DAY('Activity Plan'!$S$7:$AW$7),0))=0,
"N/A",
INDEX('Activity Plan'!$S$34:$AW$99,
MATCH("*"&amp;TRIM($L30)&amp;"*",'Activity Plan'!$D$35:$D$100,0)+MATCH($M30,{"PLAN";"ACTUAL";"ACHIVE"},0)-1,
MATCH($N30,DAY('Activity Plan'!$S$7:$AW$7),0)))</f>
        <v>70</v>
      </c>
      <c r="Q30" t="s">
        <v>138</v>
      </c>
      <c r="R30" t="s">
        <v>21</v>
      </c>
      <c r="S30">
        <v>14</v>
      </c>
      <c r="T30" s="71" cm="1">
        <f t="array" ref="T30">IF(INDEX('Activity Plan'!$S$34:$AW$99,
MATCH("*"&amp;TRIM($Q30)&amp;"*",'Activity Plan'!$D$35:$D$100,0)+MATCH($R30,{"PLAN";"ACTUAL";"ACHIVE"},0)-1,
MATCH($S30,DAY('Activity Plan'!$S$7:$AW$7),0))=0,
"N/A",
INDEX('Activity Plan'!$S$34:$AW$99,
MATCH("*"&amp;TRIM($Q30)&amp;"*",'Activity Plan'!$D$35:$D$100,0)+MATCH($R30,{"PLAN";"ACTUAL";"ACHIVE"},0)-1,
MATCH($S30,DAY('Activity Plan'!$S$7:$AW$7),0)))</f>
        <v>80</v>
      </c>
      <c r="U30" s="71"/>
      <c r="V30" t="s">
        <v>19</v>
      </c>
      <c r="W30" t="s">
        <v>39</v>
      </c>
      <c r="X30" s="70">
        <v>27</v>
      </c>
      <c r="Y30" s="69" cm="1">
        <f t="array" ref="Y30">IF(INDEX('Activity Plan'!$S$34:$AW$99,
MATCH("*"&amp;TRIM($V30)&amp;"*",'Activity Plan'!$D$35:$D$100,0)+MATCH($W30,{"PLAN";"ACTUAL";"ACHIVE"},0)-1,
MATCH($X30,DAY('Activity Plan'!$S$7:$AW$7),0))=0,
"N/A",
INDEX('Activity Plan'!$S$34:$AW$99,
MATCH("*"&amp;TRIM($V30)&amp;"*",'Activity Plan'!$D$35:$D$100,0)+MATCH($W30,{"PLAN";"ACTUAL";"ACHIVE"},0)-1,
MATCH($X30,DAY('Activity Plan'!$S$7:$AW$7),0)))</f>
        <v>0.875</v>
      </c>
      <c r="AA30" t="s">
        <v>40</v>
      </c>
      <c r="AB30" t="s">
        <v>21</v>
      </c>
      <c r="AC30" s="70">
        <v>27</v>
      </c>
      <c r="AD30" s="77">
        <f>'Activity Plan'!AS33</f>
        <v>0.50166666666666704</v>
      </c>
      <c r="AF30" s="70" t="str">
        <f>IF(ROWS($Z$15:Z41)&gt;COUNTA(Tbl_SM[NO]),"N/A",ROWS($Z$15:Z41))</f>
        <v>N/A</v>
      </c>
      <c r="AG30" t="str">
        <f>IF(OR(Tbl_Summary[[#This Row],[NO]]="",Tbl_Summary[[#This Row],[NO]]="N/A"),"",_xlfn.XLOOKUP(Tbl_Summary[[#This Row],[NO]],Tbl_SM[NO],Tbl_SM[5 FACTOR]))</f>
        <v/>
      </c>
      <c r="AH30" t="str">
        <f>IF(OR(Tbl_Summary[[#This Row],[NO]]="",Tbl_Summary[[#This Row],[NO]]="N/A"),"",_xlfn.XLOOKUP(Tbl_Summary[[#This Row],[NO]],Tbl_SM[NO],Tbl_SM[CATEGORY]))</f>
        <v/>
      </c>
      <c r="AI30" t="str">
        <f>IF(OR(Tbl_Summary[[#This Row],[NO]]="",Tbl_Summary[[#This Row],[NO]]="N/A"),"",_xlfn.XLOOKUP(Tbl_Summary[[#This Row],[NO]],Tbl_SM[NO],Tbl_SM[PIC]))</f>
        <v/>
      </c>
      <c r="AJ30" s="72" t="str">
        <f>IF(OR(Tbl_Summary[[#This Row],[NO]]="",Tbl_Summary[[#This Row],[NO]]="N/A"),"",_xlfn.XLOOKUP(Tbl_Summary[[#This Row],[NO]],Tbl_SM[NO],Tbl_SM[PLAN START]))</f>
        <v/>
      </c>
      <c r="AK30" s="72" t="str">
        <f>IF(OR(Tbl_Summary[[#This Row],[NO]]="",Tbl_Summary[[#This Row],[NO]]="N/A"),"",_xlfn.XLOOKUP(Tbl_Summary[[#This Row],[NO]],Tbl_SM[NO],Tbl_SM[DUE DATA]))</f>
        <v/>
      </c>
      <c r="AL30" s="70" t="str">
        <f>IF(OR(Tbl_Summary[[#This Row],[NO]]="",Tbl_Summary[[#This Row],[NO]]="N/A"),"",_xlfn.XLOOKUP(Tbl_Summary[[#This Row],[NO]],Tbl_SM[NO],Tbl_SM[PLAN DURATION]))</f>
        <v/>
      </c>
      <c r="AM30" s="72" t="str">
        <f>IFERROR(IF(OR(Tbl_Summary[[#This Row],[NO]]="",Tbl_Summary[[#This Row],[NO]]="N/A"),"",_xlfn.XLOOKUP(Tbl_Summary[[#This Row],[NO]],Tbl_SM[NO],Tbl_SM[ACTUAL START])),"")</f>
        <v/>
      </c>
      <c r="AN30" s="72" t="str">
        <f>IFERROR(IF(OR(Tbl_Summary[[#This Row],[NO]]="",Tbl_Summary[[#This Row],[NO]]="N/A"),"N/A",
IF(_xlfn.XLOOKUP(Tbl_Summary[[#This Row],[NO]],Tbl_SM[NO],Tbl_SM[ACTUAL FINISH])=0,"N/A",
_xlfn.XLOOKUP(Tbl_Summary[[#This Row],[NO]],Tbl_SM[NO],Tbl_SM[ACTUAL FINISH]))),"N/A")</f>
        <v>N/A</v>
      </c>
      <c r="AO30" s="73" t="str">
        <f>IFERROR(IF(OR(Tbl_Summary[[#This Row],[NO]]="",Tbl_Summary[[#This Row],[NO]]="N/A"),"",_xlfn.XLOOKUP(Tbl_Summary[[#This Row],[NO]],Tbl_SM[NO],Tbl_SM[ACTUAL DURATION])),"")</f>
        <v/>
      </c>
      <c r="AP30" s="72" t="str">
        <f>IFERROR(IF(OR(Tbl_Summary[[#This Row],[NO]]="",Tbl_Summary[[#This Row],[NO]]="N/A"),"",_xlfn.XLOOKUP(Tbl_Summary[[#This Row],[NO]],Tbl_SM[NO],Tbl_SM[STATUS])),"")</f>
        <v/>
      </c>
      <c r="AQ30" s="72" t="str">
        <f>IFERROR(IF(OR(Tbl_Summary[[#This Row],[NO]]="",Tbl_Summary[[#This Row],[NO]]="N/A"),"",_xlfn.XLOOKUP(Tbl_Summary[[#This Row],[NO]],Tbl_SM[NO],Tbl_SM[DUE STATUS])),"")</f>
        <v/>
      </c>
      <c r="AR30" s="80" t="str">
        <f>IFERROR(IF(OR(Tbl_Summary[[#This Row],[NO]]="",Tbl_Summary[[#This Row],[NO]]="N/A"),"",_xlfn.XLOOKUP(Tbl_Summary[[#This Row],[NO]],Tbl_SM[NO],Tbl_SM[COMPLETION])),"")</f>
        <v/>
      </c>
      <c r="AS30" s="70" t="str">
        <f>IFERROR(IF(OR(Tbl_Summary[[#This Row],[NO]]="",Tbl_Summary[[#This Row],[NO]]="N/A"),"",_xlfn.XLOOKUP(Tbl_Summary[[#This Row],[NO]],Tbl_SM[NO],Tbl_SM[COMPLETION_FLAG])),"")</f>
        <v/>
      </c>
      <c r="AU30" s="70">
        <f>IF(ROWS($Z$15:Z36)&gt;COUNTA(Tbl_SM[NO]),"N/A",ROWS($Z$15:Z36))</f>
        <v>22</v>
      </c>
      <c r="AV30" s="70" t="str">
        <f>IF(OR(Table8[[#This Row],[NO]]="",Table8[[#This Row],[NO]]="N/A"),"",_xlfn.XLOOKUP(Table8[[#This Row],[NO]],Tbl_SM[NO],Tbl_SM[5 FACTOR]))</f>
        <v>ENVIRONMENT</v>
      </c>
      <c r="AW30" t="str">
        <f>IF(OR(Table8[[#This Row],[NO]]="",Table8[[#This Row],[NO]]="N/A"),"",_xlfn.XLOOKUP(Table8[[#This Row],[NO]],Tbl_SM[NO],Tbl_SM[CATEGORY]))</f>
        <v>Long Term / Development</v>
      </c>
      <c r="AX30" s="77">
        <f>'Activity Plan'!GU29</f>
        <v>1</v>
      </c>
      <c r="AY30" s="77">
        <f>'Activity Plan'!GV29</f>
        <v>1</v>
      </c>
      <c r="AZ30" s="77">
        <f>'Activity Plan'!GW29</f>
        <v>1</v>
      </c>
      <c r="BA30" s="77">
        <f>'Activity Plan'!GX29</f>
        <v>1</v>
      </c>
      <c r="BB30" s="77">
        <f>'Activity Plan'!GY29</f>
        <v>1</v>
      </c>
      <c r="BC30" s="77">
        <f>'Activity Plan'!GZ29</f>
        <v>1</v>
      </c>
      <c r="BD30" s="77">
        <f>'Activity Plan'!HA29</f>
        <v>1</v>
      </c>
      <c r="BE30" s="77">
        <f>'Activity Plan'!HB29</f>
        <v>1</v>
      </c>
      <c r="BF30" s="77">
        <f>'Activity Plan'!HC29</f>
        <v>1</v>
      </c>
      <c r="BG30" s="77">
        <f>'Activity Plan'!HD29</f>
        <v>1</v>
      </c>
      <c r="BH30" s="77">
        <f>'Activity Plan'!HE29</f>
        <v>1</v>
      </c>
      <c r="BI30" s="77">
        <f>'Activity Plan'!HF29</f>
        <v>1</v>
      </c>
      <c r="BJ30" s="77">
        <f>'Activity Plan'!HG29</f>
        <v>1</v>
      </c>
      <c r="BK30" s="77">
        <f>'Activity Plan'!HH29</f>
        <v>1</v>
      </c>
      <c r="BL30" s="77">
        <f>'Activity Plan'!HI29</f>
        <v>1</v>
      </c>
      <c r="BM30" s="77">
        <f>'Activity Plan'!HJ29</f>
        <v>1</v>
      </c>
      <c r="BN30" s="77">
        <f>'Activity Plan'!HK29</f>
        <v>1</v>
      </c>
      <c r="BO30" s="77">
        <f>'Activity Plan'!HL29</f>
        <v>1</v>
      </c>
      <c r="BP30" s="77">
        <f>'Activity Plan'!HM29</f>
        <v>1</v>
      </c>
      <c r="BQ30" s="77">
        <f>'Activity Plan'!HN29</f>
        <v>1</v>
      </c>
      <c r="BR30" s="77">
        <f>'Activity Plan'!HO29</f>
        <v>1</v>
      </c>
      <c r="BS30" s="77">
        <f>'Activity Plan'!HP29</f>
        <v>1</v>
      </c>
      <c r="BT30" s="77">
        <f>'Activity Plan'!HQ29</f>
        <v>1</v>
      </c>
      <c r="BU30" s="77">
        <f>'Activity Plan'!HR29</f>
        <v>1</v>
      </c>
      <c r="BV30" s="77">
        <f>'Activity Plan'!HS29</f>
        <v>1</v>
      </c>
      <c r="BW30" s="77">
        <f>'Activity Plan'!HT29</f>
        <v>1</v>
      </c>
      <c r="BX30" s="77">
        <f>'Activity Plan'!HU29</f>
        <v>1</v>
      </c>
      <c r="BY30" s="77">
        <f>'Activity Plan'!HV29</f>
        <v>1</v>
      </c>
      <c r="BZ30" s="77">
        <f>'Activity Plan'!HW29</f>
        <v>1</v>
      </c>
      <c r="CA30" s="77">
        <f>'Activity Plan'!HX29</f>
        <v>1</v>
      </c>
      <c r="CB30" s="77">
        <f>'Activity Plan'!HY29</f>
        <v>1</v>
      </c>
      <c r="CF30">
        <v>1</v>
      </c>
      <c r="CG30" t="s">
        <v>30</v>
      </c>
      <c r="CH30" t="s">
        <v>2</v>
      </c>
      <c r="CI30" t="s">
        <v>76</v>
      </c>
      <c r="CJ30" s="68">
        <v>1</v>
      </c>
      <c r="CL30" t="s">
        <v>150</v>
      </c>
      <c r="CM30" t="s">
        <v>19</v>
      </c>
      <c r="CN30" t="s">
        <v>21</v>
      </c>
      <c r="CO30">
        <v>14</v>
      </c>
      <c r="CP30" cm="1">
        <f t="array" ref="CP30">IF(INDEX('Activity Plan'!$S$34:$AW$99,
MATCH("*"&amp;TRIM($B30)&amp;"*",'Activity Plan'!$D$35:$D$100,0)+MATCH($C30,{"PLAN";"ACTUAL";"ACHIVE"},0)-1,
MATCH($D30,DAY('Activity Plan'!$S$7:$AW$7),0))=0,
"N/A",
INDEX('Activity Plan'!$S$34:$AW$99,
MATCH("*"&amp;TRIM($B30)&amp;"*",'Activity Plan'!$D$35:$D$100,0)+MATCH($C30,{"PLAN";"ACTUAL";"ACHIVE"},0)-1,
MATCH($D30,DAY('Activity Plan'!$S$7:$AW$7),0)))</f>
        <v>16</v>
      </c>
      <c r="CU30">
        <f>'Activity Plan'!AF7</f>
        <v>46187</v>
      </c>
      <c r="CV30" t="s">
        <v>21</v>
      </c>
      <c r="CW30" s="194">
        <f>IFERROR(IF('Activity Plan'!AF33=0,"N/A",'Activity Plan'!AF33),"N/A")</f>
        <v>0.37666666666666698</v>
      </c>
      <c r="CZ30">
        <f t="shared" si="0"/>
        <v>27</v>
      </c>
      <c r="DA30" s="199">
        <f>SUMIFS(TBL_ACHIVEMENT[VALUE],
        TBL_ACHIVEMENT[DATE],TBL_ACHIVEMENT[[#This Row],[DATE]],
        TBL_ACHIVEMENT[CATEGORY],"PLAN")</f>
        <v>0.50166666666666704</v>
      </c>
      <c r="DB30" s="144">
        <f>SUMIFS(TBL_ACHIVEMENT[VALUE],
        TBL_ACHIVEMENT[DATE],TBL_ACHIVEMENT[[#This Row],[DATE]],
        TBL_ACHIVEMENT[CATEGORY],"ACTUAL")</f>
        <v>1</v>
      </c>
      <c r="DC30" s="198">
        <f>SUMIFS(TBL_DOZER_READINESS[VALUE],
        TBL_DOZER_READINESS[DATE],TBL_DOZER_READINESS[[#This Row],[DATE]],
        TBL_DOZER_READINESS[CATEGORY],"ACTUAL")</f>
        <v>16</v>
      </c>
      <c r="DD30" s="200">
        <f>SUMIFS(TBL_PA_DOZER[VALUE],
TBL_PA_DOZER[DATE],TBL_PA_DOZER[[#This Row],[DATE]],
TBL_PA_DOZER[CATEGORY],"ACTUAL")</f>
        <v>0.9</v>
      </c>
      <c r="DE30">
        <f>SUMIFS(Tbl_MTBF[VALUE],
Tbl_MTBF[DATE],Tbl_MTBF[[#This Row],[DATE]],
Tbl_MTBF[CATEGORY],"ACTUAL")</f>
        <v>73</v>
      </c>
      <c r="DF30">
        <f>SUMIFS(Tbl_MTTR[VALUE],
Tbl_MTTR[DATE],Tbl_MTTR[[#This Row],[DATE]],
Tbl_MTTR[CATEGORY],"ACTUAL")</f>
        <v>73</v>
      </c>
    </row>
    <row r="31" spans="2:110" x14ac:dyDescent="0.35">
      <c r="B31" t="s">
        <v>19</v>
      </c>
      <c r="C31" t="s">
        <v>22</v>
      </c>
      <c r="D31">
        <v>14</v>
      </c>
      <c r="E31" cm="1">
        <f t="array" ref="E31">IF(INDEX('Activity Plan'!$S$34:$AW$99,
MATCH("*"&amp;TRIM($B31)&amp;"*",'Activity Plan'!$D$35:$D$100,0)+MATCH($C31,{"PLAN";"ACTUAL";"ACHIVE"},0)-1,
MATCH($D31,DAY('Activity Plan'!$S$7:$AW$7),0))=0,
"N/A",
INDEX('Activity Plan'!$S$34:$AW$99,
MATCH("*"&amp;TRIM($B31)&amp;"*",'Activity Plan'!$D$35:$D$100,0)+MATCH($C31,{"PLAN";"ACTUAL";"ACHIVE"},0)-1,
MATCH($D31,DAY('Activity Plan'!$S$7:$AW$7),0)))</f>
        <v>16</v>
      </c>
      <c r="G31" t="s">
        <v>18</v>
      </c>
      <c r="H31" t="s">
        <v>22</v>
      </c>
      <c r="I31">
        <v>14</v>
      </c>
      <c r="J31" s="68" cm="1">
        <f t="array" ref="J31">IF(INDEX('Activity Plan'!$S$34:$AW$99,
MATCH("*"&amp;TRIM($G31)&amp;"*",'Activity Plan'!$D$35:$D$100,0)+MATCH($H31,{"PLAN";"ACTUAL";"ACHIVE"},0)-1,
MATCH($I31,DAY('Activity Plan'!$S$7:$AW$7),0))=0,
"N/A",
INDEX('Activity Plan'!$S$34:$AW$99,
MATCH("*"&amp;TRIM($G31)&amp;"*",'Activity Plan'!$D$35:$D$100,0)+MATCH($H31,{"PLAN";"ACTUAL";"ACHIVE"},0)-1,
MATCH($I31,DAY('Activity Plan'!$S$7:$AW$7),0)))</f>
        <v>0.9</v>
      </c>
      <c r="L31" t="s">
        <v>20</v>
      </c>
      <c r="M31" t="s">
        <v>22</v>
      </c>
      <c r="N31">
        <v>14</v>
      </c>
      <c r="O31" s="71" cm="1">
        <f t="array" ref="O31">IF(INDEX('Activity Plan'!$S$34:$AW$99,
MATCH("*"&amp;TRIM($L31)&amp;"*",'Activity Plan'!$D$35:$D$100,0)+MATCH($M31,{"PLAN";"ACTUAL";"ACHIVE"},0)-1,
MATCH($N31,DAY('Activity Plan'!$S$7:$AW$7),0))=0,
"N/A",
INDEX('Activity Plan'!$S$34:$AW$99,
MATCH("*"&amp;TRIM($L31)&amp;"*",'Activity Plan'!$D$35:$D$100,0)+MATCH($M31,{"PLAN";"ACTUAL";"ACHIVE"},0)-1,
MATCH($N31,DAY('Activity Plan'!$S$7:$AW$7),0)))</f>
        <v>73</v>
      </c>
      <c r="Q31" t="s">
        <v>138</v>
      </c>
      <c r="R31" t="s">
        <v>22</v>
      </c>
      <c r="S31">
        <v>14</v>
      </c>
      <c r="T31" s="71" cm="1">
        <f t="array" ref="T31">IF(INDEX('Activity Plan'!$S$34:$AW$99,
MATCH("*"&amp;TRIM($Q31)&amp;"*",'Activity Plan'!$D$35:$D$100,0)+MATCH($R31,{"PLAN";"ACTUAL";"ACHIVE"},0)-1,
MATCH($S31,DAY('Activity Plan'!$S$7:$AW$7),0))=0,
"N/A",
INDEX('Activity Plan'!$S$34:$AW$99,
MATCH("*"&amp;TRIM($Q31)&amp;"*",'Activity Plan'!$D$35:$D$100,0)+MATCH($R31,{"PLAN";"ACTUAL";"ACHIVE"},0)-1,
MATCH($S31,DAY('Activity Plan'!$S$7:$AW$7),0)))</f>
        <v>73</v>
      </c>
      <c r="U31" s="71"/>
      <c r="V31" t="s">
        <v>19</v>
      </c>
      <c r="W31" t="s">
        <v>39</v>
      </c>
      <c r="X31" s="70">
        <v>28</v>
      </c>
      <c r="Y31" s="69" cm="1">
        <f t="array" ref="Y31">IF(INDEX('Activity Plan'!$S$34:$AW$99,
MATCH("*"&amp;TRIM($V31)&amp;"*",'Activity Plan'!$D$35:$D$100,0)+MATCH($W31,{"PLAN";"ACTUAL";"ACHIVE"},0)-1,
MATCH($X31,DAY('Activity Plan'!$S$7:$AW$7),0))=0,
"N/A",
INDEX('Activity Plan'!$S$34:$AW$99,
MATCH("*"&amp;TRIM($V31)&amp;"*",'Activity Plan'!$D$35:$D$100,0)+MATCH($W31,{"PLAN";"ACTUAL";"ACHIVE"},0)-1,
MATCH($X31,DAY('Activity Plan'!$S$7:$AW$7),0)))</f>
        <v>1</v>
      </c>
      <c r="AA31" t="s">
        <v>40</v>
      </c>
      <c r="AB31" t="s">
        <v>21</v>
      </c>
      <c r="AC31" s="70">
        <v>28</v>
      </c>
      <c r="AD31" s="77">
        <f>'Activity Plan'!AT33</f>
        <v>0.50166666666666704</v>
      </c>
      <c r="AF31" s="70" t="str">
        <f>IF(ROWS($Z$15:Z42)&gt;COUNTA(Tbl_SM[NO]),"N/A",ROWS($Z$15:Z42))</f>
        <v>N/A</v>
      </c>
      <c r="AG31" t="str">
        <f>IF(OR(Tbl_Summary[[#This Row],[NO]]="",Tbl_Summary[[#This Row],[NO]]="N/A"),"",_xlfn.XLOOKUP(Tbl_Summary[[#This Row],[NO]],Tbl_SM[NO],Tbl_SM[5 FACTOR]))</f>
        <v/>
      </c>
      <c r="AH31" t="str">
        <f>IF(OR(Tbl_Summary[[#This Row],[NO]]="",Tbl_Summary[[#This Row],[NO]]="N/A"),"",_xlfn.XLOOKUP(Tbl_Summary[[#This Row],[NO]],Tbl_SM[NO],Tbl_SM[CATEGORY]))</f>
        <v/>
      </c>
      <c r="AI31" t="str">
        <f>IF(OR(Tbl_Summary[[#This Row],[NO]]="",Tbl_Summary[[#This Row],[NO]]="N/A"),"",_xlfn.XLOOKUP(Tbl_Summary[[#This Row],[NO]],Tbl_SM[NO],Tbl_SM[PIC]))</f>
        <v/>
      </c>
      <c r="AJ31" s="72" t="str">
        <f>IF(OR(Tbl_Summary[[#This Row],[NO]]="",Tbl_Summary[[#This Row],[NO]]="N/A"),"",_xlfn.XLOOKUP(Tbl_Summary[[#This Row],[NO]],Tbl_SM[NO],Tbl_SM[PLAN START]))</f>
        <v/>
      </c>
      <c r="AK31" s="72" t="str">
        <f>IF(OR(Tbl_Summary[[#This Row],[NO]]="",Tbl_Summary[[#This Row],[NO]]="N/A"),"",_xlfn.XLOOKUP(Tbl_Summary[[#This Row],[NO]],Tbl_SM[NO],Tbl_SM[DUE DATA]))</f>
        <v/>
      </c>
      <c r="AL31" s="70" t="str">
        <f>IF(OR(Tbl_Summary[[#This Row],[NO]]="",Tbl_Summary[[#This Row],[NO]]="N/A"),"",_xlfn.XLOOKUP(Tbl_Summary[[#This Row],[NO]],Tbl_SM[NO],Tbl_SM[PLAN DURATION]))</f>
        <v/>
      </c>
      <c r="AM31" s="72" t="str">
        <f>IFERROR(IF(OR(Tbl_Summary[[#This Row],[NO]]="",Tbl_Summary[[#This Row],[NO]]="N/A"),"",_xlfn.XLOOKUP(Tbl_Summary[[#This Row],[NO]],Tbl_SM[NO],Tbl_SM[ACTUAL START])),"")</f>
        <v/>
      </c>
      <c r="AN31" s="72" t="str">
        <f>IFERROR(IF(OR(Tbl_Summary[[#This Row],[NO]]="",Tbl_Summary[[#This Row],[NO]]="N/A"),"N/A",
IF(_xlfn.XLOOKUP(Tbl_Summary[[#This Row],[NO]],Tbl_SM[NO],Tbl_SM[ACTUAL FINISH])=0,"N/A",
_xlfn.XLOOKUP(Tbl_Summary[[#This Row],[NO]],Tbl_SM[NO],Tbl_SM[ACTUAL FINISH]))),"N/A")</f>
        <v>N/A</v>
      </c>
      <c r="AO31" s="73" t="str">
        <f>IFERROR(IF(OR(Tbl_Summary[[#This Row],[NO]]="",Tbl_Summary[[#This Row],[NO]]="N/A"),"",_xlfn.XLOOKUP(Tbl_Summary[[#This Row],[NO]],Tbl_SM[NO],Tbl_SM[ACTUAL DURATION])),"")</f>
        <v/>
      </c>
      <c r="AP31" s="72" t="str">
        <f>IFERROR(IF(OR(Tbl_Summary[[#This Row],[NO]]="",Tbl_Summary[[#This Row],[NO]]="N/A"),"",_xlfn.XLOOKUP(Tbl_Summary[[#This Row],[NO]],Tbl_SM[NO],Tbl_SM[STATUS])),"")</f>
        <v/>
      </c>
      <c r="AQ31" s="72" t="str">
        <f>IFERROR(IF(OR(Tbl_Summary[[#This Row],[NO]]="",Tbl_Summary[[#This Row],[NO]]="N/A"),"",_xlfn.XLOOKUP(Tbl_Summary[[#This Row],[NO]],Tbl_SM[NO],Tbl_SM[DUE STATUS])),"")</f>
        <v/>
      </c>
      <c r="AR31" s="80" t="str">
        <f>IFERROR(IF(OR(Tbl_Summary[[#This Row],[NO]]="",Tbl_Summary[[#This Row],[NO]]="N/A"),"",_xlfn.XLOOKUP(Tbl_Summary[[#This Row],[NO]],Tbl_SM[NO],Tbl_SM[COMPLETION])),"")</f>
        <v/>
      </c>
      <c r="AS31" s="70" t="str">
        <f>IFERROR(IF(OR(Tbl_Summary[[#This Row],[NO]]="",Tbl_Summary[[#This Row],[NO]]="N/A"),"",_xlfn.XLOOKUP(Tbl_Summary[[#This Row],[NO]],Tbl_SM[NO],Tbl_SM[COMPLETION_FLAG])),"")</f>
        <v/>
      </c>
      <c r="AU31" s="70">
        <f>IF(ROWS($Z$15:Z37)&gt;COUNTA(Tbl_SM[NO]),"N/A",ROWS($Z$15:Z37))</f>
        <v>23</v>
      </c>
      <c r="AV31" s="70" t="str">
        <f>IF(OR(Table8[[#This Row],[NO]]="",Table8[[#This Row],[NO]]="N/A"),"",_xlfn.XLOOKUP(Table8[[#This Row],[NO]],Tbl_SM[NO],Tbl_SM[5 FACTOR]))</f>
        <v>ENVIRONMENT</v>
      </c>
      <c r="AW31" t="str">
        <f>IF(OR(Table8[[#This Row],[NO]]="",Table8[[#This Row],[NO]]="N/A"),"",_xlfn.XLOOKUP(Table8[[#This Row],[NO]],Tbl_SM[NO],Tbl_SM[CATEGORY]))</f>
        <v>Quick Action</v>
      </c>
      <c r="AX31" s="77" t="e">
        <f>'Activity Plan'!#REF!</f>
        <v>#REF!</v>
      </c>
      <c r="AY31" s="77" t="e">
        <f>'Activity Plan'!#REF!</f>
        <v>#REF!</v>
      </c>
      <c r="AZ31" s="77" t="e">
        <f>'Activity Plan'!#REF!</f>
        <v>#REF!</v>
      </c>
      <c r="BA31" s="77" t="e">
        <f>'Activity Plan'!#REF!</f>
        <v>#REF!</v>
      </c>
      <c r="BB31" s="77" t="e">
        <f>'Activity Plan'!#REF!</f>
        <v>#REF!</v>
      </c>
      <c r="BC31" s="77" t="e">
        <f>'Activity Plan'!#REF!</f>
        <v>#REF!</v>
      </c>
      <c r="BD31" s="77" t="e">
        <f>'Activity Plan'!#REF!</f>
        <v>#REF!</v>
      </c>
      <c r="BE31" s="77" t="e">
        <f>'Activity Plan'!#REF!</f>
        <v>#REF!</v>
      </c>
      <c r="BF31" s="77" t="e">
        <f>'Activity Plan'!#REF!</f>
        <v>#REF!</v>
      </c>
      <c r="BG31" s="77" t="e">
        <f>'Activity Plan'!#REF!</f>
        <v>#REF!</v>
      </c>
      <c r="BH31" s="77" t="e">
        <f>'Activity Plan'!#REF!</f>
        <v>#REF!</v>
      </c>
      <c r="BI31" s="77" t="e">
        <f>'Activity Plan'!#REF!</f>
        <v>#REF!</v>
      </c>
      <c r="BJ31" s="77" t="e">
        <f>'Activity Plan'!#REF!</f>
        <v>#REF!</v>
      </c>
      <c r="BK31" s="77" t="e">
        <f>'Activity Plan'!#REF!</f>
        <v>#REF!</v>
      </c>
      <c r="BL31" s="77" t="e">
        <f>'Activity Plan'!#REF!</f>
        <v>#REF!</v>
      </c>
      <c r="BM31" s="77" t="e">
        <f>'Activity Plan'!#REF!</f>
        <v>#REF!</v>
      </c>
      <c r="BN31" s="77" t="e">
        <f>'Activity Plan'!#REF!</f>
        <v>#REF!</v>
      </c>
      <c r="BO31" s="77" t="e">
        <f>'Activity Plan'!#REF!</f>
        <v>#REF!</v>
      </c>
      <c r="BP31" s="77" t="e">
        <f>'Activity Plan'!#REF!</f>
        <v>#REF!</v>
      </c>
      <c r="BQ31" s="77" t="e">
        <f>'Activity Plan'!#REF!</f>
        <v>#REF!</v>
      </c>
      <c r="BR31" s="77" t="e">
        <f>'Activity Plan'!#REF!</f>
        <v>#REF!</v>
      </c>
      <c r="BS31" s="77" t="e">
        <f>'Activity Plan'!#REF!</f>
        <v>#REF!</v>
      </c>
      <c r="BT31" s="77" t="e">
        <f>'Activity Plan'!#REF!</f>
        <v>#REF!</v>
      </c>
      <c r="BU31" s="77" t="e">
        <f>'Activity Plan'!#REF!</f>
        <v>#REF!</v>
      </c>
      <c r="BV31" s="77" t="e">
        <f>'Activity Plan'!#REF!</f>
        <v>#REF!</v>
      </c>
      <c r="BW31" s="77" t="e">
        <f>'Activity Plan'!#REF!</f>
        <v>#REF!</v>
      </c>
      <c r="BX31" s="77" t="e">
        <f>'Activity Plan'!#REF!</f>
        <v>#REF!</v>
      </c>
      <c r="BY31" s="77" t="e">
        <f>'Activity Plan'!#REF!</f>
        <v>#REF!</v>
      </c>
      <c r="BZ31" s="77" t="e">
        <f>'Activity Plan'!#REF!</f>
        <v>#REF!</v>
      </c>
      <c r="CA31" s="77" t="e">
        <f>'Activity Plan'!#REF!</f>
        <v>#REF!</v>
      </c>
      <c r="CB31" s="77" t="e">
        <f>'Activity Plan'!#REF!</f>
        <v>#REF!</v>
      </c>
      <c r="CF31">
        <v>1</v>
      </c>
      <c r="CG31" t="s">
        <v>30</v>
      </c>
      <c r="CH31" t="s">
        <v>2</v>
      </c>
      <c r="CI31" t="s">
        <v>77</v>
      </c>
      <c r="CJ31" s="68">
        <v>1</v>
      </c>
      <c r="CL31" t="s">
        <v>150</v>
      </c>
      <c r="CM31" t="s">
        <v>19</v>
      </c>
      <c r="CN31" t="s">
        <v>22</v>
      </c>
      <c r="CO31">
        <v>14</v>
      </c>
      <c r="CP31" cm="1">
        <f t="array" ref="CP31">IF(INDEX('Activity Plan'!$S$34:$AW$99,
MATCH("*"&amp;TRIM($B31)&amp;"*",'Activity Plan'!$D$35:$D$100,0)+MATCH($C31,{"PLAN";"ACTUAL";"ACHIVE"},0)-1,
MATCH($D31,DAY('Activity Plan'!$S$7:$AW$7),0))=0,
"N/A",
INDEX('Activity Plan'!$S$34:$AW$99,
MATCH("*"&amp;TRIM($B31)&amp;"*",'Activity Plan'!$D$35:$D$100,0)+MATCH($C31,{"PLAN";"ACTUAL";"ACHIVE"},0)-1,
MATCH($D31,DAY('Activity Plan'!$S$7:$AW$7),0)))</f>
        <v>16</v>
      </c>
      <c r="CU31">
        <f>'Activity Plan'!AF7</f>
        <v>46187</v>
      </c>
      <c r="CV31" t="s">
        <v>22</v>
      </c>
      <c r="CW31" s="194">
        <f>IFERROR(IF('Activity Plan'!BK33=0,"N/A",'Activity Plan'!BK33),"N/A")</f>
        <v>0.84</v>
      </c>
      <c r="CZ31">
        <f t="shared" si="0"/>
        <v>28</v>
      </c>
      <c r="DA31" s="199">
        <f>SUMIFS(TBL_ACHIVEMENT[VALUE],
        TBL_ACHIVEMENT[DATE],TBL_ACHIVEMENT[[#This Row],[DATE]],
        TBL_ACHIVEMENT[CATEGORY],"PLAN")</f>
        <v>0.50166666666666704</v>
      </c>
      <c r="DB31" s="144">
        <f>SUMIFS(TBL_ACHIVEMENT[VALUE],
        TBL_ACHIVEMENT[DATE],TBL_ACHIVEMENT[[#This Row],[DATE]],
        TBL_ACHIVEMENT[CATEGORY],"ACTUAL")</f>
        <v>1</v>
      </c>
      <c r="DC31" s="198">
        <f>SUMIFS(TBL_DOZER_READINESS[VALUE],
        TBL_DOZER_READINESS[DATE],TBL_DOZER_READINESS[[#This Row],[DATE]],
        TBL_DOZER_READINESS[CATEGORY],"ACTUAL")</f>
        <v>16</v>
      </c>
      <c r="DD31" s="200">
        <f>SUMIFS(TBL_PA_DOZER[VALUE],
TBL_PA_DOZER[DATE],TBL_PA_DOZER[[#This Row],[DATE]],
TBL_PA_DOZER[CATEGORY],"ACTUAL")</f>
        <v>0.9</v>
      </c>
      <c r="DE31">
        <f>SUMIFS(Tbl_MTBF[VALUE],
Tbl_MTBF[DATE],Tbl_MTBF[[#This Row],[DATE]],
Tbl_MTBF[CATEGORY],"ACTUAL")</f>
        <v>73</v>
      </c>
      <c r="DF31">
        <f>SUMIFS(Tbl_MTTR[VALUE],
Tbl_MTTR[DATE],Tbl_MTTR[[#This Row],[DATE]],
Tbl_MTTR[CATEGORY],"ACTUAL")</f>
        <v>73</v>
      </c>
    </row>
    <row r="32" spans="2:110" x14ac:dyDescent="0.35">
      <c r="B32" t="s">
        <v>19</v>
      </c>
      <c r="C32" t="s">
        <v>21</v>
      </c>
      <c r="D32">
        <v>15</v>
      </c>
      <c r="E32" cm="1">
        <f t="array" ref="E32">IF(INDEX('Activity Plan'!$S$34:$AW$99,
MATCH("*"&amp;TRIM($B32)&amp;"*",'Activity Plan'!$D$35:$D$100,0)+MATCH($C32,{"PLAN";"ACTUAL";"ACHIVE"},0)-1,
MATCH($D32,DAY('Activity Plan'!$S$7:$AW$7),0))=0,
"N/A",
INDEX('Activity Plan'!$S$34:$AW$99,
MATCH("*"&amp;TRIM($B32)&amp;"*",'Activity Plan'!$D$35:$D$100,0)+MATCH($C32,{"PLAN";"ACTUAL";"ACHIVE"},0)-1,
MATCH($D32,DAY('Activity Plan'!$S$7:$AW$7),0)))</f>
        <v>16</v>
      </c>
      <c r="G32" t="s">
        <v>18</v>
      </c>
      <c r="H32" t="s">
        <v>21</v>
      </c>
      <c r="I32">
        <v>15</v>
      </c>
      <c r="J32" s="68" cm="1">
        <f t="array" ref="J32">IF(INDEX('Activity Plan'!$S$34:$AW$99,
MATCH("*"&amp;TRIM($G32)&amp;"*",'Activity Plan'!$D$35:$D$100,0)+MATCH($H32,{"PLAN";"ACTUAL";"ACHIVE"},0)-1,
MATCH($I32,DAY('Activity Plan'!$S$7:$AW$7),0))=0,
"N/A",
INDEX('Activity Plan'!$S$34:$AW$99,
MATCH("*"&amp;TRIM($G32)&amp;"*",'Activity Plan'!$D$35:$D$100,0)+MATCH($H32,{"PLAN";"ACTUAL";"ACHIVE"},0)-1,
MATCH($I32,DAY('Activity Plan'!$S$7:$AW$7),0)))</f>
        <v>0.9</v>
      </c>
      <c r="L32" t="s">
        <v>20</v>
      </c>
      <c r="M32" t="s">
        <v>21</v>
      </c>
      <c r="N32">
        <v>15</v>
      </c>
      <c r="O32" s="71" cm="1">
        <f t="array" ref="O32">IF(INDEX('Activity Plan'!$S$34:$AW$99,
MATCH("*"&amp;TRIM($L32)&amp;"*",'Activity Plan'!$D$35:$D$100,0)+MATCH($M32,{"PLAN";"ACTUAL";"ACHIVE"},0)-1,
MATCH($N32,DAY('Activity Plan'!$S$7:$AW$7),0))=0,
"N/A",
INDEX('Activity Plan'!$S$34:$AW$99,
MATCH("*"&amp;TRIM($L32)&amp;"*",'Activity Plan'!$D$35:$D$100,0)+MATCH($M32,{"PLAN";"ACTUAL";"ACHIVE"},0)-1,
MATCH($N32,DAY('Activity Plan'!$S$7:$AW$7),0)))</f>
        <v>70</v>
      </c>
      <c r="Q32" t="s">
        <v>138</v>
      </c>
      <c r="R32" t="s">
        <v>21</v>
      </c>
      <c r="S32">
        <v>15</v>
      </c>
      <c r="T32" s="71" cm="1">
        <f t="array" ref="T32">IF(INDEX('Activity Plan'!$S$34:$AW$99,
MATCH("*"&amp;TRIM($Q32)&amp;"*",'Activity Plan'!$D$35:$D$100,0)+MATCH($R32,{"PLAN";"ACTUAL";"ACHIVE"},0)-1,
MATCH($S32,DAY('Activity Plan'!$S$7:$AW$7),0))=0,
"N/A",
INDEX('Activity Plan'!$S$34:$AW$99,
MATCH("*"&amp;TRIM($Q32)&amp;"*",'Activity Plan'!$D$35:$D$100,0)+MATCH($R32,{"PLAN";"ACTUAL";"ACHIVE"},0)-1,
MATCH($S32,DAY('Activity Plan'!$S$7:$AW$7),0)))</f>
        <v>80</v>
      </c>
      <c r="U32" s="71"/>
      <c r="V32" t="s">
        <v>19</v>
      </c>
      <c r="W32" t="s">
        <v>39</v>
      </c>
      <c r="X32" s="70">
        <v>29</v>
      </c>
      <c r="Y32" s="69" cm="1">
        <f t="array" ref="Y32">IF(INDEX('Activity Plan'!$S$34:$AW$99,
MATCH("*"&amp;TRIM($V32)&amp;"*",'Activity Plan'!$D$35:$D$100,0)+MATCH($W32,{"PLAN";"ACTUAL";"ACHIVE"},0)-1,
MATCH($X32,DAY('Activity Plan'!$S$7:$AW$7),0))=0,
"N/A",
INDEX('Activity Plan'!$S$34:$AW$99,
MATCH("*"&amp;TRIM($V32)&amp;"*",'Activity Plan'!$D$35:$D$100,0)+MATCH($W32,{"PLAN";"ACTUAL";"ACHIVE"},0)-1,
MATCH($X32,DAY('Activity Plan'!$S$7:$AW$7),0)))</f>
        <v>0.75</v>
      </c>
      <c r="AA32" t="s">
        <v>40</v>
      </c>
      <c r="AB32" t="s">
        <v>21</v>
      </c>
      <c r="AC32" s="70">
        <v>29</v>
      </c>
      <c r="AD32" s="77">
        <f>'Activity Plan'!AU33</f>
        <v>0.5099999999999999</v>
      </c>
      <c r="AF32" s="70" t="str">
        <f>IF(ROWS($Z$15:Z43)&gt;COUNTA(Tbl_SM[NO]),"N/A",ROWS($Z$15:Z43))</f>
        <v>N/A</v>
      </c>
      <c r="AG32" t="str">
        <f>IF(OR(Tbl_Summary[[#This Row],[NO]]="",Tbl_Summary[[#This Row],[NO]]="N/A"),"",_xlfn.XLOOKUP(Tbl_Summary[[#This Row],[NO]],Tbl_SM[NO],Tbl_SM[5 FACTOR]))</f>
        <v/>
      </c>
      <c r="AH32" t="str">
        <f>IF(OR(Tbl_Summary[[#This Row],[NO]]="",Tbl_Summary[[#This Row],[NO]]="N/A"),"",_xlfn.XLOOKUP(Tbl_Summary[[#This Row],[NO]],Tbl_SM[NO],Tbl_SM[CATEGORY]))</f>
        <v/>
      </c>
      <c r="AI32" t="str">
        <f>IF(OR(Tbl_Summary[[#This Row],[NO]]="",Tbl_Summary[[#This Row],[NO]]="N/A"),"",_xlfn.XLOOKUP(Tbl_Summary[[#This Row],[NO]],Tbl_SM[NO],Tbl_SM[PIC]))</f>
        <v/>
      </c>
      <c r="AJ32" s="72" t="str">
        <f>IF(OR(Tbl_Summary[[#This Row],[NO]]="",Tbl_Summary[[#This Row],[NO]]="N/A"),"",_xlfn.XLOOKUP(Tbl_Summary[[#This Row],[NO]],Tbl_SM[NO],Tbl_SM[PLAN START]))</f>
        <v/>
      </c>
      <c r="AK32" s="72" t="str">
        <f>IF(OR(Tbl_Summary[[#This Row],[NO]]="",Tbl_Summary[[#This Row],[NO]]="N/A"),"",_xlfn.XLOOKUP(Tbl_Summary[[#This Row],[NO]],Tbl_SM[NO],Tbl_SM[DUE DATA]))</f>
        <v/>
      </c>
      <c r="AL32" s="70" t="str">
        <f>IF(OR(Tbl_Summary[[#This Row],[NO]]="",Tbl_Summary[[#This Row],[NO]]="N/A"),"",_xlfn.XLOOKUP(Tbl_Summary[[#This Row],[NO]],Tbl_SM[NO],Tbl_SM[PLAN DURATION]))</f>
        <v/>
      </c>
      <c r="AM32" s="72" t="str">
        <f>IFERROR(IF(OR(Tbl_Summary[[#This Row],[NO]]="",Tbl_Summary[[#This Row],[NO]]="N/A"),"",_xlfn.XLOOKUP(Tbl_Summary[[#This Row],[NO]],Tbl_SM[NO],Tbl_SM[ACTUAL START])),"")</f>
        <v/>
      </c>
      <c r="AN32" s="72" t="str">
        <f>IFERROR(IF(OR(Tbl_Summary[[#This Row],[NO]]="",Tbl_Summary[[#This Row],[NO]]="N/A"),"N/A",
IF(_xlfn.XLOOKUP(Tbl_Summary[[#This Row],[NO]],Tbl_SM[NO],Tbl_SM[ACTUAL FINISH])=0,"N/A",
_xlfn.XLOOKUP(Tbl_Summary[[#This Row],[NO]],Tbl_SM[NO],Tbl_SM[ACTUAL FINISH]))),"N/A")</f>
        <v>N/A</v>
      </c>
      <c r="AO32" s="73" t="str">
        <f>IFERROR(IF(OR(Tbl_Summary[[#This Row],[NO]]="",Tbl_Summary[[#This Row],[NO]]="N/A"),"",_xlfn.XLOOKUP(Tbl_Summary[[#This Row],[NO]],Tbl_SM[NO],Tbl_SM[ACTUAL DURATION])),"")</f>
        <v/>
      </c>
      <c r="AP32" s="72" t="str">
        <f>IFERROR(IF(OR(Tbl_Summary[[#This Row],[NO]]="",Tbl_Summary[[#This Row],[NO]]="N/A"),"",_xlfn.XLOOKUP(Tbl_Summary[[#This Row],[NO]],Tbl_SM[NO],Tbl_SM[STATUS])),"")</f>
        <v/>
      </c>
      <c r="AQ32" s="72" t="str">
        <f>IFERROR(IF(OR(Tbl_Summary[[#This Row],[NO]]="",Tbl_Summary[[#This Row],[NO]]="N/A"),"",_xlfn.XLOOKUP(Tbl_Summary[[#This Row],[NO]],Tbl_SM[NO],Tbl_SM[DUE STATUS])),"")</f>
        <v/>
      </c>
      <c r="AR32" s="80" t="str">
        <f>IFERROR(IF(OR(Tbl_Summary[[#This Row],[NO]]="",Tbl_Summary[[#This Row],[NO]]="N/A"),"",_xlfn.XLOOKUP(Tbl_Summary[[#This Row],[NO]],Tbl_SM[NO],Tbl_SM[COMPLETION])),"")</f>
        <v/>
      </c>
      <c r="AS32" s="70" t="str">
        <f>IFERROR(IF(OR(Tbl_Summary[[#This Row],[NO]]="",Tbl_Summary[[#This Row],[NO]]="N/A"),"",_xlfn.XLOOKUP(Tbl_Summary[[#This Row],[NO]],Tbl_SM[NO],Tbl_SM[COMPLETION_FLAG])),"")</f>
        <v/>
      </c>
      <c r="AU32" s="70">
        <f>IF(ROWS($Z$15:Z38)&gt;COUNTA(Tbl_SM[NO]),"N/A",ROWS($Z$15:Z38))</f>
        <v>24</v>
      </c>
      <c r="AV32" s="70" t="str">
        <f>IF(OR(Table8[[#This Row],[NO]]="",Table8[[#This Row],[NO]]="N/A"),"",_xlfn.XLOOKUP(Table8[[#This Row],[NO]],Tbl_SM[NO],Tbl_SM[5 FACTOR]))</f>
        <v>ENVIRONMENT</v>
      </c>
      <c r="AW32" t="str">
        <f>IF(OR(Table8[[#This Row],[NO]]="",Table8[[#This Row],[NO]]="N/A"),"",_xlfn.XLOOKUP(Table8[[#This Row],[NO]],Tbl_SM[NO],Tbl_SM[CATEGORY]))</f>
        <v>Long Term / Development</v>
      </c>
      <c r="AX32" s="77" t="e">
        <f>'Activity Plan'!#REF!</f>
        <v>#REF!</v>
      </c>
      <c r="AY32" s="77" t="e">
        <f>'Activity Plan'!#REF!</f>
        <v>#REF!</v>
      </c>
      <c r="AZ32" s="77" t="e">
        <f>'Activity Plan'!#REF!</f>
        <v>#REF!</v>
      </c>
      <c r="BA32" s="77" t="e">
        <f>'Activity Plan'!#REF!</f>
        <v>#REF!</v>
      </c>
      <c r="BB32" s="77" t="e">
        <f>'Activity Plan'!#REF!</f>
        <v>#REF!</v>
      </c>
      <c r="BC32" s="77" t="e">
        <f>'Activity Plan'!#REF!</f>
        <v>#REF!</v>
      </c>
      <c r="BD32" s="77" t="e">
        <f>'Activity Plan'!#REF!</f>
        <v>#REF!</v>
      </c>
      <c r="BE32" s="77" t="e">
        <f>'Activity Plan'!#REF!</f>
        <v>#REF!</v>
      </c>
      <c r="BF32" s="77" t="e">
        <f>'Activity Plan'!#REF!</f>
        <v>#REF!</v>
      </c>
      <c r="BG32" s="77" t="e">
        <f>'Activity Plan'!#REF!</f>
        <v>#REF!</v>
      </c>
      <c r="BH32" s="77" t="e">
        <f>'Activity Plan'!#REF!</f>
        <v>#REF!</v>
      </c>
      <c r="BI32" s="77" t="e">
        <f>'Activity Plan'!#REF!</f>
        <v>#REF!</v>
      </c>
      <c r="BJ32" s="77" t="e">
        <f>'Activity Plan'!#REF!</f>
        <v>#REF!</v>
      </c>
      <c r="BK32" s="77" t="e">
        <f>'Activity Plan'!#REF!</f>
        <v>#REF!</v>
      </c>
      <c r="BL32" s="77" t="e">
        <f>'Activity Plan'!#REF!</f>
        <v>#REF!</v>
      </c>
      <c r="BM32" s="77" t="e">
        <f>'Activity Plan'!#REF!</f>
        <v>#REF!</v>
      </c>
      <c r="BN32" s="77" t="e">
        <f>'Activity Plan'!#REF!</f>
        <v>#REF!</v>
      </c>
      <c r="BO32" s="77" t="e">
        <f>'Activity Plan'!#REF!</f>
        <v>#REF!</v>
      </c>
      <c r="BP32" s="77" t="e">
        <f>'Activity Plan'!#REF!</f>
        <v>#REF!</v>
      </c>
      <c r="BQ32" s="77" t="e">
        <f>'Activity Plan'!#REF!</f>
        <v>#REF!</v>
      </c>
      <c r="BR32" s="77" t="e">
        <f>'Activity Plan'!#REF!</f>
        <v>#REF!</v>
      </c>
      <c r="BS32" s="77" t="e">
        <f>'Activity Plan'!#REF!</f>
        <v>#REF!</v>
      </c>
      <c r="BT32" s="77" t="e">
        <f>'Activity Plan'!#REF!</f>
        <v>#REF!</v>
      </c>
      <c r="BU32" s="77" t="e">
        <f>'Activity Plan'!#REF!</f>
        <v>#REF!</v>
      </c>
      <c r="BV32" s="77" t="e">
        <f>'Activity Plan'!#REF!</f>
        <v>#REF!</v>
      </c>
      <c r="BW32" s="77" t="e">
        <f>'Activity Plan'!#REF!</f>
        <v>#REF!</v>
      </c>
      <c r="BX32" s="77" t="e">
        <f>'Activity Plan'!#REF!</f>
        <v>#REF!</v>
      </c>
      <c r="BY32" s="77" t="e">
        <f>'Activity Plan'!#REF!</f>
        <v>#REF!</v>
      </c>
      <c r="BZ32" s="77" t="e">
        <f>'Activity Plan'!#REF!</f>
        <v>#REF!</v>
      </c>
      <c r="CA32" s="77" t="e">
        <f>'Activity Plan'!#REF!</f>
        <v>#REF!</v>
      </c>
      <c r="CB32" s="77" t="e">
        <f>'Activity Plan'!#REF!</f>
        <v>#REF!</v>
      </c>
      <c r="CF32">
        <v>1</v>
      </c>
      <c r="CG32" t="s">
        <v>30</v>
      </c>
      <c r="CH32" t="s">
        <v>2</v>
      </c>
      <c r="CI32" t="s">
        <v>78</v>
      </c>
      <c r="CJ32" s="68">
        <v>1</v>
      </c>
      <c r="CL32" t="s">
        <v>150</v>
      </c>
      <c r="CM32" t="s">
        <v>19</v>
      </c>
      <c r="CN32" t="s">
        <v>21</v>
      </c>
      <c r="CO32">
        <v>15</v>
      </c>
      <c r="CP32" cm="1">
        <f t="array" ref="CP32">IF(INDEX('Activity Plan'!$S$34:$AW$99,
MATCH("*"&amp;TRIM($B32)&amp;"*",'Activity Plan'!$D$35:$D$100,0)+MATCH($C32,{"PLAN";"ACTUAL";"ACHIVE"},0)-1,
MATCH($D32,DAY('Activity Plan'!$S$7:$AW$7),0))=0,
"N/A",
INDEX('Activity Plan'!$S$34:$AW$99,
MATCH("*"&amp;TRIM($B32)&amp;"*",'Activity Plan'!$D$35:$D$100,0)+MATCH($C32,{"PLAN";"ACTUAL";"ACHIVE"},0)-1,
MATCH($D32,DAY('Activity Plan'!$S$7:$AW$7),0)))</f>
        <v>16</v>
      </c>
      <c r="CU32">
        <f>'Activity Plan'!AG7</f>
        <v>46188</v>
      </c>
      <c r="CV32" t="s">
        <v>21</v>
      </c>
      <c r="CW32" s="194">
        <f>IFERROR(IF('Activity Plan'!AG33=0,"N/A",'Activity Plan'!AG33),"N/A")</f>
        <v>0.40166666666666712</v>
      </c>
      <c r="CZ32">
        <f t="shared" si="0"/>
        <v>29</v>
      </c>
      <c r="DA32" s="199">
        <f>SUMIFS(TBL_ACHIVEMENT[VALUE],
        TBL_ACHIVEMENT[DATE],TBL_ACHIVEMENT[[#This Row],[DATE]],
        TBL_ACHIVEMENT[CATEGORY],"PLAN")</f>
        <v>0.5099999999999999</v>
      </c>
      <c r="DB32" s="144">
        <f>SUMIFS(TBL_ACHIVEMENT[VALUE],
        TBL_ACHIVEMENT[DATE],TBL_ACHIVEMENT[[#This Row],[DATE]],
        TBL_ACHIVEMENT[CATEGORY],"ACTUAL")</f>
        <v>1</v>
      </c>
      <c r="DC32" s="198">
        <f>SUMIFS(TBL_DOZER_READINESS[VALUE],
        TBL_DOZER_READINESS[DATE],TBL_DOZER_READINESS[[#This Row],[DATE]],
        TBL_DOZER_READINESS[CATEGORY],"ACTUAL")</f>
        <v>15</v>
      </c>
      <c r="DD32" s="200">
        <f>SUMIFS(TBL_PA_DOZER[VALUE],
TBL_PA_DOZER[DATE],TBL_PA_DOZER[[#This Row],[DATE]],
TBL_PA_DOZER[CATEGORY],"ACTUAL")</f>
        <v>0.98</v>
      </c>
      <c r="DE32">
        <f>SUMIFS(Tbl_MTBF[VALUE],
Tbl_MTBF[DATE],Tbl_MTBF[[#This Row],[DATE]],
Tbl_MTBF[CATEGORY],"ACTUAL")</f>
        <v>80</v>
      </c>
      <c r="DF32">
        <f>SUMIFS(Tbl_MTTR[VALUE],
Tbl_MTTR[DATE],Tbl_MTTR[[#This Row],[DATE]],
Tbl_MTTR[CATEGORY],"ACTUAL")</f>
        <v>80</v>
      </c>
    </row>
    <row r="33" spans="2:110" x14ac:dyDescent="0.35">
      <c r="B33" t="s">
        <v>19</v>
      </c>
      <c r="C33" t="s">
        <v>22</v>
      </c>
      <c r="D33">
        <v>15</v>
      </c>
      <c r="E33" cm="1">
        <f t="array" ref="E33">IF(INDEX('Activity Plan'!$S$34:$AW$99,
MATCH("*"&amp;TRIM($B33)&amp;"*",'Activity Plan'!$D$35:$D$100,0)+MATCH($C33,{"PLAN";"ACTUAL";"ACHIVE"},0)-1,
MATCH($D33,DAY('Activity Plan'!$S$7:$AW$7),0))=0,
"N/A",
INDEX('Activity Plan'!$S$34:$AW$99,
MATCH("*"&amp;TRIM($B33)&amp;"*",'Activity Plan'!$D$35:$D$100,0)+MATCH($C33,{"PLAN";"ACTUAL";"ACHIVE"},0)-1,
MATCH($D33,DAY('Activity Plan'!$S$7:$AW$7),0)))</f>
        <v>15</v>
      </c>
      <c r="G33" t="s">
        <v>18</v>
      </c>
      <c r="H33" t="s">
        <v>22</v>
      </c>
      <c r="I33">
        <v>15</v>
      </c>
      <c r="J33" s="68" cm="1">
        <f t="array" ref="J33">IF(INDEX('Activity Plan'!$S$34:$AW$99,
MATCH("*"&amp;TRIM($G33)&amp;"*",'Activity Plan'!$D$35:$D$100,0)+MATCH($H33,{"PLAN";"ACTUAL";"ACHIVE"},0)-1,
MATCH($I33,DAY('Activity Plan'!$S$7:$AW$7),0))=0,
"N/A",
INDEX('Activity Plan'!$S$34:$AW$99,
MATCH("*"&amp;TRIM($G33)&amp;"*",'Activity Plan'!$D$35:$D$100,0)+MATCH($H33,{"PLAN";"ACTUAL";"ACHIVE"},0)-1,
MATCH($I33,DAY('Activity Plan'!$S$7:$AW$7),0)))</f>
        <v>0.98</v>
      </c>
      <c r="L33" t="s">
        <v>20</v>
      </c>
      <c r="M33" t="s">
        <v>22</v>
      </c>
      <c r="N33">
        <v>15</v>
      </c>
      <c r="O33" s="71" cm="1">
        <f t="array" ref="O33">IF(INDEX('Activity Plan'!$S$34:$AW$99,
MATCH("*"&amp;TRIM($L33)&amp;"*",'Activity Plan'!$D$35:$D$100,0)+MATCH($M33,{"PLAN";"ACTUAL";"ACHIVE"},0)-1,
MATCH($N33,DAY('Activity Plan'!$S$7:$AW$7),0))=0,
"N/A",
INDEX('Activity Plan'!$S$34:$AW$99,
MATCH("*"&amp;TRIM($L33)&amp;"*",'Activity Plan'!$D$35:$D$100,0)+MATCH($M33,{"PLAN";"ACTUAL";"ACHIVE"},0)-1,
MATCH($N33,DAY('Activity Plan'!$S$7:$AW$7),0)))</f>
        <v>80</v>
      </c>
      <c r="Q33" t="s">
        <v>138</v>
      </c>
      <c r="R33" t="s">
        <v>22</v>
      </c>
      <c r="S33">
        <v>15</v>
      </c>
      <c r="T33" s="71" cm="1">
        <f t="array" ref="T33">IF(INDEX('Activity Plan'!$S$34:$AW$99,
MATCH("*"&amp;TRIM($Q33)&amp;"*",'Activity Plan'!$D$35:$D$100,0)+MATCH($R33,{"PLAN";"ACTUAL";"ACHIVE"},0)-1,
MATCH($S33,DAY('Activity Plan'!$S$7:$AW$7),0))=0,
"N/A",
INDEX('Activity Plan'!$S$34:$AW$99,
MATCH("*"&amp;TRIM($Q33)&amp;"*",'Activity Plan'!$D$35:$D$100,0)+MATCH($R33,{"PLAN";"ACTUAL";"ACHIVE"},0)-1,
MATCH($S33,DAY('Activity Plan'!$S$7:$AW$7),0)))</f>
        <v>80</v>
      </c>
      <c r="U33" s="71"/>
      <c r="V33" t="s">
        <v>19</v>
      </c>
      <c r="W33" t="s">
        <v>39</v>
      </c>
      <c r="X33" s="70">
        <v>30</v>
      </c>
      <c r="Y33" s="69" cm="1">
        <f t="array" ref="Y33">IF(INDEX('Activity Plan'!$S$34:$AW$99,
MATCH("*"&amp;TRIM($V33)&amp;"*",'Activity Plan'!$D$35:$D$100,0)+MATCH($W33,{"PLAN";"ACTUAL";"ACHIVE"},0)-1,
MATCH($X33,DAY('Activity Plan'!$S$7:$AW$7),0))=0,
"N/A",
INDEX('Activity Plan'!$S$34:$AW$99,
MATCH("*"&amp;TRIM($V33)&amp;"*",'Activity Plan'!$D$35:$D$100,0)+MATCH($W33,{"PLAN";"ACTUAL";"ACHIVE"},0)-1,
MATCH($X33,DAY('Activity Plan'!$S$7:$AW$7),0)))</f>
        <v>0.6875</v>
      </c>
      <c r="AA33" t="s">
        <v>40</v>
      </c>
      <c r="AB33" t="s">
        <v>21</v>
      </c>
      <c r="AC33" s="70">
        <v>30</v>
      </c>
      <c r="AD33" s="77">
        <f>'Activity Plan'!AV33</f>
        <v>0.51833333333333276</v>
      </c>
      <c r="AF33" s="70" t="str">
        <f>IF(ROWS($Z$15:Z44)&gt;COUNTA(Tbl_SM[NO]),"N/A",ROWS($Z$15:Z44))</f>
        <v>N/A</v>
      </c>
      <c r="AG33" t="str">
        <f>IF(OR(Tbl_Summary[[#This Row],[NO]]="",Tbl_Summary[[#This Row],[NO]]="N/A"),"",_xlfn.XLOOKUP(Tbl_Summary[[#This Row],[NO]],Tbl_SM[NO],Tbl_SM[5 FACTOR]))</f>
        <v/>
      </c>
      <c r="AH33" t="str">
        <f>IF(OR(Tbl_Summary[[#This Row],[NO]]="",Tbl_Summary[[#This Row],[NO]]="N/A"),"",_xlfn.XLOOKUP(Tbl_Summary[[#This Row],[NO]],Tbl_SM[NO],Tbl_SM[CATEGORY]))</f>
        <v/>
      </c>
      <c r="AI33" t="str">
        <f>IF(OR(Tbl_Summary[[#This Row],[NO]]="",Tbl_Summary[[#This Row],[NO]]="N/A"),"",_xlfn.XLOOKUP(Tbl_Summary[[#This Row],[NO]],Tbl_SM[NO],Tbl_SM[PIC]))</f>
        <v/>
      </c>
      <c r="AJ33" s="72" t="str">
        <f>IF(OR(Tbl_Summary[[#This Row],[NO]]="",Tbl_Summary[[#This Row],[NO]]="N/A"),"",_xlfn.XLOOKUP(Tbl_Summary[[#This Row],[NO]],Tbl_SM[NO],Tbl_SM[PLAN START]))</f>
        <v/>
      </c>
      <c r="AK33" s="72" t="str">
        <f>IF(OR(Tbl_Summary[[#This Row],[NO]]="",Tbl_Summary[[#This Row],[NO]]="N/A"),"",_xlfn.XLOOKUP(Tbl_Summary[[#This Row],[NO]],Tbl_SM[NO],Tbl_SM[DUE DATA]))</f>
        <v/>
      </c>
      <c r="AL33" s="70" t="str">
        <f>IF(OR(Tbl_Summary[[#This Row],[NO]]="",Tbl_Summary[[#This Row],[NO]]="N/A"),"",_xlfn.XLOOKUP(Tbl_Summary[[#This Row],[NO]],Tbl_SM[NO],Tbl_SM[PLAN DURATION]))</f>
        <v/>
      </c>
      <c r="AM33" s="72" t="str">
        <f>IFERROR(IF(OR(Tbl_Summary[[#This Row],[NO]]="",Tbl_Summary[[#This Row],[NO]]="N/A"),"",_xlfn.XLOOKUP(Tbl_Summary[[#This Row],[NO]],Tbl_SM[NO],Tbl_SM[ACTUAL START])),"")</f>
        <v/>
      </c>
      <c r="AN33" s="72" t="str">
        <f>IFERROR(IF(OR(Tbl_Summary[[#This Row],[NO]]="",Tbl_Summary[[#This Row],[NO]]="N/A"),"N/A",
IF(_xlfn.XLOOKUP(Tbl_Summary[[#This Row],[NO]],Tbl_SM[NO],Tbl_SM[ACTUAL FINISH])=0,"N/A",
_xlfn.XLOOKUP(Tbl_Summary[[#This Row],[NO]],Tbl_SM[NO],Tbl_SM[ACTUAL FINISH]))),"N/A")</f>
        <v>N/A</v>
      </c>
      <c r="AO33" s="73" t="str">
        <f>IFERROR(IF(OR(Tbl_Summary[[#This Row],[NO]]="",Tbl_Summary[[#This Row],[NO]]="N/A"),"",_xlfn.XLOOKUP(Tbl_Summary[[#This Row],[NO]],Tbl_SM[NO],Tbl_SM[ACTUAL DURATION])),"")</f>
        <v/>
      </c>
      <c r="AP33" s="72" t="str">
        <f>IFERROR(IF(OR(Tbl_Summary[[#This Row],[NO]]="",Tbl_Summary[[#This Row],[NO]]="N/A"),"",_xlfn.XLOOKUP(Tbl_Summary[[#This Row],[NO]],Tbl_SM[NO],Tbl_SM[STATUS])),"")</f>
        <v/>
      </c>
      <c r="AQ33" s="72" t="str">
        <f>IFERROR(IF(OR(Tbl_Summary[[#This Row],[NO]]="",Tbl_Summary[[#This Row],[NO]]="N/A"),"",_xlfn.XLOOKUP(Tbl_Summary[[#This Row],[NO]],Tbl_SM[NO],Tbl_SM[DUE STATUS])),"")</f>
        <v/>
      </c>
      <c r="AR33" s="80" t="str">
        <f>IFERROR(IF(OR(Tbl_Summary[[#This Row],[NO]]="",Tbl_Summary[[#This Row],[NO]]="N/A"),"",_xlfn.XLOOKUP(Tbl_Summary[[#This Row],[NO]],Tbl_SM[NO],Tbl_SM[COMPLETION])),"")</f>
        <v/>
      </c>
      <c r="AS33" s="70" t="str">
        <f>IFERROR(IF(OR(Tbl_Summary[[#This Row],[NO]]="",Tbl_Summary[[#This Row],[NO]]="N/A"),"",_xlfn.XLOOKUP(Tbl_Summary[[#This Row],[NO]],Tbl_SM[NO],Tbl_SM[COMPLETION_FLAG])),"")</f>
        <v/>
      </c>
      <c r="AU33" s="70" t="str">
        <f>IF(ROWS($Z$15:Z39)&gt;COUNTA(Tbl_SM[NO]),"N/A",ROWS($Z$15:Z39))</f>
        <v>N/A</v>
      </c>
      <c r="AV33" s="70" t="str">
        <f>IF(OR(Table8[[#This Row],[NO]]="",Table8[[#This Row],[NO]]="N/A"),"",_xlfn.XLOOKUP(Table8[[#This Row],[NO]],Tbl_SM[NO],Tbl_SM[5 FACTOR]))</f>
        <v/>
      </c>
      <c r="AW33" t="str">
        <f>IF(OR(Table8[[#This Row],[NO]]="",Table8[[#This Row],[NO]]="N/A"),"",_xlfn.XLOOKUP(Table8[[#This Row],[NO]],Tbl_SM[NO],Tbl_SM[CATEGORY]))</f>
        <v/>
      </c>
      <c r="AX33" s="77" t="e">
        <f>'Activity Plan'!#REF!</f>
        <v>#REF!</v>
      </c>
      <c r="AY33" s="77" t="e">
        <f>'Activity Plan'!#REF!</f>
        <v>#REF!</v>
      </c>
      <c r="AZ33" s="77" t="e">
        <f>'Activity Plan'!#REF!</f>
        <v>#REF!</v>
      </c>
      <c r="BA33" s="77" t="e">
        <f>'Activity Plan'!#REF!</f>
        <v>#REF!</v>
      </c>
      <c r="BB33" s="77" t="e">
        <f>'Activity Plan'!#REF!</f>
        <v>#REF!</v>
      </c>
      <c r="BC33" s="77" t="e">
        <f>'Activity Plan'!#REF!</f>
        <v>#REF!</v>
      </c>
      <c r="BD33" s="77" t="e">
        <f>'Activity Plan'!#REF!</f>
        <v>#REF!</v>
      </c>
      <c r="BE33" s="77" t="e">
        <f>'Activity Plan'!#REF!</f>
        <v>#REF!</v>
      </c>
      <c r="BF33" s="77" t="e">
        <f>'Activity Plan'!#REF!</f>
        <v>#REF!</v>
      </c>
      <c r="BG33" s="77" t="e">
        <f>'Activity Plan'!#REF!</f>
        <v>#REF!</v>
      </c>
      <c r="BH33" s="77" t="e">
        <f>'Activity Plan'!#REF!</f>
        <v>#REF!</v>
      </c>
      <c r="BI33" s="77" t="e">
        <f>'Activity Plan'!#REF!</f>
        <v>#REF!</v>
      </c>
      <c r="BJ33" s="77" t="e">
        <f>'Activity Plan'!#REF!</f>
        <v>#REF!</v>
      </c>
      <c r="BK33" s="77" t="e">
        <f>'Activity Plan'!#REF!</f>
        <v>#REF!</v>
      </c>
      <c r="BL33" s="77" t="e">
        <f>'Activity Plan'!#REF!</f>
        <v>#REF!</v>
      </c>
      <c r="BM33" s="77" t="e">
        <f>'Activity Plan'!#REF!</f>
        <v>#REF!</v>
      </c>
      <c r="BN33" s="77" t="e">
        <f>'Activity Plan'!#REF!</f>
        <v>#REF!</v>
      </c>
      <c r="BO33" s="77" t="e">
        <f>'Activity Plan'!#REF!</f>
        <v>#REF!</v>
      </c>
      <c r="BP33" s="77" t="e">
        <f>'Activity Plan'!#REF!</f>
        <v>#REF!</v>
      </c>
      <c r="BQ33" s="77" t="e">
        <f>'Activity Plan'!#REF!</f>
        <v>#REF!</v>
      </c>
      <c r="BR33" s="77" t="e">
        <f>'Activity Plan'!#REF!</f>
        <v>#REF!</v>
      </c>
      <c r="BS33" s="77" t="e">
        <f>'Activity Plan'!#REF!</f>
        <v>#REF!</v>
      </c>
      <c r="BT33" s="77" t="e">
        <f>'Activity Plan'!#REF!</f>
        <v>#REF!</v>
      </c>
      <c r="BU33" s="77" t="e">
        <f>'Activity Plan'!#REF!</f>
        <v>#REF!</v>
      </c>
      <c r="BV33" s="77" t="e">
        <f>'Activity Plan'!#REF!</f>
        <v>#REF!</v>
      </c>
      <c r="BW33" s="77" t="e">
        <f>'Activity Plan'!#REF!</f>
        <v>#REF!</v>
      </c>
      <c r="BX33" s="77" t="e">
        <f>'Activity Plan'!#REF!</f>
        <v>#REF!</v>
      </c>
      <c r="BY33" s="77" t="e">
        <f>'Activity Plan'!#REF!</f>
        <v>#REF!</v>
      </c>
      <c r="BZ33" s="77" t="e">
        <f>'Activity Plan'!#REF!</f>
        <v>#REF!</v>
      </c>
      <c r="CA33" s="77" t="e">
        <f>'Activity Plan'!#REF!</f>
        <v>#REF!</v>
      </c>
      <c r="CB33" s="77" t="e">
        <f>'Activity Plan'!#REF!</f>
        <v>#REF!</v>
      </c>
      <c r="CF33">
        <v>1</v>
      </c>
      <c r="CG33" t="s">
        <v>30</v>
      </c>
      <c r="CH33" t="s">
        <v>2</v>
      </c>
      <c r="CI33" t="s">
        <v>79</v>
      </c>
      <c r="CJ33" s="68">
        <v>1</v>
      </c>
      <c r="CL33" t="s">
        <v>150</v>
      </c>
      <c r="CM33" t="s">
        <v>19</v>
      </c>
      <c r="CN33" t="s">
        <v>22</v>
      </c>
      <c r="CO33">
        <v>15</v>
      </c>
      <c r="CP33" cm="1">
        <f t="array" ref="CP33">IF(INDEX('Activity Plan'!$S$34:$AW$99,
MATCH("*"&amp;TRIM($B33)&amp;"*",'Activity Plan'!$D$35:$D$100,0)+MATCH($C33,{"PLAN";"ACTUAL";"ACHIVE"},0)-1,
MATCH($D33,DAY('Activity Plan'!$S$7:$AW$7),0))=0,
"N/A",
INDEX('Activity Plan'!$S$34:$AW$99,
MATCH("*"&amp;TRIM($B33)&amp;"*",'Activity Plan'!$D$35:$D$100,0)+MATCH($C33,{"PLAN";"ACTUAL";"ACHIVE"},0)-1,
MATCH($D33,DAY('Activity Plan'!$S$7:$AW$7),0)))</f>
        <v>15</v>
      </c>
      <c r="CU33">
        <f>'Activity Plan'!AG7</f>
        <v>46188</v>
      </c>
      <c r="CV33" t="s">
        <v>22</v>
      </c>
      <c r="CW33" s="194">
        <f>IFERROR(IF('Activity Plan'!BL33=0,"N/A",'Activity Plan'!BL33),"N/A")</f>
        <v>0.87</v>
      </c>
      <c r="CZ33">
        <f t="shared" si="0"/>
        <v>30</v>
      </c>
      <c r="DA33" s="199">
        <f>SUMIFS(TBL_ACHIVEMENT[VALUE],
        TBL_ACHIVEMENT[DATE],TBL_ACHIVEMENT[[#This Row],[DATE]],
        TBL_ACHIVEMENT[CATEGORY],"PLAN")</f>
        <v>0.51833333333333276</v>
      </c>
      <c r="DB33" s="144">
        <f>SUMIFS(TBL_ACHIVEMENT[VALUE],
        TBL_ACHIVEMENT[DATE],TBL_ACHIVEMENT[[#This Row],[DATE]],
        TBL_ACHIVEMENT[CATEGORY],"ACTUAL")</f>
        <v>1</v>
      </c>
      <c r="DC33" s="198">
        <f>SUMIFS(TBL_DOZER_READINESS[VALUE],
        TBL_DOZER_READINESS[DATE],TBL_DOZER_READINESS[[#This Row],[DATE]],
        TBL_DOZER_READINESS[CATEGORY],"ACTUAL")</f>
        <v>15</v>
      </c>
      <c r="DD33" s="200">
        <f>SUMIFS(TBL_PA_DOZER[VALUE],
TBL_PA_DOZER[DATE],TBL_PA_DOZER[[#This Row],[DATE]],
TBL_PA_DOZER[CATEGORY],"ACTUAL")</f>
        <v>0.98</v>
      </c>
      <c r="DE33">
        <f>SUMIFS(Tbl_MTBF[VALUE],
Tbl_MTBF[DATE],Tbl_MTBF[[#This Row],[DATE]],
Tbl_MTBF[CATEGORY],"ACTUAL")</f>
        <v>80</v>
      </c>
      <c r="DF33">
        <f>SUMIFS(Tbl_MTTR[VALUE],
Tbl_MTTR[DATE],Tbl_MTTR[[#This Row],[DATE]],
Tbl_MTTR[CATEGORY],"ACTUAL")</f>
        <v>80</v>
      </c>
    </row>
    <row r="34" spans="2:110" x14ac:dyDescent="0.35">
      <c r="B34" t="s">
        <v>19</v>
      </c>
      <c r="C34" t="s">
        <v>21</v>
      </c>
      <c r="D34">
        <v>16</v>
      </c>
      <c r="E34" cm="1">
        <f t="array" ref="E34">IF(INDEX('Activity Plan'!$S$34:$AW$99,
MATCH("*"&amp;TRIM($B34)&amp;"*",'Activity Plan'!$D$35:$D$100,0)+MATCH($C34,{"PLAN";"ACTUAL";"ACHIVE"},0)-1,
MATCH($D34,DAY('Activity Plan'!$S$7:$AW$7),0))=0,
"N/A",
INDEX('Activity Plan'!$S$34:$AW$99,
MATCH("*"&amp;TRIM($B34)&amp;"*",'Activity Plan'!$D$35:$D$100,0)+MATCH($C34,{"PLAN";"ACTUAL";"ACHIVE"},0)-1,
MATCH($D34,DAY('Activity Plan'!$S$7:$AW$7),0)))</f>
        <v>16</v>
      </c>
      <c r="G34" t="s">
        <v>18</v>
      </c>
      <c r="H34" t="s">
        <v>21</v>
      </c>
      <c r="I34">
        <v>16</v>
      </c>
      <c r="J34" s="68" cm="1">
        <f t="array" ref="J34">IF(INDEX('Activity Plan'!$S$34:$AW$99,
MATCH("*"&amp;TRIM($G34)&amp;"*",'Activity Plan'!$D$35:$D$100,0)+MATCH($H34,{"PLAN";"ACTUAL";"ACHIVE"},0)-1,
MATCH($I34,DAY('Activity Plan'!$S$7:$AW$7),0))=0,
"N/A",
INDEX('Activity Plan'!$S$34:$AW$99,
MATCH("*"&amp;TRIM($G34)&amp;"*",'Activity Plan'!$D$35:$D$100,0)+MATCH($H34,{"PLAN";"ACTUAL";"ACHIVE"},0)-1,
MATCH($I34,DAY('Activity Plan'!$S$7:$AW$7),0)))</f>
        <v>0.9</v>
      </c>
      <c r="L34" t="s">
        <v>20</v>
      </c>
      <c r="M34" t="s">
        <v>21</v>
      </c>
      <c r="N34">
        <v>16</v>
      </c>
      <c r="O34" s="71" cm="1">
        <f t="array" ref="O34">IF(INDEX('Activity Plan'!$S$34:$AW$99,
MATCH("*"&amp;TRIM($L34)&amp;"*",'Activity Plan'!$D$35:$D$100,0)+MATCH($M34,{"PLAN";"ACTUAL";"ACHIVE"},0)-1,
MATCH($N34,DAY('Activity Plan'!$S$7:$AW$7),0))=0,
"N/A",
INDEX('Activity Plan'!$S$34:$AW$99,
MATCH("*"&amp;TRIM($L34)&amp;"*",'Activity Plan'!$D$35:$D$100,0)+MATCH($M34,{"PLAN";"ACTUAL";"ACHIVE"},0)-1,
MATCH($N34,DAY('Activity Plan'!$S$7:$AW$7),0)))</f>
        <v>70</v>
      </c>
      <c r="Q34" t="s">
        <v>138</v>
      </c>
      <c r="R34" t="s">
        <v>21</v>
      </c>
      <c r="S34">
        <v>16</v>
      </c>
      <c r="T34" s="71" cm="1">
        <f t="array" ref="T34">IF(INDEX('Activity Plan'!$S$34:$AW$99,
MATCH("*"&amp;TRIM($Q34)&amp;"*",'Activity Plan'!$D$35:$D$100,0)+MATCH($R34,{"PLAN";"ACTUAL";"ACHIVE"},0)-1,
MATCH($S34,DAY('Activity Plan'!$S$7:$AW$7),0))=0,
"N/A",
INDEX('Activity Plan'!$S$34:$AW$99,
MATCH("*"&amp;TRIM($Q34)&amp;"*",'Activity Plan'!$D$35:$D$100,0)+MATCH($R34,{"PLAN";"ACTUAL";"ACHIVE"},0)-1,
MATCH($S34,DAY('Activity Plan'!$S$7:$AW$7),0)))</f>
        <v>80</v>
      </c>
      <c r="U34" s="71"/>
      <c r="V34" t="s">
        <v>19</v>
      </c>
      <c r="W34" t="s">
        <v>39</v>
      </c>
      <c r="X34" s="70">
        <v>31</v>
      </c>
      <c r="Y34" s="69" t="e" cm="1">
        <f t="array" ref="Y34">IF(INDEX('Activity Plan'!$S$34:$AW$99,
MATCH("*"&amp;TRIM($V34)&amp;"*",'Activity Plan'!$D$35:$D$100,0)+MATCH($W34,{"PLAN";"ACTUAL";"ACHIVE"},0)-1,
MATCH($X34,DAY('Activity Plan'!$S$7:$AW$7),0))=0,
"N/A",
INDEX('Activity Plan'!$S$34:$AW$99,
MATCH("*"&amp;TRIM($V34)&amp;"*",'Activity Plan'!$D$35:$D$100,0)+MATCH($W34,{"PLAN";"ACTUAL";"ACHIVE"},0)-1,
MATCH($X34,DAY('Activity Plan'!$S$7:$AW$7),0)))</f>
        <v>#N/A</v>
      </c>
      <c r="AA34" t="s">
        <v>40</v>
      </c>
      <c r="AB34" t="s">
        <v>21</v>
      </c>
      <c r="AC34" s="70">
        <v>31</v>
      </c>
      <c r="AD34" s="77">
        <f>'Activity Plan'!AW33</f>
        <v>0.52666666666666562</v>
      </c>
      <c r="AF34" s="70" t="str">
        <f>IF(ROWS($Z$15:Z45)&gt;COUNTA(Tbl_SM[NO]),"N/A",ROWS($Z$15:Z45))</f>
        <v>N/A</v>
      </c>
      <c r="AG34" t="str">
        <f>IF(OR(Tbl_Summary[[#This Row],[NO]]="",Tbl_Summary[[#This Row],[NO]]="N/A"),"",_xlfn.XLOOKUP(Tbl_Summary[[#This Row],[NO]],Tbl_SM[NO],Tbl_SM[5 FACTOR]))</f>
        <v/>
      </c>
      <c r="AH34" t="str">
        <f>IF(OR(Tbl_Summary[[#This Row],[NO]]="",Tbl_Summary[[#This Row],[NO]]="N/A"),"",_xlfn.XLOOKUP(Tbl_Summary[[#This Row],[NO]],Tbl_SM[NO],Tbl_SM[CATEGORY]))</f>
        <v/>
      </c>
      <c r="AI34" t="str">
        <f>IF(OR(Tbl_Summary[[#This Row],[NO]]="",Tbl_Summary[[#This Row],[NO]]="N/A"),"",_xlfn.XLOOKUP(Tbl_Summary[[#This Row],[NO]],Tbl_SM[NO],Tbl_SM[PIC]))</f>
        <v/>
      </c>
      <c r="AJ34" s="72" t="str">
        <f>IF(OR(Tbl_Summary[[#This Row],[NO]]="",Tbl_Summary[[#This Row],[NO]]="N/A"),"",_xlfn.XLOOKUP(Tbl_Summary[[#This Row],[NO]],Tbl_SM[NO],Tbl_SM[PLAN START]))</f>
        <v/>
      </c>
      <c r="AK34" s="72" t="str">
        <f>IF(OR(Tbl_Summary[[#This Row],[NO]]="",Tbl_Summary[[#This Row],[NO]]="N/A"),"",_xlfn.XLOOKUP(Tbl_Summary[[#This Row],[NO]],Tbl_SM[NO],Tbl_SM[DUE DATA]))</f>
        <v/>
      </c>
      <c r="AL34" s="70" t="str">
        <f>IF(OR(Tbl_Summary[[#This Row],[NO]]="",Tbl_Summary[[#This Row],[NO]]="N/A"),"",_xlfn.XLOOKUP(Tbl_Summary[[#This Row],[NO]],Tbl_SM[NO],Tbl_SM[PLAN DURATION]))</f>
        <v/>
      </c>
      <c r="AM34" s="72" t="str">
        <f>IFERROR(IF(OR(Tbl_Summary[[#This Row],[NO]]="",Tbl_Summary[[#This Row],[NO]]="N/A"),"",_xlfn.XLOOKUP(Tbl_Summary[[#This Row],[NO]],Tbl_SM[NO],Tbl_SM[ACTUAL START])),"")</f>
        <v/>
      </c>
      <c r="AN34" s="72" t="str">
        <f>IFERROR(IF(OR(Tbl_Summary[[#This Row],[NO]]="",Tbl_Summary[[#This Row],[NO]]="N/A"),"N/A",
IF(_xlfn.XLOOKUP(Tbl_Summary[[#This Row],[NO]],Tbl_SM[NO],Tbl_SM[ACTUAL FINISH])=0,"N/A",
_xlfn.XLOOKUP(Tbl_Summary[[#This Row],[NO]],Tbl_SM[NO],Tbl_SM[ACTUAL FINISH]))),"N/A")</f>
        <v>N/A</v>
      </c>
      <c r="AO34" s="73" t="str">
        <f>IFERROR(IF(OR(Tbl_Summary[[#This Row],[NO]]="",Tbl_Summary[[#This Row],[NO]]="N/A"),"",_xlfn.XLOOKUP(Tbl_Summary[[#This Row],[NO]],Tbl_SM[NO],Tbl_SM[ACTUAL DURATION])),"")</f>
        <v/>
      </c>
      <c r="AP34" s="72" t="str">
        <f>IFERROR(IF(OR(Tbl_Summary[[#This Row],[NO]]="",Tbl_Summary[[#This Row],[NO]]="N/A"),"",_xlfn.XLOOKUP(Tbl_Summary[[#This Row],[NO]],Tbl_SM[NO],Tbl_SM[STATUS])),"")</f>
        <v/>
      </c>
      <c r="AQ34" s="72" t="str">
        <f>IFERROR(IF(OR(Tbl_Summary[[#This Row],[NO]]="",Tbl_Summary[[#This Row],[NO]]="N/A"),"",_xlfn.XLOOKUP(Tbl_Summary[[#This Row],[NO]],Tbl_SM[NO],Tbl_SM[DUE STATUS])),"")</f>
        <v/>
      </c>
      <c r="AR34" s="80" t="str">
        <f>IFERROR(IF(OR(Tbl_Summary[[#This Row],[NO]]="",Tbl_Summary[[#This Row],[NO]]="N/A"),"",_xlfn.XLOOKUP(Tbl_Summary[[#This Row],[NO]],Tbl_SM[NO],Tbl_SM[COMPLETION])),"")</f>
        <v/>
      </c>
      <c r="AS34" s="70" t="str">
        <f>IFERROR(IF(OR(Tbl_Summary[[#This Row],[NO]]="",Tbl_Summary[[#This Row],[NO]]="N/A"),"",_xlfn.XLOOKUP(Tbl_Summary[[#This Row],[NO]],Tbl_SM[NO],Tbl_SM[COMPLETION_FLAG])),"")</f>
        <v/>
      </c>
      <c r="AU34" s="70" t="str">
        <f>IF(ROWS($Z$15:Z40)&gt;COUNTA(Tbl_SM[NO]),"N/A",ROWS($Z$15:Z40))</f>
        <v>N/A</v>
      </c>
      <c r="AV34" s="70" t="str">
        <f>IF(OR(Table8[[#This Row],[NO]]="",Table8[[#This Row],[NO]]="N/A"),"",_xlfn.XLOOKUP(Table8[[#This Row],[NO]],Tbl_SM[NO],Tbl_SM[5 FACTOR]))</f>
        <v/>
      </c>
      <c r="AW34" t="str">
        <f>IF(OR(Table8[[#This Row],[NO]]="",Table8[[#This Row],[NO]]="N/A"),"",_xlfn.XLOOKUP(Table8[[#This Row],[NO]],Tbl_SM[NO],Tbl_SM[CATEGORY]))</f>
        <v/>
      </c>
      <c r="AX34" s="77" t="e">
        <f>'Activity Plan'!#REF!</f>
        <v>#REF!</v>
      </c>
      <c r="AY34" s="77" t="e">
        <f>'Activity Plan'!#REF!</f>
        <v>#REF!</v>
      </c>
      <c r="AZ34" s="77" t="e">
        <f>'Activity Plan'!#REF!</f>
        <v>#REF!</v>
      </c>
      <c r="BA34" s="77" t="e">
        <f>'Activity Plan'!#REF!</f>
        <v>#REF!</v>
      </c>
      <c r="BB34" s="77" t="e">
        <f>'Activity Plan'!#REF!</f>
        <v>#REF!</v>
      </c>
      <c r="BC34" s="77" t="e">
        <f>'Activity Plan'!#REF!</f>
        <v>#REF!</v>
      </c>
      <c r="BD34" s="77" t="e">
        <f>'Activity Plan'!#REF!</f>
        <v>#REF!</v>
      </c>
      <c r="BE34" s="77" t="e">
        <f>'Activity Plan'!#REF!</f>
        <v>#REF!</v>
      </c>
      <c r="BF34" s="77" t="e">
        <f>'Activity Plan'!#REF!</f>
        <v>#REF!</v>
      </c>
      <c r="BG34" s="77" t="e">
        <f>'Activity Plan'!#REF!</f>
        <v>#REF!</v>
      </c>
      <c r="BH34" s="77" t="e">
        <f>'Activity Plan'!#REF!</f>
        <v>#REF!</v>
      </c>
      <c r="BI34" s="77" t="e">
        <f>'Activity Plan'!#REF!</f>
        <v>#REF!</v>
      </c>
      <c r="BJ34" s="77" t="e">
        <f>'Activity Plan'!#REF!</f>
        <v>#REF!</v>
      </c>
      <c r="BK34" s="77" t="e">
        <f>'Activity Plan'!#REF!</f>
        <v>#REF!</v>
      </c>
      <c r="BL34" s="77" t="e">
        <f>'Activity Plan'!#REF!</f>
        <v>#REF!</v>
      </c>
      <c r="BM34" s="77" t="e">
        <f>'Activity Plan'!#REF!</f>
        <v>#REF!</v>
      </c>
      <c r="BN34" s="77" t="e">
        <f>'Activity Plan'!#REF!</f>
        <v>#REF!</v>
      </c>
      <c r="BO34" s="77" t="e">
        <f>'Activity Plan'!#REF!</f>
        <v>#REF!</v>
      </c>
      <c r="BP34" s="77" t="e">
        <f>'Activity Plan'!#REF!</f>
        <v>#REF!</v>
      </c>
      <c r="BQ34" s="77" t="e">
        <f>'Activity Plan'!#REF!</f>
        <v>#REF!</v>
      </c>
      <c r="BR34" s="77" t="e">
        <f>'Activity Plan'!#REF!</f>
        <v>#REF!</v>
      </c>
      <c r="BS34" s="77" t="e">
        <f>'Activity Plan'!#REF!</f>
        <v>#REF!</v>
      </c>
      <c r="BT34" s="77" t="e">
        <f>'Activity Plan'!#REF!</f>
        <v>#REF!</v>
      </c>
      <c r="BU34" s="77" t="e">
        <f>'Activity Plan'!#REF!</f>
        <v>#REF!</v>
      </c>
      <c r="BV34" s="77" t="e">
        <f>'Activity Plan'!#REF!</f>
        <v>#REF!</v>
      </c>
      <c r="BW34" s="77" t="e">
        <f>'Activity Plan'!#REF!</f>
        <v>#REF!</v>
      </c>
      <c r="BX34" s="77" t="e">
        <f>'Activity Plan'!#REF!</f>
        <v>#REF!</v>
      </c>
      <c r="BY34" s="77" t="e">
        <f>'Activity Plan'!#REF!</f>
        <v>#REF!</v>
      </c>
      <c r="BZ34" s="77" t="e">
        <f>'Activity Plan'!#REF!</f>
        <v>#REF!</v>
      </c>
      <c r="CA34" s="77" t="e">
        <f>'Activity Plan'!#REF!</f>
        <v>#REF!</v>
      </c>
      <c r="CB34" s="77" t="e">
        <f>'Activity Plan'!#REF!</f>
        <v>#REF!</v>
      </c>
      <c r="CF34">
        <v>1</v>
      </c>
      <c r="CG34" t="s">
        <v>30</v>
      </c>
      <c r="CH34" t="s">
        <v>2</v>
      </c>
      <c r="CI34" t="s">
        <v>80</v>
      </c>
      <c r="CJ34" s="68">
        <v>1</v>
      </c>
      <c r="CL34" t="s">
        <v>150</v>
      </c>
      <c r="CM34" t="s">
        <v>19</v>
      </c>
      <c r="CN34" t="s">
        <v>21</v>
      </c>
      <c r="CO34">
        <v>16</v>
      </c>
      <c r="CP34" cm="1">
        <f t="array" ref="CP34">IF(INDEX('Activity Plan'!$S$34:$AW$99,
MATCH("*"&amp;TRIM($B34)&amp;"*",'Activity Plan'!$D$35:$D$100,0)+MATCH($C34,{"PLAN";"ACTUAL";"ACHIVE"},0)-1,
MATCH($D34,DAY('Activity Plan'!$S$7:$AW$7),0))=0,
"N/A",
INDEX('Activity Plan'!$S$34:$AW$99,
MATCH("*"&amp;TRIM($B34)&amp;"*",'Activity Plan'!$D$35:$D$100,0)+MATCH($C34,{"PLAN";"ACTUAL";"ACHIVE"},0)-1,
MATCH($D34,DAY('Activity Plan'!$S$7:$AW$7),0)))</f>
        <v>16</v>
      </c>
      <c r="CU34">
        <f>'Activity Plan'!AH7</f>
        <v>46189</v>
      </c>
      <c r="CV34" t="s">
        <v>21</v>
      </c>
      <c r="CW34" s="194">
        <f>IFERROR(IF('Activity Plan'!AH33=0,"N/A",'Activity Plan'!AH33),"N/A")</f>
        <v>0.42666666666666714</v>
      </c>
      <c r="CZ34">
        <f t="shared" si="0"/>
        <v>31</v>
      </c>
      <c r="DA34" s="199">
        <f>SUMIFS(TBL_ACHIVEMENT[VALUE],
        TBL_ACHIVEMENT[DATE],TBL_ACHIVEMENT[[#This Row],[DATE]],
        TBL_ACHIVEMENT[CATEGORY],"PLAN")</f>
        <v>0.52666666666666562</v>
      </c>
      <c r="DB34" s="144">
        <f>SUMIFS(TBL_ACHIVEMENT[VALUE],
        TBL_ACHIVEMENT[DATE],TBL_ACHIVEMENT[[#This Row],[DATE]],
        TBL_ACHIVEMENT[CATEGORY],"ACTUAL")</f>
        <v>0</v>
      </c>
      <c r="DC34" s="198">
        <f>SUMIFS(TBL_DOZER_READINESS[VALUE],
        TBL_DOZER_READINESS[DATE],TBL_DOZER_READINESS[[#This Row],[DATE]],
        TBL_DOZER_READINESS[CATEGORY],"ACTUAL")</f>
        <v>13</v>
      </c>
      <c r="DD34" s="200">
        <f>SUMIFS(TBL_PA_DOZER[VALUE],
TBL_PA_DOZER[DATE],TBL_PA_DOZER[[#This Row],[DATE]],
TBL_PA_DOZER[CATEGORY],"ACTUAL")</f>
        <v>0.93</v>
      </c>
      <c r="DE34">
        <f>SUMIFS(Tbl_MTBF[VALUE],
Tbl_MTBF[DATE],Tbl_MTBF[[#This Row],[DATE]],
Tbl_MTBF[CATEGORY],"ACTUAL")</f>
        <v>60</v>
      </c>
      <c r="DF34">
        <f>SUMIFS(Tbl_MTTR[VALUE],
Tbl_MTTR[DATE],Tbl_MTTR[[#This Row],[DATE]],
Tbl_MTTR[CATEGORY],"ACTUAL")</f>
        <v>60</v>
      </c>
    </row>
    <row r="35" spans="2:110" x14ac:dyDescent="0.35">
      <c r="B35" t="s">
        <v>19</v>
      </c>
      <c r="C35" t="s">
        <v>22</v>
      </c>
      <c r="D35">
        <v>16</v>
      </c>
      <c r="E35" cm="1">
        <f t="array" ref="E35">IF(INDEX('Activity Plan'!$S$34:$AW$99,
MATCH("*"&amp;TRIM($B35)&amp;"*",'Activity Plan'!$D$35:$D$100,0)+MATCH($C35,{"PLAN";"ACTUAL";"ACHIVE"},0)-1,
MATCH($D35,DAY('Activity Plan'!$S$7:$AW$7),0))=0,
"N/A",
INDEX('Activity Plan'!$S$34:$AW$99,
MATCH("*"&amp;TRIM($B35)&amp;"*",'Activity Plan'!$D$35:$D$100,0)+MATCH($C35,{"PLAN";"ACTUAL";"ACHIVE"},0)-1,
MATCH($D35,DAY('Activity Plan'!$S$7:$AW$7),0)))</f>
        <v>13</v>
      </c>
      <c r="G35" t="s">
        <v>18</v>
      </c>
      <c r="H35" t="s">
        <v>22</v>
      </c>
      <c r="I35">
        <v>16</v>
      </c>
      <c r="J35" s="68" cm="1">
        <f t="array" ref="J35">IF(INDEX('Activity Plan'!$S$34:$AW$99,
MATCH("*"&amp;TRIM($G35)&amp;"*",'Activity Plan'!$D$35:$D$100,0)+MATCH($H35,{"PLAN";"ACTUAL";"ACHIVE"},0)-1,
MATCH($I35,DAY('Activity Plan'!$S$7:$AW$7),0))=0,
"N/A",
INDEX('Activity Plan'!$S$34:$AW$99,
MATCH("*"&amp;TRIM($G35)&amp;"*",'Activity Plan'!$D$35:$D$100,0)+MATCH($H35,{"PLAN";"ACTUAL";"ACHIVE"},0)-1,
MATCH($I35,DAY('Activity Plan'!$S$7:$AW$7),0)))</f>
        <v>0.93</v>
      </c>
      <c r="L35" t="s">
        <v>20</v>
      </c>
      <c r="M35" t="s">
        <v>22</v>
      </c>
      <c r="N35">
        <v>16</v>
      </c>
      <c r="O35" s="71" cm="1">
        <f t="array" ref="O35">IF(INDEX('Activity Plan'!$S$34:$AW$99,
MATCH("*"&amp;TRIM($L35)&amp;"*",'Activity Plan'!$D$35:$D$100,0)+MATCH($M35,{"PLAN";"ACTUAL";"ACHIVE"},0)-1,
MATCH($N35,DAY('Activity Plan'!$S$7:$AW$7),0))=0,
"N/A",
INDEX('Activity Plan'!$S$34:$AW$99,
MATCH("*"&amp;TRIM($L35)&amp;"*",'Activity Plan'!$D$35:$D$100,0)+MATCH($M35,{"PLAN";"ACTUAL";"ACHIVE"},0)-1,
MATCH($N35,DAY('Activity Plan'!$S$7:$AW$7),0)))</f>
        <v>60</v>
      </c>
      <c r="Q35" t="s">
        <v>138</v>
      </c>
      <c r="R35" t="s">
        <v>22</v>
      </c>
      <c r="S35">
        <v>16</v>
      </c>
      <c r="T35" s="71" cm="1">
        <f t="array" ref="T35">IF(INDEX('Activity Plan'!$S$34:$AW$99,
MATCH("*"&amp;TRIM($Q35)&amp;"*",'Activity Plan'!$D$35:$D$100,0)+MATCH($R35,{"PLAN";"ACTUAL";"ACHIVE"},0)-1,
MATCH($S35,DAY('Activity Plan'!$S$7:$AW$7),0))=0,
"N/A",
INDEX('Activity Plan'!$S$34:$AW$99,
MATCH("*"&amp;TRIM($Q35)&amp;"*",'Activity Plan'!$D$35:$D$100,0)+MATCH($R35,{"PLAN";"ACTUAL";"ACHIVE"},0)-1,
MATCH($S35,DAY('Activity Plan'!$S$7:$AW$7),0)))</f>
        <v>60</v>
      </c>
      <c r="U35" s="71"/>
      <c r="V35" t="s">
        <v>18</v>
      </c>
      <c r="W35" t="s">
        <v>39</v>
      </c>
      <c r="X35" s="70">
        <v>1</v>
      </c>
      <c r="Y35" s="69" cm="1">
        <f t="array" ref="Y35">IF(INDEX('Activity Plan'!$S$34:$AW$99,
MATCH("*"&amp;TRIM($V35)&amp;"*",'Activity Plan'!$D$35:$D$100,0)+MATCH($W35,{"PLAN";"ACTUAL";"ACHIVE"},0)-1,
MATCH($X35,DAY('Activity Plan'!$S$7:$AW$7),0))=0,
"N/A",
INDEX('Activity Plan'!$S$34:$AW$99,
MATCH("*"&amp;TRIM($V35)&amp;"*",'Activity Plan'!$D$35:$D$100,0)+MATCH($W35,{"PLAN";"ACTUAL";"ACHIVE"},0)-1,
MATCH($X35,DAY('Activity Plan'!$S$7:$AW$7),0)))</f>
        <v>0.96666666666666667</v>
      </c>
      <c r="AA35" t="s">
        <v>40</v>
      </c>
      <c r="AB35" t="s">
        <v>22</v>
      </c>
      <c r="AC35" s="70">
        <v>1</v>
      </c>
      <c r="AD35" s="145">
        <f>'Activity Plan'!AX33</f>
        <v>0.53499999999999892</v>
      </c>
      <c r="AF35" s="70" t="str">
        <f>IF(ROWS($Z$15:Z46)&gt;COUNTA(Tbl_SM[NO]),"N/A",ROWS($Z$15:Z46))</f>
        <v>N/A</v>
      </c>
      <c r="AG35" t="str">
        <f>IF(OR(Tbl_Summary[[#This Row],[NO]]="",Tbl_Summary[[#This Row],[NO]]="N/A"),"",_xlfn.XLOOKUP(Tbl_Summary[[#This Row],[NO]],Tbl_SM[NO],Tbl_SM[5 FACTOR]))</f>
        <v/>
      </c>
      <c r="AH35" t="str">
        <f>IF(OR(Tbl_Summary[[#This Row],[NO]]="",Tbl_Summary[[#This Row],[NO]]="N/A"),"",_xlfn.XLOOKUP(Tbl_Summary[[#This Row],[NO]],Tbl_SM[NO],Tbl_SM[CATEGORY]))</f>
        <v/>
      </c>
      <c r="AI35" t="str">
        <f>IF(OR(Tbl_Summary[[#This Row],[NO]]="",Tbl_Summary[[#This Row],[NO]]="N/A"),"",_xlfn.XLOOKUP(Tbl_Summary[[#This Row],[NO]],Tbl_SM[NO],Tbl_SM[PIC]))</f>
        <v/>
      </c>
      <c r="AJ35" s="72" t="str">
        <f>IF(OR(Tbl_Summary[[#This Row],[NO]]="",Tbl_Summary[[#This Row],[NO]]="N/A"),"",_xlfn.XLOOKUP(Tbl_Summary[[#This Row],[NO]],Tbl_SM[NO],Tbl_SM[PLAN START]))</f>
        <v/>
      </c>
      <c r="AK35" s="72" t="str">
        <f>IF(OR(Tbl_Summary[[#This Row],[NO]]="",Tbl_Summary[[#This Row],[NO]]="N/A"),"",_xlfn.XLOOKUP(Tbl_Summary[[#This Row],[NO]],Tbl_SM[NO],Tbl_SM[DUE DATA]))</f>
        <v/>
      </c>
      <c r="AL35" s="70" t="str">
        <f>IF(OR(Tbl_Summary[[#This Row],[NO]]="",Tbl_Summary[[#This Row],[NO]]="N/A"),"",_xlfn.XLOOKUP(Tbl_Summary[[#This Row],[NO]],Tbl_SM[NO],Tbl_SM[PLAN DURATION]))</f>
        <v/>
      </c>
      <c r="AM35" s="72" t="str">
        <f>IFERROR(IF(OR(Tbl_Summary[[#This Row],[NO]]="",Tbl_Summary[[#This Row],[NO]]="N/A"),"",_xlfn.XLOOKUP(Tbl_Summary[[#This Row],[NO]],Tbl_SM[NO],Tbl_SM[ACTUAL START])),"")</f>
        <v/>
      </c>
      <c r="AN35" s="72" t="str">
        <f>IFERROR(IF(OR(Tbl_Summary[[#This Row],[NO]]="",Tbl_Summary[[#This Row],[NO]]="N/A"),"N/A",
IF(_xlfn.XLOOKUP(Tbl_Summary[[#This Row],[NO]],Tbl_SM[NO],Tbl_SM[ACTUAL FINISH])=0,"N/A",
_xlfn.XLOOKUP(Tbl_Summary[[#This Row],[NO]],Tbl_SM[NO],Tbl_SM[ACTUAL FINISH]))),"N/A")</f>
        <v>N/A</v>
      </c>
      <c r="AO35" s="73" t="str">
        <f>IFERROR(IF(OR(Tbl_Summary[[#This Row],[NO]]="",Tbl_Summary[[#This Row],[NO]]="N/A"),"",_xlfn.XLOOKUP(Tbl_Summary[[#This Row],[NO]],Tbl_SM[NO],Tbl_SM[ACTUAL DURATION])),"")</f>
        <v/>
      </c>
      <c r="AP35" s="72" t="str">
        <f>IFERROR(IF(OR(Tbl_Summary[[#This Row],[NO]]="",Tbl_Summary[[#This Row],[NO]]="N/A"),"",_xlfn.XLOOKUP(Tbl_Summary[[#This Row],[NO]],Tbl_SM[NO],Tbl_SM[STATUS])),"")</f>
        <v/>
      </c>
      <c r="AQ35" s="72" t="str">
        <f>IFERROR(IF(OR(Tbl_Summary[[#This Row],[NO]]="",Tbl_Summary[[#This Row],[NO]]="N/A"),"",_xlfn.XLOOKUP(Tbl_Summary[[#This Row],[NO]],Tbl_SM[NO],Tbl_SM[DUE STATUS])),"")</f>
        <v/>
      </c>
      <c r="AR35" s="80" t="str">
        <f>IFERROR(IF(OR(Tbl_Summary[[#This Row],[NO]]="",Tbl_Summary[[#This Row],[NO]]="N/A"),"",_xlfn.XLOOKUP(Tbl_Summary[[#This Row],[NO]],Tbl_SM[NO],Tbl_SM[COMPLETION])),"")</f>
        <v/>
      </c>
      <c r="AS35" s="70" t="str">
        <f>IFERROR(IF(OR(Tbl_Summary[[#This Row],[NO]]="",Tbl_Summary[[#This Row],[NO]]="N/A"),"",_xlfn.XLOOKUP(Tbl_Summary[[#This Row],[NO]],Tbl_SM[NO],Tbl_SM[COMPLETION_FLAG])),"")</f>
        <v/>
      </c>
      <c r="AU35" s="70" t="str">
        <f>IF(ROWS($Z$15:Z41)&gt;COUNTA(Tbl_SM[NO]),"N/A",ROWS($Z$15:Z41))</f>
        <v>N/A</v>
      </c>
      <c r="AV35" s="70" t="str">
        <f>IF(OR(Table8[[#This Row],[NO]]="",Table8[[#This Row],[NO]]="N/A"),"",_xlfn.XLOOKUP(Table8[[#This Row],[NO]],Tbl_SM[NO],Tbl_SM[5 FACTOR]))</f>
        <v/>
      </c>
      <c r="AW35" t="str">
        <f>IF(OR(Table8[[#This Row],[NO]]="",Table8[[#This Row],[NO]]="N/A"),"",_xlfn.XLOOKUP(Table8[[#This Row],[NO]],Tbl_SM[NO],Tbl_SM[CATEGORY]))</f>
        <v/>
      </c>
      <c r="AX35" s="77" t="e">
        <f>'Activity Plan'!#REF!</f>
        <v>#REF!</v>
      </c>
      <c r="AY35" s="77" t="e">
        <f>'Activity Plan'!#REF!</f>
        <v>#REF!</v>
      </c>
      <c r="AZ35" s="77" t="e">
        <f>'Activity Plan'!#REF!</f>
        <v>#REF!</v>
      </c>
      <c r="BA35" s="77" t="e">
        <f>'Activity Plan'!#REF!</f>
        <v>#REF!</v>
      </c>
      <c r="BB35" s="77" t="e">
        <f>'Activity Plan'!#REF!</f>
        <v>#REF!</v>
      </c>
      <c r="BC35" s="77" t="e">
        <f>'Activity Plan'!#REF!</f>
        <v>#REF!</v>
      </c>
      <c r="BD35" s="77" t="e">
        <f>'Activity Plan'!#REF!</f>
        <v>#REF!</v>
      </c>
      <c r="BE35" s="77" t="e">
        <f>'Activity Plan'!#REF!</f>
        <v>#REF!</v>
      </c>
      <c r="BF35" s="77" t="e">
        <f>'Activity Plan'!#REF!</f>
        <v>#REF!</v>
      </c>
      <c r="BG35" s="77" t="e">
        <f>'Activity Plan'!#REF!</f>
        <v>#REF!</v>
      </c>
      <c r="BH35" s="77" t="e">
        <f>'Activity Plan'!#REF!</f>
        <v>#REF!</v>
      </c>
      <c r="BI35" s="77" t="e">
        <f>'Activity Plan'!#REF!</f>
        <v>#REF!</v>
      </c>
      <c r="BJ35" s="77" t="e">
        <f>'Activity Plan'!#REF!</f>
        <v>#REF!</v>
      </c>
      <c r="BK35" s="77" t="e">
        <f>'Activity Plan'!#REF!</f>
        <v>#REF!</v>
      </c>
      <c r="BL35" s="77" t="e">
        <f>'Activity Plan'!#REF!</f>
        <v>#REF!</v>
      </c>
      <c r="BM35" s="77" t="e">
        <f>'Activity Plan'!#REF!</f>
        <v>#REF!</v>
      </c>
      <c r="BN35" s="77" t="e">
        <f>'Activity Plan'!#REF!</f>
        <v>#REF!</v>
      </c>
      <c r="BO35" s="77" t="e">
        <f>'Activity Plan'!#REF!</f>
        <v>#REF!</v>
      </c>
      <c r="BP35" s="77" t="e">
        <f>'Activity Plan'!#REF!</f>
        <v>#REF!</v>
      </c>
      <c r="BQ35" s="77" t="e">
        <f>'Activity Plan'!#REF!</f>
        <v>#REF!</v>
      </c>
      <c r="BR35" s="77" t="e">
        <f>'Activity Plan'!#REF!</f>
        <v>#REF!</v>
      </c>
      <c r="BS35" s="77" t="e">
        <f>'Activity Plan'!#REF!</f>
        <v>#REF!</v>
      </c>
      <c r="BT35" s="77" t="e">
        <f>'Activity Plan'!#REF!</f>
        <v>#REF!</v>
      </c>
      <c r="BU35" s="77" t="e">
        <f>'Activity Plan'!#REF!</f>
        <v>#REF!</v>
      </c>
      <c r="BV35" s="77" t="e">
        <f>'Activity Plan'!#REF!</f>
        <v>#REF!</v>
      </c>
      <c r="BW35" s="77" t="e">
        <f>'Activity Plan'!#REF!</f>
        <v>#REF!</v>
      </c>
      <c r="BX35" s="77" t="e">
        <f>'Activity Plan'!#REF!</f>
        <v>#REF!</v>
      </c>
      <c r="BY35" s="77" t="e">
        <f>'Activity Plan'!#REF!</f>
        <v>#REF!</v>
      </c>
      <c r="BZ35" s="77" t="e">
        <f>'Activity Plan'!#REF!</f>
        <v>#REF!</v>
      </c>
      <c r="CA35" s="77" t="e">
        <f>'Activity Plan'!#REF!</f>
        <v>#REF!</v>
      </c>
      <c r="CB35" s="77" t="e">
        <f>'Activity Plan'!#REF!</f>
        <v>#REF!</v>
      </c>
      <c r="CF35">
        <v>2</v>
      </c>
      <c r="CG35" t="s">
        <v>30</v>
      </c>
      <c r="CH35" t="s">
        <v>2</v>
      </c>
      <c r="CI35" t="s">
        <v>52</v>
      </c>
      <c r="CJ35" s="68">
        <v>0</v>
      </c>
      <c r="CL35" t="s">
        <v>150</v>
      </c>
      <c r="CM35" t="s">
        <v>19</v>
      </c>
      <c r="CN35" t="s">
        <v>22</v>
      </c>
      <c r="CO35">
        <v>16</v>
      </c>
      <c r="CP35" cm="1">
        <f t="array" ref="CP35">IF(INDEX('Activity Plan'!$S$34:$AW$99,
MATCH("*"&amp;TRIM($B35)&amp;"*",'Activity Plan'!$D$35:$D$100,0)+MATCH($C35,{"PLAN";"ACTUAL";"ACHIVE"},0)-1,
MATCH($D35,DAY('Activity Plan'!$S$7:$AW$7),0))=0,
"N/A",
INDEX('Activity Plan'!$S$34:$AW$99,
MATCH("*"&amp;TRIM($B35)&amp;"*",'Activity Plan'!$D$35:$D$100,0)+MATCH($C35,{"PLAN";"ACTUAL";"ACHIVE"},0)-1,
MATCH($D35,DAY('Activity Plan'!$S$7:$AW$7),0)))</f>
        <v>13</v>
      </c>
      <c r="CU35">
        <f>'Activity Plan'!AH7</f>
        <v>46189</v>
      </c>
      <c r="CV35" t="s">
        <v>22</v>
      </c>
      <c r="CW35" s="194">
        <f>IFERROR(IF('Activity Plan'!BM33=0,"N/A",'Activity Plan'!BM33),"N/A")</f>
        <v>0.8999999999999998</v>
      </c>
    </row>
    <row r="36" spans="2:110" x14ac:dyDescent="0.35">
      <c r="B36" t="s">
        <v>19</v>
      </c>
      <c r="C36" t="s">
        <v>21</v>
      </c>
      <c r="D36">
        <v>17</v>
      </c>
      <c r="E36" cm="1">
        <f t="array" ref="E36">IF(INDEX('Activity Plan'!$S$34:$AW$99,
MATCH("*"&amp;TRIM($B36)&amp;"*",'Activity Plan'!$D$35:$D$100,0)+MATCH($C36,{"PLAN";"ACTUAL";"ACHIVE"},0)-1,
MATCH($D36,DAY('Activity Plan'!$S$7:$AW$7),0))=0,
"N/A",
INDEX('Activity Plan'!$S$34:$AW$99,
MATCH("*"&amp;TRIM($B36)&amp;"*",'Activity Plan'!$D$35:$D$100,0)+MATCH($C36,{"PLAN";"ACTUAL";"ACHIVE"},0)-1,
MATCH($D36,DAY('Activity Plan'!$S$7:$AW$7),0)))</f>
        <v>16</v>
      </c>
      <c r="G36" t="s">
        <v>18</v>
      </c>
      <c r="H36" t="s">
        <v>21</v>
      </c>
      <c r="I36">
        <v>17</v>
      </c>
      <c r="J36" s="68" cm="1">
        <f t="array" ref="J36">IF(INDEX('Activity Plan'!$S$34:$AW$99,
MATCH("*"&amp;TRIM($G36)&amp;"*",'Activity Plan'!$D$35:$D$100,0)+MATCH($H36,{"PLAN";"ACTUAL";"ACHIVE"},0)-1,
MATCH($I36,DAY('Activity Plan'!$S$7:$AW$7),0))=0,
"N/A",
INDEX('Activity Plan'!$S$34:$AW$99,
MATCH("*"&amp;TRIM($G36)&amp;"*",'Activity Plan'!$D$35:$D$100,0)+MATCH($H36,{"PLAN";"ACTUAL";"ACHIVE"},0)-1,
MATCH($I36,DAY('Activity Plan'!$S$7:$AW$7),0)))</f>
        <v>0.9</v>
      </c>
      <c r="L36" t="s">
        <v>20</v>
      </c>
      <c r="M36" t="s">
        <v>21</v>
      </c>
      <c r="N36">
        <v>17</v>
      </c>
      <c r="O36" s="71" cm="1">
        <f t="array" ref="O36">IF(INDEX('Activity Plan'!$S$34:$AW$99,
MATCH("*"&amp;TRIM($L36)&amp;"*",'Activity Plan'!$D$35:$D$100,0)+MATCH($M36,{"PLAN";"ACTUAL";"ACHIVE"},0)-1,
MATCH($N36,DAY('Activity Plan'!$S$7:$AW$7),0))=0,
"N/A",
INDEX('Activity Plan'!$S$34:$AW$99,
MATCH("*"&amp;TRIM($L36)&amp;"*",'Activity Plan'!$D$35:$D$100,0)+MATCH($M36,{"PLAN";"ACTUAL";"ACHIVE"},0)-1,
MATCH($N36,DAY('Activity Plan'!$S$7:$AW$7),0)))</f>
        <v>70</v>
      </c>
      <c r="Q36" t="s">
        <v>138</v>
      </c>
      <c r="R36" t="s">
        <v>21</v>
      </c>
      <c r="S36">
        <v>17</v>
      </c>
      <c r="T36" s="71" cm="1">
        <f t="array" ref="T36">IF(INDEX('Activity Plan'!$S$34:$AW$99,
MATCH("*"&amp;TRIM($Q36)&amp;"*",'Activity Plan'!$D$35:$D$100,0)+MATCH($R36,{"PLAN";"ACTUAL";"ACHIVE"},0)-1,
MATCH($S36,DAY('Activity Plan'!$S$7:$AW$7),0))=0,
"N/A",
INDEX('Activity Plan'!$S$34:$AW$99,
MATCH("*"&amp;TRIM($Q36)&amp;"*",'Activity Plan'!$D$35:$D$100,0)+MATCH($R36,{"PLAN";"ACTUAL";"ACHIVE"},0)-1,
MATCH($S36,DAY('Activity Plan'!$S$7:$AW$7),0)))</f>
        <v>80</v>
      </c>
      <c r="U36" s="71"/>
      <c r="V36" t="s">
        <v>18</v>
      </c>
      <c r="W36" t="s">
        <v>39</v>
      </c>
      <c r="X36" s="70">
        <v>2</v>
      </c>
      <c r="Y36" s="69" cm="1">
        <f t="array" ref="Y36">IF(INDEX('Activity Plan'!$S$34:$AW$99,
MATCH("*"&amp;TRIM($V36)&amp;"*",'Activity Plan'!$D$35:$D$100,0)+MATCH($W36,{"PLAN";"ACTUAL";"ACHIVE"},0)-1,
MATCH($X36,DAY('Activity Plan'!$S$7:$AW$7),0))=0,
"N/A",
INDEX('Activity Plan'!$S$34:$AW$99,
MATCH("*"&amp;TRIM($V36)&amp;"*",'Activity Plan'!$D$35:$D$100,0)+MATCH($W36,{"PLAN";"ACTUAL";"ACHIVE"},0)-1,
MATCH($X36,DAY('Activity Plan'!$S$7:$AW$7),0)))</f>
        <v>0.88888888888888895</v>
      </c>
      <c r="AA36" t="s">
        <v>40</v>
      </c>
      <c r="AB36" t="s">
        <v>22</v>
      </c>
      <c r="AC36" s="70">
        <v>2</v>
      </c>
      <c r="AD36" s="77">
        <f>'Activity Plan'!AY33</f>
        <v>0.54333333333333178</v>
      </c>
      <c r="AF36" s="70" t="str">
        <f>IF(ROWS($Z$15:Z47)&gt;COUNTA(Tbl_SM[NO]),"N/A",ROWS($Z$15:Z47))</f>
        <v>N/A</v>
      </c>
      <c r="AG36" t="str">
        <f>IF(OR(Tbl_Summary[[#This Row],[NO]]="",Tbl_Summary[[#This Row],[NO]]="N/A"),"",_xlfn.XLOOKUP(Tbl_Summary[[#This Row],[NO]],Tbl_SM[NO],Tbl_SM[5 FACTOR]))</f>
        <v/>
      </c>
      <c r="AH36" t="str">
        <f>IF(OR(Tbl_Summary[[#This Row],[NO]]="",Tbl_Summary[[#This Row],[NO]]="N/A"),"",_xlfn.XLOOKUP(Tbl_Summary[[#This Row],[NO]],Tbl_SM[NO],Tbl_SM[CATEGORY]))</f>
        <v/>
      </c>
      <c r="AI36" t="str">
        <f>IF(OR(Tbl_Summary[[#This Row],[NO]]="",Tbl_Summary[[#This Row],[NO]]="N/A"),"",_xlfn.XLOOKUP(Tbl_Summary[[#This Row],[NO]],Tbl_SM[NO],Tbl_SM[PIC]))</f>
        <v/>
      </c>
      <c r="AJ36" s="72" t="str">
        <f>IF(OR(Tbl_Summary[[#This Row],[NO]]="",Tbl_Summary[[#This Row],[NO]]="N/A"),"",_xlfn.XLOOKUP(Tbl_Summary[[#This Row],[NO]],Tbl_SM[NO],Tbl_SM[PLAN START]))</f>
        <v/>
      </c>
      <c r="AK36" s="72" t="str">
        <f>IF(OR(Tbl_Summary[[#This Row],[NO]]="",Tbl_Summary[[#This Row],[NO]]="N/A"),"",_xlfn.XLOOKUP(Tbl_Summary[[#This Row],[NO]],Tbl_SM[NO],Tbl_SM[DUE DATA]))</f>
        <v/>
      </c>
      <c r="AL36" s="70" t="str">
        <f>IF(OR(Tbl_Summary[[#This Row],[NO]]="",Tbl_Summary[[#This Row],[NO]]="N/A"),"",_xlfn.XLOOKUP(Tbl_Summary[[#This Row],[NO]],Tbl_SM[NO],Tbl_SM[PLAN DURATION]))</f>
        <v/>
      </c>
      <c r="AM36" s="72" t="str">
        <f>IFERROR(IF(OR(Tbl_Summary[[#This Row],[NO]]="",Tbl_Summary[[#This Row],[NO]]="N/A"),"",_xlfn.XLOOKUP(Tbl_Summary[[#This Row],[NO]],Tbl_SM[NO],Tbl_SM[ACTUAL START])),"")</f>
        <v/>
      </c>
      <c r="AN36" s="72" t="str">
        <f>IFERROR(IF(OR(Tbl_Summary[[#This Row],[NO]]="",Tbl_Summary[[#This Row],[NO]]="N/A"),"N/A",
IF(_xlfn.XLOOKUP(Tbl_Summary[[#This Row],[NO]],Tbl_SM[NO],Tbl_SM[ACTUAL FINISH])=0,"N/A",
_xlfn.XLOOKUP(Tbl_Summary[[#This Row],[NO]],Tbl_SM[NO],Tbl_SM[ACTUAL FINISH]))),"N/A")</f>
        <v>N/A</v>
      </c>
      <c r="AO36" s="73" t="str">
        <f>IFERROR(IF(OR(Tbl_Summary[[#This Row],[NO]]="",Tbl_Summary[[#This Row],[NO]]="N/A"),"",_xlfn.XLOOKUP(Tbl_Summary[[#This Row],[NO]],Tbl_SM[NO],Tbl_SM[ACTUAL DURATION])),"")</f>
        <v/>
      </c>
      <c r="AP36" s="72" t="str">
        <f>IFERROR(IF(OR(Tbl_Summary[[#This Row],[NO]]="",Tbl_Summary[[#This Row],[NO]]="N/A"),"",_xlfn.XLOOKUP(Tbl_Summary[[#This Row],[NO]],Tbl_SM[NO],Tbl_SM[STATUS])),"")</f>
        <v/>
      </c>
      <c r="AQ36" s="72" t="str">
        <f>IFERROR(IF(OR(Tbl_Summary[[#This Row],[NO]]="",Tbl_Summary[[#This Row],[NO]]="N/A"),"",_xlfn.XLOOKUP(Tbl_Summary[[#This Row],[NO]],Tbl_SM[NO],Tbl_SM[DUE STATUS])),"")</f>
        <v/>
      </c>
      <c r="AR36" s="80" t="str">
        <f>IFERROR(IF(OR(Tbl_Summary[[#This Row],[NO]]="",Tbl_Summary[[#This Row],[NO]]="N/A"),"",_xlfn.XLOOKUP(Tbl_Summary[[#This Row],[NO]],Tbl_SM[NO],Tbl_SM[COMPLETION])),"")</f>
        <v/>
      </c>
      <c r="AS36" s="70" t="str">
        <f>IFERROR(IF(OR(Tbl_Summary[[#This Row],[NO]]="",Tbl_Summary[[#This Row],[NO]]="N/A"),"",_xlfn.XLOOKUP(Tbl_Summary[[#This Row],[NO]],Tbl_SM[NO],Tbl_SM[COMPLETION_FLAG])),"")</f>
        <v/>
      </c>
      <c r="AU36" s="70"/>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7"/>
      <c r="BV36" s="77"/>
      <c r="BW36" s="77"/>
      <c r="BX36" s="77"/>
      <c r="BY36" s="77"/>
      <c r="BZ36" s="77"/>
      <c r="CA36" s="77"/>
      <c r="CB36" s="77"/>
      <c r="CF36">
        <v>2</v>
      </c>
      <c r="CG36" t="s">
        <v>30</v>
      </c>
      <c r="CH36" t="s">
        <v>2</v>
      </c>
      <c r="CI36" t="s">
        <v>53</v>
      </c>
      <c r="CJ36" s="68">
        <v>0</v>
      </c>
      <c r="CL36" t="s">
        <v>150</v>
      </c>
      <c r="CM36" t="s">
        <v>19</v>
      </c>
      <c r="CN36" t="s">
        <v>21</v>
      </c>
      <c r="CO36">
        <v>17</v>
      </c>
      <c r="CP36" cm="1">
        <f t="array" ref="CP36">IF(INDEX('Activity Plan'!$S$34:$AW$99,
MATCH("*"&amp;TRIM($B36)&amp;"*",'Activity Plan'!$D$35:$D$100,0)+MATCH($C36,{"PLAN";"ACTUAL";"ACHIVE"},0)-1,
MATCH($D36,DAY('Activity Plan'!$S$7:$AW$7),0))=0,
"N/A",
INDEX('Activity Plan'!$S$34:$AW$99,
MATCH("*"&amp;TRIM($B36)&amp;"*",'Activity Plan'!$D$35:$D$100,0)+MATCH($C36,{"PLAN";"ACTUAL";"ACHIVE"},0)-1,
MATCH($D36,DAY('Activity Plan'!$S$7:$AW$7),0)))</f>
        <v>16</v>
      </c>
      <c r="CU36">
        <f>'Activity Plan'!AI7</f>
        <v>46190</v>
      </c>
      <c r="CV36" t="s">
        <v>21</v>
      </c>
      <c r="CW36" s="194">
        <f>IFERROR(IF('Activity Plan'!AI33=0,"N/A",'Activity Plan'!AI33),"N/A")</f>
        <v>0.45166666666666683</v>
      </c>
    </row>
    <row r="37" spans="2:110" x14ac:dyDescent="0.35">
      <c r="B37" t="s">
        <v>19</v>
      </c>
      <c r="C37" t="s">
        <v>22</v>
      </c>
      <c r="D37">
        <v>17</v>
      </c>
      <c r="E37" cm="1">
        <f t="array" ref="E37">IF(INDEX('Activity Plan'!$S$34:$AW$99,
MATCH("*"&amp;TRIM($B37)&amp;"*",'Activity Plan'!$D$35:$D$100,0)+MATCH($C37,{"PLAN";"ACTUAL";"ACHIVE"},0)-1,
MATCH($D37,DAY('Activity Plan'!$S$7:$AW$7),0))=0,
"N/A",
INDEX('Activity Plan'!$S$34:$AW$99,
MATCH("*"&amp;TRIM($B37)&amp;"*",'Activity Plan'!$D$35:$D$100,0)+MATCH($C37,{"PLAN";"ACTUAL";"ACHIVE"},0)-1,
MATCH($D37,DAY('Activity Plan'!$S$7:$AW$7),0)))</f>
        <v>14</v>
      </c>
      <c r="G37" t="s">
        <v>18</v>
      </c>
      <c r="H37" t="s">
        <v>22</v>
      </c>
      <c r="I37">
        <v>17</v>
      </c>
      <c r="J37" s="68" cm="1">
        <f t="array" ref="J37">IF(INDEX('Activity Plan'!$S$34:$AW$99,
MATCH("*"&amp;TRIM($G37)&amp;"*",'Activity Plan'!$D$35:$D$100,0)+MATCH($H37,{"PLAN";"ACTUAL";"ACHIVE"},0)-1,
MATCH($I37,DAY('Activity Plan'!$S$7:$AW$7),0))=0,
"N/A",
INDEX('Activity Plan'!$S$34:$AW$99,
MATCH("*"&amp;TRIM($G37)&amp;"*",'Activity Plan'!$D$35:$D$100,0)+MATCH($H37,{"PLAN";"ACTUAL";"ACHIVE"},0)-1,
MATCH($I37,DAY('Activity Plan'!$S$7:$AW$7),0)))</f>
        <v>0.87</v>
      </c>
      <c r="L37" t="s">
        <v>20</v>
      </c>
      <c r="M37" t="s">
        <v>22</v>
      </c>
      <c r="N37">
        <v>17</v>
      </c>
      <c r="O37" s="71" cm="1">
        <f t="array" ref="O37">IF(INDEX('Activity Plan'!$S$34:$AW$99,
MATCH("*"&amp;TRIM($L37)&amp;"*",'Activity Plan'!$D$35:$D$100,0)+MATCH($M37,{"PLAN";"ACTUAL";"ACHIVE"},0)-1,
MATCH($N37,DAY('Activity Plan'!$S$7:$AW$7),0))=0,
"N/A",
INDEX('Activity Plan'!$S$34:$AW$99,
MATCH("*"&amp;TRIM($L37)&amp;"*",'Activity Plan'!$D$35:$D$100,0)+MATCH($M37,{"PLAN";"ACTUAL";"ACHIVE"},0)-1,
MATCH($N37,DAY('Activity Plan'!$S$7:$AW$7),0)))</f>
        <v>50</v>
      </c>
      <c r="Q37" t="s">
        <v>138</v>
      </c>
      <c r="R37" t="s">
        <v>22</v>
      </c>
      <c r="S37">
        <v>17</v>
      </c>
      <c r="T37" s="71" cm="1">
        <f t="array" ref="T37">IF(INDEX('Activity Plan'!$S$34:$AW$99,
MATCH("*"&amp;TRIM($Q37)&amp;"*",'Activity Plan'!$D$35:$D$100,0)+MATCH($R37,{"PLAN";"ACTUAL";"ACHIVE"},0)-1,
MATCH($S37,DAY('Activity Plan'!$S$7:$AW$7),0))=0,
"N/A",
INDEX('Activity Plan'!$S$34:$AW$99,
MATCH("*"&amp;TRIM($Q37)&amp;"*",'Activity Plan'!$D$35:$D$100,0)+MATCH($R37,{"PLAN";"ACTUAL";"ACHIVE"},0)-1,
MATCH($S37,DAY('Activity Plan'!$S$7:$AW$7),0)))</f>
        <v>50</v>
      </c>
      <c r="U37" s="71"/>
      <c r="V37" t="s">
        <v>18</v>
      </c>
      <c r="W37" t="s">
        <v>39</v>
      </c>
      <c r="X37" s="70">
        <v>3</v>
      </c>
      <c r="Y37" s="69" cm="1">
        <f t="array" ref="Y37">IF(INDEX('Activity Plan'!$S$34:$AW$99,
MATCH("*"&amp;TRIM($V37)&amp;"*",'Activity Plan'!$D$35:$D$100,0)+MATCH($W37,{"PLAN";"ACTUAL";"ACHIVE"},0)-1,
MATCH($X37,DAY('Activity Plan'!$S$7:$AW$7),0))=0,
"N/A",
INDEX('Activity Plan'!$S$34:$AW$99,
MATCH("*"&amp;TRIM($V37)&amp;"*",'Activity Plan'!$D$35:$D$100,0)+MATCH($W37,{"PLAN";"ACTUAL";"ACHIVE"},0)-1,
MATCH($X37,DAY('Activity Plan'!$S$7:$AW$7),0)))</f>
        <v>0.92222222222222217</v>
      </c>
      <c r="AA37" t="s">
        <v>40</v>
      </c>
      <c r="AB37" t="s">
        <v>22</v>
      </c>
      <c r="AC37" s="70">
        <v>3</v>
      </c>
      <c r="AD37" s="77">
        <f>'Activity Plan'!AZ33</f>
        <v>0.55166666666666531</v>
      </c>
      <c r="AF37" s="70" t="str">
        <f>IF(ROWS($Z$15:Z48)&gt;COUNTA(Tbl_SM[NO]),"N/A",ROWS($Z$15:Z48))</f>
        <v>N/A</v>
      </c>
      <c r="AG37" t="str">
        <f>IF(OR(Tbl_Summary[[#This Row],[NO]]="",Tbl_Summary[[#This Row],[NO]]="N/A"),"",_xlfn.XLOOKUP(Tbl_Summary[[#This Row],[NO]],Tbl_SM[NO],Tbl_SM[5 FACTOR]))</f>
        <v/>
      </c>
      <c r="AH37" t="str">
        <f>IF(OR(Tbl_Summary[[#This Row],[NO]]="",Tbl_Summary[[#This Row],[NO]]="N/A"),"",_xlfn.XLOOKUP(Tbl_Summary[[#This Row],[NO]],Tbl_SM[NO],Tbl_SM[CATEGORY]))</f>
        <v/>
      </c>
      <c r="AI37" t="str">
        <f>IF(OR(Tbl_Summary[[#This Row],[NO]]="",Tbl_Summary[[#This Row],[NO]]="N/A"),"",_xlfn.XLOOKUP(Tbl_Summary[[#This Row],[NO]],Tbl_SM[NO],Tbl_SM[PIC]))</f>
        <v/>
      </c>
      <c r="AJ37" s="72" t="str">
        <f>IF(OR(Tbl_Summary[[#This Row],[NO]]="",Tbl_Summary[[#This Row],[NO]]="N/A"),"",_xlfn.XLOOKUP(Tbl_Summary[[#This Row],[NO]],Tbl_SM[NO],Tbl_SM[PLAN START]))</f>
        <v/>
      </c>
      <c r="AK37" s="72" t="str">
        <f>IF(OR(Tbl_Summary[[#This Row],[NO]]="",Tbl_Summary[[#This Row],[NO]]="N/A"),"",_xlfn.XLOOKUP(Tbl_Summary[[#This Row],[NO]],Tbl_SM[NO],Tbl_SM[DUE DATA]))</f>
        <v/>
      </c>
      <c r="AL37" s="70" t="str">
        <f>IF(OR(Tbl_Summary[[#This Row],[NO]]="",Tbl_Summary[[#This Row],[NO]]="N/A"),"",_xlfn.XLOOKUP(Tbl_Summary[[#This Row],[NO]],Tbl_SM[NO],Tbl_SM[PLAN DURATION]))</f>
        <v/>
      </c>
      <c r="AM37" s="72" t="str">
        <f>IFERROR(IF(OR(Tbl_Summary[[#This Row],[NO]]="",Tbl_Summary[[#This Row],[NO]]="N/A"),"",_xlfn.XLOOKUP(Tbl_Summary[[#This Row],[NO]],Tbl_SM[NO],Tbl_SM[ACTUAL START])),"")</f>
        <v/>
      </c>
      <c r="AN37" s="72" t="str">
        <f>IFERROR(IF(OR(Tbl_Summary[[#This Row],[NO]]="",Tbl_Summary[[#This Row],[NO]]="N/A"),"N/A",
IF(_xlfn.XLOOKUP(Tbl_Summary[[#This Row],[NO]],Tbl_SM[NO],Tbl_SM[ACTUAL FINISH])=0,"N/A",
_xlfn.XLOOKUP(Tbl_Summary[[#This Row],[NO]],Tbl_SM[NO],Tbl_SM[ACTUAL FINISH]))),"N/A")</f>
        <v>N/A</v>
      </c>
      <c r="AO37" s="73" t="str">
        <f>IFERROR(IF(OR(Tbl_Summary[[#This Row],[NO]]="",Tbl_Summary[[#This Row],[NO]]="N/A"),"",_xlfn.XLOOKUP(Tbl_Summary[[#This Row],[NO]],Tbl_SM[NO],Tbl_SM[ACTUAL DURATION])),"")</f>
        <v/>
      </c>
      <c r="AP37" s="72" t="str">
        <f>IFERROR(IF(OR(Tbl_Summary[[#This Row],[NO]]="",Tbl_Summary[[#This Row],[NO]]="N/A"),"",_xlfn.XLOOKUP(Tbl_Summary[[#This Row],[NO]],Tbl_SM[NO],Tbl_SM[STATUS])),"")</f>
        <v/>
      </c>
      <c r="AQ37" s="72" t="str">
        <f>IFERROR(IF(OR(Tbl_Summary[[#This Row],[NO]]="",Tbl_Summary[[#This Row],[NO]]="N/A"),"",_xlfn.XLOOKUP(Tbl_Summary[[#This Row],[NO]],Tbl_SM[NO],Tbl_SM[DUE STATUS])),"")</f>
        <v/>
      </c>
      <c r="AR37" s="80" t="str">
        <f>IFERROR(IF(OR(Tbl_Summary[[#This Row],[NO]]="",Tbl_Summary[[#This Row],[NO]]="N/A"),"",_xlfn.XLOOKUP(Tbl_Summary[[#This Row],[NO]],Tbl_SM[NO],Tbl_SM[COMPLETION])),"")</f>
        <v/>
      </c>
      <c r="AS37" s="70" t="str">
        <f>IFERROR(IF(OR(Tbl_Summary[[#This Row],[NO]]="",Tbl_Summary[[#This Row],[NO]]="N/A"),"",_xlfn.XLOOKUP(Tbl_Summary[[#This Row],[NO]],Tbl_SM[NO],Tbl_SM[COMPLETION_FLAG])),"")</f>
        <v/>
      </c>
      <c r="AU37" s="70"/>
      <c r="AX37" s="77"/>
      <c r="AY37" s="77"/>
      <c r="AZ37" s="77"/>
      <c r="BA37" s="77"/>
      <c r="BB37" s="77"/>
      <c r="BC37" s="77"/>
      <c r="BD37" s="77"/>
      <c r="BE37" s="77"/>
      <c r="BF37" s="77"/>
      <c r="BG37" s="77"/>
      <c r="BH37" s="77"/>
      <c r="BI37" s="77"/>
      <c r="BJ37" s="77"/>
      <c r="BK37" s="77"/>
      <c r="BL37" s="77"/>
      <c r="BM37" s="77"/>
      <c r="BN37" s="77"/>
      <c r="BO37" s="77"/>
      <c r="BP37" s="77"/>
      <c r="BQ37" s="77"/>
      <c r="BR37" s="77"/>
      <c r="BS37" s="77"/>
      <c r="BT37" s="77"/>
      <c r="BU37" s="77"/>
      <c r="BV37" s="77"/>
      <c r="BW37" s="77"/>
      <c r="BX37" s="77"/>
      <c r="BY37" s="77"/>
      <c r="BZ37" s="77"/>
      <c r="CA37" s="77"/>
      <c r="CB37" s="77"/>
      <c r="CF37">
        <v>2</v>
      </c>
      <c r="CG37" t="s">
        <v>30</v>
      </c>
      <c r="CH37" t="s">
        <v>2</v>
      </c>
      <c r="CI37" t="s">
        <v>54</v>
      </c>
      <c r="CJ37" s="68">
        <v>1</v>
      </c>
      <c r="CL37" t="s">
        <v>150</v>
      </c>
      <c r="CM37" t="s">
        <v>19</v>
      </c>
      <c r="CN37" t="s">
        <v>22</v>
      </c>
      <c r="CO37">
        <v>17</v>
      </c>
      <c r="CP37" cm="1">
        <f t="array" ref="CP37">IF(INDEX('Activity Plan'!$S$34:$AW$99,
MATCH("*"&amp;TRIM($B37)&amp;"*",'Activity Plan'!$D$35:$D$100,0)+MATCH($C37,{"PLAN";"ACTUAL";"ACHIVE"},0)-1,
MATCH($D37,DAY('Activity Plan'!$S$7:$AW$7),0))=0,
"N/A",
INDEX('Activity Plan'!$S$34:$AW$99,
MATCH("*"&amp;TRIM($B37)&amp;"*",'Activity Plan'!$D$35:$D$100,0)+MATCH($C37,{"PLAN";"ACTUAL";"ACHIVE"},0)-1,
MATCH($D37,DAY('Activity Plan'!$S$7:$AW$7),0)))</f>
        <v>14</v>
      </c>
      <c r="CU37">
        <f>'Activity Plan'!AI7</f>
        <v>46190</v>
      </c>
      <c r="CV37" t="s">
        <v>22</v>
      </c>
      <c r="CW37" s="194">
        <f>IFERROR(IF('Activity Plan'!BN33=0,"N/A",'Activity Plan'!BN33),"N/A")</f>
        <v>0.92999999999999983</v>
      </c>
    </row>
    <row r="38" spans="2:110" x14ac:dyDescent="0.35">
      <c r="B38" t="s">
        <v>19</v>
      </c>
      <c r="C38" t="s">
        <v>21</v>
      </c>
      <c r="D38">
        <v>18</v>
      </c>
      <c r="E38" cm="1">
        <f t="array" ref="E38">IF(INDEX('Activity Plan'!$S$34:$AW$99,
MATCH("*"&amp;TRIM($B38)&amp;"*",'Activity Plan'!$D$35:$D$100,0)+MATCH($C38,{"PLAN";"ACTUAL";"ACHIVE"},0)-1,
MATCH($D38,DAY('Activity Plan'!$S$7:$AW$7),0))=0,
"N/A",
INDEX('Activity Plan'!$S$34:$AW$99,
MATCH("*"&amp;TRIM($B38)&amp;"*",'Activity Plan'!$D$35:$D$100,0)+MATCH($C38,{"PLAN";"ACTUAL";"ACHIVE"},0)-1,
MATCH($D38,DAY('Activity Plan'!$S$7:$AW$7),0)))</f>
        <v>16</v>
      </c>
      <c r="G38" t="s">
        <v>18</v>
      </c>
      <c r="H38" t="s">
        <v>21</v>
      </c>
      <c r="I38">
        <v>18</v>
      </c>
      <c r="J38" s="68" cm="1">
        <f t="array" ref="J38">IF(INDEX('Activity Plan'!$S$34:$AW$99,
MATCH("*"&amp;TRIM($G38)&amp;"*",'Activity Plan'!$D$35:$D$100,0)+MATCH($H38,{"PLAN";"ACTUAL";"ACHIVE"},0)-1,
MATCH($I38,DAY('Activity Plan'!$S$7:$AW$7),0))=0,
"N/A",
INDEX('Activity Plan'!$S$34:$AW$99,
MATCH("*"&amp;TRIM($G38)&amp;"*",'Activity Plan'!$D$35:$D$100,0)+MATCH($H38,{"PLAN";"ACTUAL";"ACHIVE"},0)-1,
MATCH($I38,DAY('Activity Plan'!$S$7:$AW$7),0)))</f>
        <v>0.9</v>
      </c>
      <c r="L38" t="s">
        <v>20</v>
      </c>
      <c r="M38" t="s">
        <v>21</v>
      </c>
      <c r="N38">
        <v>18</v>
      </c>
      <c r="O38" s="71" cm="1">
        <f t="array" ref="O38">IF(INDEX('Activity Plan'!$S$34:$AW$99,
MATCH("*"&amp;TRIM($L38)&amp;"*",'Activity Plan'!$D$35:$D$100,0)+MATCH($M38,{"PLAN";"ACTUAL";"ACHIVE"},0)-1,
MATCH($N38,DAY('Activity Plan'!$S$7:$AW$7),0))=0,
"N/A",
INDEX('Activity Plan'!$S$34:$AW$99,
MATCH("*"&amp;TRIM($L38)&amp;"*",'Activity Plan'!$D$35:$D$100,0)+MATCH($M38,{"PLAN";"ACTUAL";"ACHIVE"},0)-1,
MATCH($N38,DAY('Activity Plan'!$S$7:$AW$7),0)))</f>
        <v>70</v>
      </c>
      <c r="Q38" t="s">
        <v>138</v>
      </c>
      <c r="R38" t="s">
        <v>21</v>
      </c>
      <c r="S38">
        <v>18</v>
      </c>
      <c r="T38" s="71" cm="1">
        <f t="array" ref="T38">IF(INDEX('Activity Plan'!$S$34:$AW$99,
MATCH("*"&amp;TRIM($Q38)&amp;"*",'Activity Plan'!$D$35:$D$100,0)+MATCH($R38,{"PLAN";"ACTUAL";"ACHIVE"},0)-1,
MATCH($S38,DAY('Activity Plan'!$S$7:$AW$7),0))=0,
"N/A",
INDEX('Activity Plan'!$S$34:$AW$99,
MATCH("*"&amp;TRIM($Q38)&amp;"*",'Activity Plan'!$D$35:$D$100,0)+MATCH($R38,{"PLAN";"ACTUAL";"ACHIVE"},0)-1,
MATCH($S38,DAY('Activity Plan'!$S$7:$AW$7),0)))</f>
        <v>80</v>
      </c>
      <c r="U38" s="71"/>
      <c r="V38" t="s">
        <v>18</v>
      </c>
      <c r="W38" t="s">
        <v>39</v>
      </c>
      <c r="X38" s="70">
        <v>4</v>
      </c>
      <c r="Y38" s="69" cm="1">
        <f t="array" ref="Y38">IF(INDEX('Activity Plan'!$S$34:$AW$99,
MATCH("*"&amp;TRIM($V38)&amp;"*",'Activity Plan'!$D$35:$D$100,0)+MATCH($W38,{"PLAN";"ACTUAL";"ACHIVE"},0)-1,
MATCH($X38,DAY('Activity Plan'!$S$7:$AW$7),0))=0,
"N/A",
INDEX('Activity Plan'!$S$34:$AW$99,
MATCH("*"&amp;TRIM($V38)&amp;"*",'Activity Plan'!$D$35:$D$100,0)+MATCH($W38,{"PLAN";"ACTUAL";"ACHIVE"},0)-1,
MATCH($X38,DAY('Activity Plan'!$S$7:$AW$7),0)))</f>
        <v>0.79999999999999993</v>
      </c>
      <c r="AA38" t="s">
        <v>40</v>
      </c>
      <c r="AB38" t="s">
        <v>22</v>
      </c>
      <c r="AC38" s="70">
        <v>4</v>
      </c>
      <c r="AD38" s="77">
        <f>'Activity Plan'!BA33</f>
        <v>0.55999999999999817</v>
      </c>
      <c r="AU38" s="70"/>
      <c r="AX38" s="77"/>
      <c r="AY38" s="77"/>
      <c r="AZ38" s="77"/>
      <c r="BA38" s="77"/>
      <c r="BB38" s="77"/>
      <c r="BC38" s="77"/>
      <c r="BD38" s="77"/>
      <c r="BE38" s="77"/>
      <c r="BF38" s="77"/>
      <c r="BG38" s="77"/>
      <c r="BH38" s="77"/>
      <c r="BI38" s="77"/>
      <c r="BJ38" s="77"/>
      <c r="BK38" s="77"/>
      <c r="BL38" s="77"/>
      <c r="BM38" s="77"/>
      <c r="BN38" s="77"/>
      <c r="BO38" s="77"/>
      <c r="BP38" s="77"/>
      <c r="BQ38" s="77"/>
      <c r="BR38" s="77"/>
      <c r="BS38" s="77"/>
      <c r="BT38" s="77"/>
      <c r="BU38" s="77"/>
      <c r="BV38" s="77"/>
      <c r="BW38" s="77"/>
      <c r="BX38" s="77"/>
      <c r="BY38" s="77"/>
      <c r="BZ38" s="77"/>
      <c r="CA38" s="77"/>
      <c r="CB38" s="77"/>
      <c r="CF38">
        <v>2</v>
      </c>
      <c r="CG38" t="s">
        <v>30</v>
      </c>
      <c r="CH38" t="s">
        <v>2</v>
      </c>
      <c r="CI38" t="s">
        <v>55</v>
      </c>
      <c r="CJ38" s="68">
        <v>0</v>
      </c>
      <c r="CL38" t="s">
        <v>150</v>
      </c>
      <c r="CM38" t="s">
        <v>19</v>
      </c>
      <c r="CN38" t="s">
        <v>21</v>
      </c>
      <c r="CO38">
        <v>18</v>
      </c>
      <c r="CP38" cm="1">
        <f t="array" ref="CP38">IF(INDEX('Activity Plan'!$S$34:$AW$99,
MATCH("*"&amp;TRIM($B38)&amp;"*",'Activity Plan'!$D$35:$D$100,0)+MATCH($C38,{"PLAN";"ACTUAL";"ACHIVE"},0)-1,
MATCH($D38,DAY('Activity Plan'!$S$7:$AW$7),0))=0,
"N/A",
INDEX('Activity Plan'!$S$34:$AW$99,
MATCH("*"&amp;TRIM($B38)&amp;"*",'Activity Plan'!$D$35:$D$100,0)+MATCH($C38,{"PLAN";"ACTUAL";"ACHIVE"},0)-1,
MATCH($D38,DAY('Activity Plan'!$S$7:$AW$7),0)))</f>
        <v>16</v>
      </c>
      <c r="CU38">
        <f>'Activity Plan'!AJ7</f>
        <v>46191</v>
      </c>
      <c r="CV38" t="s">
        <v>21</v>
      </c>
      <c r="CW38" s="194">
        <f>IFERROR(IF('Activity Plan'!AJ33=0,"N/A",'Activity Plan'!AJ33),"N/A")</f>
        <v>0.47666666666666674</v>
      </c>
    </row>
    <row r="39" spans="2:110" x14ac:dyDescent="0.35">
      <c r="B39" t="s">
        <v>19</v>
      </c>
      <c r="C39" t="s">
        <v>22</v>
      </c>
      <c r="D39">
        <v>18</v>
      </c>
      <c r="E39" cm="1">
        <f t="array" ref="E39">IF(INDEX('Activity Plan'!$S$34:$AW$99,
MATCH("*"&amp;TRIM($B39)&amp;"*",'Activity Plan'!$D$35:$D$100,0)+MATCH($C39,{"PLAN";"ACTUAL";"ACHIVE"},0)-1,
MATCH($D39,DAY('Activity Plan'!$S$7:$AW$7),0))=0,
"N/A",
INDEX('Activity Plan'!$S$34:$AW$99,
MATCH("*"&amp;TRIM($B39)&amp;"*",'Activity Plan'!$D$35:$D$100,0)+MATCH($C39,{"PLAN";"ACTUAL";"ACHIVE"},0)-1,
MATCH($D39,DAY('Activity Plan'!$S$7:$AW$7),0)))</f>
        <v>11</v>
      </c>
      <c r="G39" t="s">
        <v>18</v>
      </c>
      <c r="H39" t="s">
        <v>22</v>
      </c>
      <c r="I39">
        <v>18</v>
      </c>
      <c r="J39" s="68" cm="1">
        <f t="array" ref="J39">IF(INDEX('Activity Plan'!$S$34:$AW$99,
MATCH("*"&amp;TRIM($G39)&amp;"*",'Activity Plan'!$D$35:$D$100,0)+MATCH($H39,{"PLAN";"ACTUAL";"ACHIVE"},0)-1,
MATCH($I39,DAY('Activity Plan'!$S$7:$AW$7),0))=0,
"N/A",
INDEX('Activity Plan'!$S$34:$AW$99,
MATCH("*"&amp;TRIM($G39)&amp;"*",'Activity Plan'!$D$35:$D$100,0)+MATCH($H39,{"PLAN";"ACTUAL";"ACHIVE"},0)-1,
MATCH($I39,DAY('Activity Plan'!$S$7:$AW$7),0)))</f>
        <v>0.8</v>
      </c>
      <c r="L39" t="s">
        <v>20</v>
      </c>
      <c r="M39" t="s">
        <v>22</v>
      </c>
      <c r="N39">
        <v>18</v>
      </c>
      <c r="O39" s="71" cm="1">
        <f t="array" ref="O39">IF(INDEX('Activity Plan'!$S$34:$AW$99,
MATCH("*"&amp;TRIM($L39)&amp;"*",'Activity Plan'!$D$35:$D$100,0)+MATCH($M39,{"PLAN";"ACTUAL";"ACHIVE"},0)-1,
MATCH($N39,DAY('Activity Plan'!$S$7:$AW$7),0))=0,
"N/A",
INDEX('Activity Plan'!$S$34:$AW$99,
MATCH("*"&amp;TRIM($L39)&amp;"*",'Activity Plan'!$D$35:$D$100,0)+MATCH($M39,{"PLAN";"ACTUAL";"ACHIVE"},0)-1,
MATCH($N39,DAY('Activity Plan'!$S$7:$AW$7),0)))</f>
        <v>75</v>
      </c>
      <c r="Q39" t="s">
        <v>138</v>
      </c>
      <c r="R39" t="s">
        <v>22</v>
      </c>
      <c r="S39">
        <v>18</v>
      </c>
      <c r="T39" s="71" cm="1">
        <f t="array" ref="T39">IF(INDEX('Activity Plan'!$S$34:$AW$99,
MATCH("*"&amp;TRIM($Q39)&amp;"*",'Activity Plan'!$D$35:$D$100,0)+MATCH($R39,{"PLAN";"ACTUAL";"ACHIVE"},0)-1,
MATCH($S39,DAY('Activity Plan'!$S$7:$AW$7),0))=0,
"N/A",
INDEX('Activity Plan'!$S$34:$AW$99,
MATCH("*"&amp;TRIM($Q39)&amp;"*",'Activity Plan'!$D$35:$D$100,0)+MATCH($R39,{"PLAN";"ACTUAL";"ACHIVE"},0)-1,
MATCH($S39,DAY('Activity Plan'!$S$7:$AW$7),0)))</f>
        <v>75</v>
      </c>
      <c r="U39" s="71"/>
      <c r="V39" t="s">
        <v>18</v>
      </c>
      <c r="W39" t="s">
        <v>39</v>
      </c>
      <c r="X39" s="70">
        <v>5</v>
      </c>
      <c r="Y39" s="69" cm="1">
        <f t="array" ref="Y39">IF(INDEX('Activity Plan'!$S$34:$AW$99,
MATCH("*"&amp;TRIM($V39)&amp;"*",'Activity Plan'!$D$35:$D$100,0)+MATCH($W39,{"PLAN";"ACTUAL";"ACHIVE"},0)-1,
MATCH($X39,DAY('Activity Plan'!$S$7:$AW$7),0))=0,
"N/A",
INDEX('Activity Plan'!$S$34:$AW$99,
MATCH("*"&amp;TRIM($V39)&amp;"*",'Activity Plan'!$D$35:$D$100,0)+MATCH($W39,{"PLAN";"ACTUAL";"ACHIVE"},0)-1,
MATCH($X39,DAY('Activity Plan'!$S$7:$AW$7),0)))</f>
        <v>1.1111111111111112</v>
      </c>
      <c r="AA39" t="s">
        <v>40</v>
      </c>
      <c r="AB39" t="s">
        <v>22</v>
      </c>
      <c r="AC39" s="70">
        <v>5</v>
      </c>
      <c r="AD39" s="77">
        <f>'Activity Plan'!BB33</f>
        <v>0.56833333333333114</v>
      </c>
      <c r="AU39" s="70"/>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7"/>
      <c r="BV39" s="77"/>
      <c r="BW39" s="77"/>
      <c r="BX39" s="77"/>
      <c r="BY39" s="77"/>
      <c r="BZ39" s="77"/>
      <c r="CA39" s="77"/>
      <c r="CB39" s="77"/>
      <c r="CF39">
        <v>2</v>
      </c>
      <c r="CG39" t="s">
        <v>30</v>
      </c>
      <c r="CH39" t="s">
        <v>2</v>
      </c>
      <c r="CI39" t="s">
        <v>56</v>
      </c>
      <c r="CJ39" s="68">
        <v>1</v>
      </c>
      <c r="CL39" t="s">
        <v>150</v>
      </c>
      <c r="CM39" t="s">
        <v>19</v>
      </c>
      <c r="CN39" t="s">
        <v>22</v>
      </c>
      <c r="CO39">
        <v>18</v>
      </c>
      <c r="CP39" cm="1">
        <f t="array" ref="CP39">IF(INDEX('Activity Plan'!$S$34:$AW$99,
MATCH("*"&amp;TRIM($B39)&amp;"*",'Activity Plan'!$D$35:$D$100,0)+MATCH($C39,{"PLAN";"ACTUAL";"ACHIVE"},0)-1,
MATCH($D39,DAY('Activity Plan'!$S$7:$AW$7),0))=0,
"N/A",
INDEX('Activity Plan'!$S$34:$AW$99,
MATCH("*"&amp;TRIM($B39)&amp;"*",'Activity Plan'!$D$35:$D$100,0)+MATCH($C39,{"PLAN";"ACTUAL";"ACHIVE"},0)-1,
MATCH($D39,DAY('Activity Plan'!$S$7:$AW$7),0)))</f>
        <v>11</v>
      </c>
      <c r="CU39">
        <f>'Activity Plan'!AJ7</f>
        <v>46191</v>
      </c>
      <c r="CV39" t="s">
        <v>22</v>
      </c>
      <c r="CW39" s="194">
        <f>IFERROR(IF('Activity Plan'!BO33=0,"N/A",'Activity Plan'!BO33),"N/A")</f>
        <v>0.96000000000000052</v>
      </c>
    </row>
    <row r="40" spans="2:110" x14ac:dyDescent="0.35">
      <c r="B40" t="s">
        <v>19</v>
      </c>
      <c r="C40" t="s">
        <v>21</v>
      </c>
      <c r="D40">
        <v>19</v>
      </c>
      <c r="E40" cm="1">
        <f t="array" ref="E40">IF(INDEX('Activity Plan'!$S$34:$AW$99,
MATCH("*"&amp;TRIM($B40)&amp;"*",'Activity Plan'!$D$35:$D$100,0)+MATCH($C40,{"PLAN";"ACTUAL";"ACHIVE"},0)-1,
MATCH($D40,DAY('Activity Plan'!$S$7:$AW$7),0))=0,
"N/A",
INDEX('Activity Plan'!$S$34:$AW$99,
MATCH("*"&amp;TRIM($B40)&amp;"*",'Activity Plan'!$D$35:$D$100,0)+MATCH($C40,{"PLAN";"ACTUAL";"ACHIVE"},0)-1,
MATCH($D40,DAY('Activity Plan'!$S$7:$AW$7),0)))</f>
        <v>16</v>
      </c>
      <c r="G40" t="s">
        <v>18</v>
      </c>
      <c r="H40" t="s">
        <v>21</v>
      </c>
      <c r="I40">
        <v>19</v>
      </c>
      <c r="J40" s="68" cm="1">
        <f t="array" ref="J40">IF(INDEX('Activity Plan'!$S$34:$AW$99,
MATCH("*"&amp;TRIM($G40)&amp;"*",'Activity Plan'!$D$35:$D$100,0)+MATCH($H40,{"PLAN";"ACTUAL";"ACHIVE"},0)-1,
MATCH($I40,DAY('Activity Plan'!$S$7:$AW$7),0))=0,
"N/A",
INDEX('Activity Plan'!$S$34:$AW$99,
MATCH("*"&amp;TRIM($G40)&amp;"*",'Activity Plan'!$D$35:$D$100,0)+MATCH($H40,{"PLAN";"ACTUAL";"ACHIVE"},0)-1,
MATCH($I40,DAY('Activity Plan'!$S$7:$AW$7),0)))</f>
        <v>0.9</v>
      </c>
      <c r="L40" t="s">
        <v>20</v>
      </c>
      <c r="M40" t="s">
        <v>21</v>
      </c>
      <c r="N40">
        <v>19</v>
      </c>
      <c r="O40" s="71" cm="1">
        <f t="array" ref="O40">IF(INDEX('Activity Plan'!$S$34:$AW$99,
MATCH("*"&amp;TRIM($L40)&amp;"*",'Activity Plan'!$D$35:$D$100,0)+MATCH($M40,{"PLAN";"ACTUAL";"ACHIVE"},0)-1,
MATCH($N40,DAY('Activity Plan'!$S$7:$AW$7),0))=0,
"N/A",
INDEX('Activity Plan'!$S$34:$AW$99,
MATCH("*"&amp;TRIM($L40)&amp;"*",'Activity Plan'!$D$35:$D$100,0)+MATCH($M40,{"PLAN";"ACTUAL";"ACHIVE"},0)-1,
MATCH($N40,DAY('Activity Plan'!$S$7:$AW$7),0)))</f>
        <v>70</v>
      </c>
      <c r="Q40" t="s">
        <v>138</v>
      </c>
      <c r="R40" t="s">
        <v>21</v>
      </c>
      <c r="S40">
        <v>19</v>
      </c>
      <c r="T40" s="71" cm="1">
        <f t="array" ref="T40">IF(INDEX('Activity Plan'!$S$34:$AW$99,
MATCH("*"&amp;TRIM($Q40)&amp;"*",'Activity Plan'!$D$35:$D$100,0)+MATCH($R40,{"PLAN";"ACTUAL";"ACHIVE"},0)-1,
MATCH($S40,DAY('Activity Plan'!$S$7:$AW$7),0))=0,
"N/A",
INDEX('Activity Plan'!$S$34:$AW$99,
MATCH("*"&amp;TRIM($Q40)&amp;"*",'Activity Plan'!$D$35:$D$100,0)+MATCH($R40,{"PLAN";"ACTUAL";"ACHIVE"},0)-1,
MATCH($S40,DAY('Activity Plan'!$S$7:$AW$7),0)))</f>
        <v>80</v>
      </c>
      <c r="U40" s="71"/>
      <c r="V40" t="s">
        <v>18</v>
      </c>
      <c r="W40" t="s">
        <v>39</v>
      </c>
      <c r="X40" s="70">
        <v>6</v>
      </c>
      <c r="Y40" s="69" cm="1">
        <f t="array" ref="Y40">IF(INDEX('Activity Plan'!$S$34:$AW$99,
MATCH("*"&amp;TRIM($V40)&amp;"*",'Activity Plan'!$D$35:$D$100,0)+MATCH($W40,{"PLAN";"ACTUAL";"ACHIVE"},0)-1,
MATCH($X40,DAY('Activity Plan'!$S$7:$AW$7),0))=0,
"N/A",
INDEX('Activity Plan'!$S$34:$AW$99,
MATCH("*"&amp;TRIM($V40)&amp;"*",'Activity Plan'!$D$35:$D$100,0)+MATCH($W40,{"PLAN";"ACTUAL";"ACHIVE"},0)-1,
MATCH($X40,DAY('Activity Plan'!$S$7:$AW$7),0)))</f>
        <v>1</v>
      </c>
      <c r="AA40" t="s">
        <v>40</v>
      </c>
      <c r="AB40" t="s">
        <v>22</v>
      </c>
      <c r="AC40" s="70">
        <v>6</v>
      </c>
      <c r="AD40" s="77">
        <f>'Activity Plan'!BC33</f>
        <v>0.59999999999999976</v>
      </c>
      <c r="CF40">
        <v>2</v>
      </c>
      <c r="CG40" t="s">
        <v>30</v>
      </c>
      <c r="CH40" t="s">
        <v>2</v>
      </c>
      <c r="CI40" t="s">
        <v>57</v>
      </c>
      <c r="CJ40" s="68">
        <v>1</v>
      </c>
      <c r="CL40" t="s">
        <v>150</v>
      </c>
      <c r="CM40" t="s">
        <v>19</v>
      </c>
      <c r="CN40" t="s">
        <v>21</v>
      </c>
      <c r="CO40">
        <v>19</v>
      </c>
      <c r="CP40" cm="1">
        <f t="array" ref="CP40">IF(INDEX('Activity Plan'!$S$34:$AW$99,
MATCH("*"&amp;TRIM($B40)&amp;"*",'Activity Plan'!$D$35:$D$100,0)+MATCH($C40,{"PLAN";"ACTUAL";"ACHIVE"},0)-1,
MATCH($D40,DAY('Activity Plan'!$S$7:$AW$7),0))=0,
"N/A",
INDEX('Activity Plan'!$S$34:$AW$99,
MATCH("*"&amp;TRIM($B40)&amp;"*",'Activity Plan'!$D$35:$D$100,0)+MATCH($C40,{"PLAN";"ACTUAL";"ACHIVE"},0)-1,
MATCH($D40,DAY('Activity Plan'!$S$7:$AW$7),0)))</f>
        <v>16</v>
      </c>
      <c r="CU40">
        <f>'Activity Plan'!AK7</f>
        <v>46192</v>
      </c>
      <c r="CV40" t="s">
        <v>21</v>
      </c>
      <c r="CW40" s="194">
        <f>IFERROR(IF('Activity Plan'!AK33=0,"N/A",'Activity Plan'!AK33),"N/A")</f>
        <v>0.50166666666666704</v>
      </c>
    </row>
    <row r="41" spans="2:110" x14ac:dyDescent="0.35">
      <c r="B41" t="s">
        <v>19</v>
      </c>
      <c r="C41" t="s">
        <v>22</v>
      </c>
      <c r="D41">
        <v>19</v>
      </c>
      <c r="E41" cm="1">
        <f t="array" ref="E41">IF(INDEX('Activity Plan'!$S$34:$AW$99,
MATCH("*"&amp;TRIM($B41)&amp;"*",'Activity Plan'!$D$35:$D$100,0)+MATCH($C41,{"PLAN";"ACTUAL";"ACHIVE"},0)-1,
MATCH($D41,DAY('Activity Plan'!$S$7:$AW$7),0))=0,
"N/A",
INDEX('Activity Plan'!$S$34:$AW$99,
MATCH("*"&amp;TRIM($B41)&amp;"*",'Activity Plan'!$D$35:$D$100,0)+MATCH($C41,{"PLAN";"ACTUAL";"ACHIVE"},0)-1,
MATCH($D41,DAY('Activity Plan'!$S$7:$AW$7),0)))</f>
        <v>16</v>
      </c>
      <c r="G41" t="s">
        <v>18</v>
      </c>
      <c r="H41" t="s">
        <v>22</v>
      </c>
      <c r="I41">
        <v>19</v>
      </c>
      <c r="J41" s="68" cm="1">
        <f t="array" ref="J41">IF(INDEX('Activity Plan'!$S$34:$AW$99,
MATCH("*"&amp;TRIM($G41)&amp;"*",'Activity Plan'!$D$35:$D$100,0)+MATCH($H41,{"PLAN";"ACTUAL";"ACHIVE"},0)-1,
MATCH($I41,DAY('Activity Plan'!$S$7:$AW$7),0))=0,
"N/A",
INDEX('Activity Plan'!$S$34:$AW$99,
MATCH("*"&amp;TRIM($G41)&amp;"*",'Activity Plan'!$D$35:$D$100,0)+MATCH($H41,{"PLAN";"ACTUAL";"ACHIVE"},0)-1,
MATCH($I41,DAY('Activity Plan'!$S$7:$AW$7),0)))</f>
        <v>0.83</v>
      </c>
      <c r="L41" t="s">
        <v>20</v>
      </c>
      <c r="M41" t="s">
        <v>22</v>
      </c>
      <c r="N41">
        <v>19</v>
      </c>
      <c r="O41" s="71" cm="1">
        <f t="array" ref="O41">IF(INDEX('Activity Plan'!$S$34:$AW$99,
MATCH("*"&amp;TRIM($L41)&amp;"*",'Activity Plan'!$D$35:$D$100,0)+MATCH($M41,{"PLAN";"ACTUAL";"ACHIVE"},0)-1,
MATCH($N41,DAY('Activity Plan'!$S$7:$AW$7),0))=0,
"N/A",
INDEX('Activity Plan'!$S$34:$AW$99,
MATCH("*"&amp;TRIM($L41)&amp;"*",'Activity Plan'!$D$35:$D$100,0)+MATCH($M41,{"PLAN";"ACTUAL";"ACHIVE"},0)-1,
MATCH($N41,DAY('Activity Plan'!$S$7:$AW$7),0)))</f>
        <v>83</v>
      </c>
      <c r="Q41" t="s">
        <v>138</v>
      </c>
      <c r="R41" t="s">
        <v>22</v>
      </c>
      <c r="S41">
        <v>19</v>
      </c>
      <c r="T41" s="71" cm="1">
        <f t="array" ref="T41">IF(INDEX('Activity Plan'!$S$34:$AW$99,
MATCH("*"&amp;TRIM($Q41)&amp;"*",'Activity Plan'!$D$35:$D$100,0)+MATCH($R41,{"PLAN";"ACTUAL";"ACHIVE"},0)-1,
MATCH($S41,DAY('Activity Plan'!$S$7:$AW$7),0))=0,
"N/A",
INDEX('Activity Plan'!$S$34:$AW$99,
MATCH("*"&amp;TRIM($Q41)&amp;"*",'Activity Plan'!$D$35:$D$100,0)+MATCH($R41,{"PLAN";"ACTUAL";"ACHIVE"},0)-1,
MATCH($S41,DAY('Activity Plan'!$S$7:$AW$7),0)))</f>
        <v>83</v>
      </c>
      <c r="U41" s="71"/>
      <c r="V41" t="s">
        <v>18</v>
      </c>
      <c r="W41" t="s">
        <v>39</v>
      </c>
      <c r="X41" s="70">
        <v>7</v>
      </c>
      <c r="Y41" s="69" cm="1">
        <f t="array" ref="Y41">IF(INDEX('Activity Plan'!$S$34:$AW$99,
MATCH("*"&amp;TRIM($V41)&amp;"*",'Activity Plan'!$D$35:$D$100,0)+MATCH($W41,{"PLAN";"ACTUAL";"ACHIVE"},0)-1,
MATCH($X41,DAY('Activity Plan'!$S$7:$AW$7),0))=0,
"N/A",
INDEX('Activity Plan'!$S$34:$AW$99,
MATCH("*"&amp;TRIM($V41)&amp;"*",'Activity Plan'!$D$35:$D$100,0)+MATCH($W41,{"PLAN";"ACTUAL";"ACHIVE"},0)-1,
MATCH($X41,DAY('Activity Plan'!$S$7:$AW$7),0)))</f>
        <v>1.0888888888888888</v>
      </c>
      <c r="AA41" t="s">
        <v>40</v>
      </c>
      <c r="AB41" t="s">
        <v>22</v>
      </c>
      <c r="AC41" s="70">
        <v>7</v>
      </c>
      <c r="AD41" s="77">
        <f>'Activity Plan'!BD33</f>
        <v>0.63000000000000034</v>
      </c>
      <c r="CF41">
        <v>2</v>
      </c>
      <c r="CG41" t="s">
        <v>30</v>
      </c>
      <c r="CH41" t="s">
        <v>2</v>
      </c>
      <c r="CI41" t="s">
        <v>58</v>
      </c>
      <c r="CJ41" s="68">
        <v>1</v>
      </c>
      <c r="CL41" t="s">
        <v>150</v>
      </c>
      <c r="CM41" t="s">
        <v>19</v>
      </c>
      <c r="CN41" t="s">
        <v>22</v>
      </c>
      <c r="CO41">
        <v>19</v>
      </c>
      <c r="CP41" cm="1">
        <f t="array" ref="CP41">IF(INDEX('Activity Plan'!$S$34:$AW$99,
MATCH("*"&amp;TRIM($B41)&amp;"*",'Activity Plan'!$D$35:$D$100,0)+MATCH($C41,{"PLAN";"ACTUAL";"ACHIVE"},0)-1,
MATCH($D41,DAY('Activity Plan'!$S$7:$AW$7),0))=0,
"N/A",
INDEX('Activity Plan'!$S$34:$AW$99,
MATCH("*"&amp;TRIM($B41)&amp;"*",'Activity Plan'!$D$35:$D$100,0)+MATCH($C41,{"PLAN";"ACTUAL";"ACHIVE"},0)-1,
MATCH($D41,DAY('Activity Plan'!$S$7:$AW$7),0)))</f>
        <v>16</v>
      </c>
      <c r="CU41">
        <f>'Activity Plan'!AK7</f>
        <v>46192</v>
      </c>
      <c r="CV41" t="s">
        <v>22</v>
      </c>
      <c r="CW41" s="194">
        <f>IFERROR(IF('Activity Plan'!BP33=0,"N/A",'Activity Plan'!BP33),"N/A")</f>
        <v>0.98999999999999966</v>
      </c>
    </row>
    <row r="42" spans="2:110" x14ac:dyDescent="0.35">
      <c r="B42" t="s">
        <v>19</v>
      </c>
      <c r="C42" t="s">
        <v>21</v>
      </c>
      <c r="D42">
        <v>20</v>
      </c>
      <c r="E42" cm="1">
        <f t="array" ref="E42">IF(INDEX('Activity Plan'!$S$34:$AW$99,
MATCH("*"&amp;TRIM($B42)&amp;"*",'Activity Plan'!$D$35:$D$100,0)+MATCH($C42,{"PLAN";"ACTUAL";"ACHIVE"},0)-1,
MATCH($D42,DAY('Activity Plan'!$S$7:$AW$7),0))=0,
"N/A",
INDEX('Activity Plan'!$S$34:$AW$99,
MATCH("*"&amp;TRIM($B42)&amp;"*",'Activity Plan'!$D$35:$D$100,0)+MATCH($C42,{"PLAN";"ACTUAL";"ACHIVE"},0)-1,
MATCH($D42,DAY('Activity Plan'!$S$7:$AW$7),0)))</f>
        <v>16</v>
      </c>
      <c r="G42" t="s">
        <v>18</v>
      </c>
      <c r="H42" t="s">
        <v>21</v>
      </c>
      <c r="I42">
        <v>20</v>
      </c>
      <c r="J42" s="68" cm="1">
        <f t="array" ref="J42">IF(INDEX('Activity Plan'!$S$34:$AW$99,
MATCH("*"&amp;TRIM($G42)&amp;"*",'Activity Plan'!$D$35:$D$100,0)+MATCH($H42,{"PLAN";"ACTUAL";"ACHIVE"},0)-1,
MATCH($I42,DAY('Activity Plan'!$S$7:$AW$7),0))=0,
"N/A",
INDEX('Activity Plan'!$S$34:$AW$99,
MATCH("*"&amp;TRIM($G42)&amp;"*",'Activity Plan'!$D$35:$D$100,0)+MATCH($H42,{"PLAN";"ACTUAL";"ACHIVE"},0)-1,
MATCH($I42,DAY('Activity Plan'!$S$7:$AW$7),0)))</f>
        <v>0.9</v>
      </c>
      <c r="L42" t="s">
        <v>20</v>
      </c>
      <c r="M42" t="s">
        <v>21</v>
      </c>
      <c r="N42">
        <v>20</v>
      </c>
      <c r="O42" s="71" cm="1">
        <f t="array" ref="O42">IF(INDEX('Activity Plan'!$S$34:$AW$99,
MATCH("*"&amp;TRIM($L42)&amp;"*",'Activity Plan'!$D$35:$D$100,0)+MATCH($M42,{"PLAN";"ACTUAL";"ACHIVE"},0)-1,
MATCH($N42,DAY('Activity Plan'!$S$7:$AW$7),0))=0,
"N/A",
INDEX('Activity Plan'!$S$34:$AW$99,
MATCH("*"&amp;TRIM($L42)&amp;"*",'Activity Plan'!$D$35:$D$100,0)+MATCH($M42,{"PLAN";"ACTUAL";"ACHIVE"},0)-1,
MATCH($N42,DAY('Activity Plan'!$S$7:$AW$7),0)))</f>
        <v>70</v>
      </c>
      <c r="Q42" t="s">
        <v>138</v>
      </c>
      <c r="R42" t="s">
        <v>21</v>
      </c>
      <c r="S42">
        <v>20</v>
      </c>
      <c r="T42" s="71" cm="1">
        <f t="array" ref="T42">IF(INDEX('Activity Plan'!$S$34:$AW$99,
MATCH("*"&amp;TRIM($Q42)&amp;"*",'Activity Plan'!$D$35:$D$100,0)+MATCH($R42,{"PLAN";"ACTUAL";"ACHIVE"},0)-1,
MATCH($S42,DAY('Activity Plan'!$S$7:$AW$7),0))=0,
"N/A",
INDEX('Activity Plan'!$S$34:$AW$99,
MATCH("*"&amp;TRIM($Q42)&amp;"*",'Activity Plan'!$D$35:$D$100,0)+MATCH($R42,{"PLAN";"ACTUAL";"ACHIVE"},0)-1,
MATCH($S42,DAY('Activity Plan'!$S$7:$AW$7),0)))</f>
        <v>80</v>
      </c>
      <c r="U42" s="71"/>
      <c r="V42" t="s">
        <v>18</v>
      </c>
      <c r="W42" t="s">
        <v>39</v>
      </c>
      <c r="X42" s="70">
        <v>8</v>
      </c>
      <c r="Y42" s="69" cm="1">
        <f t="array" ref="Y42">IF(INDEX('Activity Plan'!$S$34:$AW$99,
MATCH("*"&amp;TRIM($V42)&amp;"*",'Activity Plan'!$D$35:$D$100,0)+MATCH($W42,{"PLAN";"ACTUAL";"ACHIVE"},0)-1,
MATCH($X42,DAY('Activity Plan'!$S$7:$AW$7),0))=0,
"N/A",
INDEX('Activity Plan'!$S$34:$AW$99,
MATCH("*"&amp;TRIM($V42)&amp;"*",'Activity Plan'!$D$35:$D$100,0)+MATCH($W42,{"PLAN";"ACTUAL";"ACHIVE"},0)-1,
MATCH($X42,DAY('Activity Plan'!$S$7:$AW$7),0)))</f>
        <v>1.0333333333333334</v>
      </c>
      <c r="AA42" t="s">
        <v>40</v>
      </c>
      <c r="AB42" t="s">
        <v>22</v>
      </c>
      <c r="AC42" s="70">
        <v>8</v>
      </c>
      <c r="AD42" s="77">
        <f>'Activity Plan'!BE33</f>
        <v>0.66</v>
      </c>
      <c r="CF42">
        <v>2</v>
      </c>
      <c r="CG42" t="s">
        <v>30</v>
      </c>
      <c r="CH42" t="s">
        <v>2</v>
      </c>
      <c r="CI42" t="s">
        <v>59</v>
      </c>
      <c r="CJ42" s="68">
        <v>1</v>
      </c>
      <c r="CL42" t="s">
        <v>150</v>
      </c>
      <c r="CM42" t="s">
        <v>19</v>
      </c>
      <c r="CN42" t="s">
        <v>21</v>
      </c>
      <c r="CO42">
        <v>20</v>
      </c>
      <c r="CP42" cm="1">
        <f t="array" ref="CP42">IF(INDEX('Activity Plan'!$S$34:$AW$99,
MATCH("*"&amp;TRIM($B42)&amp;"*",'Activity Plan'!$D$35:$D$100,0)+MATCH($C42,{"PLAN";"ACTUAL";"ACHIVE"},0)-1,
MATCH($D42,DAY('Activity Plan'!$S$7:$AW$7),0))=0,
"N/A",
INDEX('Activity Plan'!$S$34:$AW$99,
MATCH("*"&amp;TRIM($B42)&amp;"*",'Activity Plan'!$D$35:$D$100,0)+MATCH($C42,{"PLAN";"ACTUAL";"ACHIVE"},0)-1,
MATCH($D42,DAY('Activity Plan'!$S$7:$AW$7),0)))</f>
        <v>16</v>
      </c>
      <c r="CU42">
        <f>'Activity Plan'!AL7</f>
        <v>46193</v>
      </c>
      <c r="CV42" t="s">
        <v>21</v>
      </c>
      <c r="CW42" s="194">
        <f>IFERROR(IF('Activity Plan'!AL33=0,"N/A",'Activity Plan'!AL33),"N/A")</f>
        <v>0.50166666666666704</v>
      </c>
    </row>
    <row r="43" spans="2:110" x14ac:dyDescent="0.35">
      <c r="B43" t="s">
        <v>19</v>
      </c>
      <c r="C43" t="s">
        <v>22</v>
      </c>
      <c r="D43">
        <v>20</v>
      </c>
      <c r="E43" cm="1">
        <f t="array" ref="E43">IF(INDEX('Activity Plan'!$S$34:$AW$99,
MATCH("*"&amp;TRIM($B43)&amp;"*",'Activity Plan'!$D$35:$D$100,0)+MATCH($C43,{"PLAN";"ACTUAL";"ACHIVE"},0)-1,
MATCH($D43,DAY('Activity Plan'!$S$7:$AW$7),0))=0,
"N/A",
INDEX('Activity Plan'!$S$34:$AW$99,
MATCH("*"&amp;TRIM($B43)&amp;"*",'Activity Plan'!$D$35:$D$100,0)+MATCH($C43,{"PLAN";"ACTUAL";"ACHIVE"},0)-1,
MATCH($D43,DAY('Activity Plan'!$S$7:$AW$7),0)))</f>
        <v>14</v>
      </c>
      <c r="G43" t="s">
        <v>18</v>
      </c>
      <c r="H43" t="s">
        <v>22</v>
      </c>
      <c r="I43">
        <v>20</v>
      </c>
      <c r="J43" s="68" cm="1">
        <f t="array" ref="J43">IF(INDEX('Activity Plan'!$S$34:$AW$99,
MATCH("*"&amp;TRIM($G43)&amp;"*",'Activity Plan'!$D$35:$D$100,0)+MATCH($H43,{"PLAN";"ACTUAL";"ACHIVE"},0)-1,
MATCH($I43,DAY('Activity Plan'!$S$7:$AW$7),0))=0,
"N/A",
INDEX('Activity Plan'!$S$34:$AW$99,
MATCH("*"&amp;TRIM($G43)&amp;"*",'Activity Plan'!$D$35:$D$100,0)+MATCH($H43,{"PLAN";"ACTUAL";"ACHIVE"},0)-1,
MATCH($I43,DAY('Activity Plan'!$S$7:$AW$7),0)))</f>
        <v>0.72</v>
      </c>
      <c r="L43" t="s">
        <v>20</v>
      </c>
      <c r="M43" t="s">
        <v>22</v>
      </c>
      <c r="N43">
        <v>20</v>
      </c>
      <c r="O43" s="71" cm="1">
        <f t="array" ref="O43">IF(INDEX('Activity Plan'!$S$34:$AW$99,
MATCH("*"&amp;TRIM($L43)&amp;"*",'Activity Plan'!$D$35:$D$100,0)+MATCH($M43,{"PLAN";"ACTUAL";"ACHIVE"},0)-1,
MATCH($N43,DAY('Activity Plan'!$S$7:$AW$7),0))=0,
"N/A",
INDEX('Activity Plan'!$S$34:$AW$99,
MATCH("*"&amp;TRIM($L43)&amp;"*",'Activity Plan'!$D$35:$D$100,0)+MATCH($M43,{"PLAN";"ACTUAL";"ACHIVE"},0)-1,
MATCH($N43,DAY('Activity Plan'!$S$7:$AW$7),0)))</f>
        <v>65</v>
      </c>
      <c r="Q43" t="s">
        <v>138</v>
      </c>
      <c r="R43" t="s">
        <v>22</v>
      </c>
      <c r="S43">
        <v>20</v>
      </c>
      <c r="T43" s="71" cm="1">
        <f t="array" ref="T43">IF(INDEX('Activity Plan'!$S$34:$AW$99,
MATCH("*"&amp;TRIM($Q43)&amp;"*",'Activity Plan'!$D$35:$D$100,0)+MATCH($R43,{"PLAN";"ACTUAL";"ACHIVE"},0)-1,
MATCH($S43,DAY('Activity Plan'!$S$7:$AW$7),0))=0,
"N/A",
INDEX('Activity Plan'!$S$34:$AW$99,
MATCH("*"&amp;TRIM($Q43)&amp;"*",'Activity Plan'!$D$35:$D$100,0)+MATCH($R43,{"PLAN";"ACTUAL";"ACHIVE"},0)-1,
MATCH($S43,DAY('Activity Plan'!$S$7:$AW$7),0)))</f>
        <v>65</v>
      </c>
      <c r="U43" s="71"/>
      <c r="V43" t="s">
        <v>18</v>
      </c>
      <c r="W43" t="s">
        <v>39</v>
      </c>
      <c r="X43" s="70">
        <v>9</v>
      </c>
      <c r="Y43" s="69" cm="1">
        <f t="array" ref="Y43">IF(INDEX('Activity Plan'!$S$34:$AW$99,
MATCH("*"&amp;TRIM($V43)&amp;"*",'Activity Plan'!$D$35:$D$100,0)+MATCH($W43,{"PLAN";"ACTUAL";"ACHIVE"},0)-1,
MATCH($X43,DAY('Activity Plan'!$S$7:$AW$7),0))=0,
"N/A",
INDEX('Activity Plan'!$S$34:$AW$99,
MATCH("*"&amp;TRIM($V43)&amp;"*",'Activity Plan'!$D$35:$D$100,0)+MATCH($W43,{"PLAN";"ACTUAL";"ACHIVE"},0)-1,
MATCH($X43,DAY('Activity Plan'!$S$7:$AW$7),0)))</f>
        <v>0.96666666666666667</v>
      </c>
      <c r="AA43" t="s">
        <v>40</v>
      </c>
      <c r="AB43" t="s">
        <v>22</v>
      </c>
      <c r="AC43" s="70">
        <v>9</v>
      </c>
      <c r="AD43" s="77">
        <f>'Activity Plan'!BF33</f>
        <v>0.68999999999999961</v>
      </c>
      <c r="CF43">
        <v>2</v>
      </c>
      <c r="CG43" t="s">
        <v>30</v>
      </c>
      <c r="CH43" t="s">
        <v>2</v>
      </c>
      <c r="CI43" t="s">
        <v>60</v>
      </c>
      <c r="CJ43" s="68">
        <v>1</v>
      </c>
      <c r="CL43" t="s">
        <v>150</v>
      </c>
      <c r="CM43" t="s">
        <v>19</v>
      </c>
      <c r="CN43" t="s">
        <v>22</v>
      </c>
      <c r="CO43">
        <v>20</v>
      </c>
      <c r="CP43" cm="1">
        <f t="array" ref="CP43">IF(INDEX('Activity Plan'!$S$34:$AW$99,
MATCH("*"&amp;TRIM($B43)&amp;"*",'Activity Plan'!$D$35:$D$100,0)+MATCH($C43,{"PLAN";"ACTUAL";"ACHIVE"},0)-1,
MATCH($D43,DAY('Activity Plan'!$S$7:$AW$7),0))=0,
"N/A",
INDEX('Activity Plan'!$S$34:$AW$99,
MATCH("*"&amp;TRIM($B43)&amp;"*",'Activity Plan'!$D$35:$D$100,0)+MATCH($C43,{"PLAN";"ACTUAL";"ACHIVE"},0)-1,
MATCH($D43,DAY('Activity Plan'!$S$7:$AW$7),0)))</f>
        <v>14</v>
      </c>
      <c r="CU43">
        <f>'Activity Plan'!AL7</f>
        <v>46193</v>
      </c>
      <c r="CV43" t="s">
        <v>22</v>
      </c>
      <c r="CW43" s="194">
        <f>IFERROR(IF('Activity Plan'!BQ33=0,"N/A",'Activity Plan'!BQ33),"N/A")</f>
        <v>1</v>
      </c>
    </row>
    <row r="44" spans="2:110" x14ac:dyDescent="0.35">
      <c r="B44" t="s">
        <v>19</v>
      </c>
      <c r="C44" t="s">
        <v>21</v>
      </c>
      <c r="D44">
        <v>21</v>
      </c>
      <c r="E44" cm="1">
        <f t="array" ref="E44">IF(INDEX('Activity Plan'!$S$34:$AW$99,
MATCH("*"&amp;TRIM($B44)&amp;"*",'Activity Plan'!$D$35:$D$100,0)+MATCH($C44,{"PLAN";"ACTUAL";"ACHIVE"},0)-1,
MATCH($D44,DAY('Activity Plan'!$S$7:$AW$7),0))=0,
"N/A",
INDEX('Activity Plan'!$S$34:$AW$99,
MATCH("*"&amp;TRIM($B44)&amp;"*",'Activity Plan'!$D$35:$D$100,0)+MATCH($C44,{"PLAN";"ACTUAL";"ACHIVE"},0)-1,
MATCH($D44,DAY('Activity Plan'!$S$7:$AW$7),0)))</f>
        <v>16</v>
      </c>
      <c r="G44" t="s">
        <v>18</v>
      </c>
      <c r="H44" t="s">
        <v>21</v>
      </c>
      <c r="I44">
        <v>21</v>
      </c>
      <c r="J44" s="68" cm="1">
        <f t="array" ref="J44">IF(INDEX('Activity Plan'!$S$34:$AW$99,
MATCH("*"&amp;TRIM($G44)&amp;"*",'Activity Plan'!$D$35:$D$100,0)+MATCH($H44,{"PLAN";"ACTUAL";"ACHIVE"},0)-1,
MATCH($I44,DAY('Activity Plan'!$S$7:$AW$7),0))=0,
"N/A",
INDEX('Activity Plan'!$S$34:$AW$99,
MATCH("*"&amp;TRIM($G44)&amp;"*",'Activity Plan'!$D$35:$D$100,0)+MATCH($H44,{"PLAN";"ACTUAL";"ACHIVE"},0)-1,
MATCH($I44,DAY('Activity Plan'!$S$7:$AW$7),0)))</f>
        <v>0.9</v>
      </c>
      <c r="L44" t="s">
        <v>20</v>
      </c>
      <c r="M44" t="s">
        <v>21</v>
      </c>
      <c r="N44">
        <v>21</v>
      </c>
      <c r="O44" s="71" cm="1">
        <f t="array" ref="O44">IF(INDEX('Activity Plan'!$S$34:$AW$99,
MATCH("*"&amp;TRIM($L44)&amp;"*",'Activity Plan'!$D$35:$D$100,0)+MATCH($M44,{"PLAN";"ACTUAL";"ACHIVE"},0)-1,
MATCH($N44,DAY('Activity Plan'!$S$7:$AW$7),0))=0,
"N/A",
INDEX('Activity Plan'!$S$34:$AW$99,
MATCH("*"&amp;TRIM($L44)&amp;"*",'Activity Plan'!$D$35:$D$100,0)+MATCH($M44,{"PLAN";"ACTUAL";"ACHIVE"},0)-1,
MATCH($N44,DAY('Activity Plan'!$S$7:$AW$7),0)))</f>
        <v>70</v>
      </c>
      <c r="Q44" t="s">
        <v>138</v>
      </c>
      <c r="R44" t="s">
        <v>21</v>
      </c>
      <c r="S44">
        <v>21</v>
      </c>
      <c r="T44" s="71" cm="1">
        <f t="array" ref="T44">IF(INDEX('Activity Plan'!$S$34:$AW$99,
MATCH("*"&amp;TRIM($Q44)&amp;"*",'Activity Plan'!$D$35:$D$100,0)+MATCH($R44,{"PLAN";"ACTUAL";"ACHIVE"},0)-1,
MATCH($S44,DAY('Activity Plan'!$S$7:$AW$7),0))=0,
"N/A",
INDEX('Activity Plan'!$S$34:$AW$99,
MATCH("*"&amp;TRIM($Q44)&amp;"*",'Activity Plan'!$D$35:$D$100,0)+MATCH($R44,{"PLAN";"ACTUAL";"ACHIVE"},0)-1,
MATCH($S44,DAY('Activity Plan'!$S$7:$AW$7),0)))</f>
        <v>80</v>
      </c>
      <c r="U44" s="71"/>
      <c r="V44" t="s">
        <v>18</v>
      </c>
      <c r="W44" t="s">
        <v>39</v>
      </c>
      <c r="X44" s="70">
        <v>10</v>
      </c>
      <c r="Y44" s="69" cm="1">
        <f t="array" ref="Y44">IF(INDEX('Activity Plan'!$S$34:$AW$99,
MATCH("*"&amp;TRIM($V44)&amp;"*",'Activity Plan'!$D$35:$D$100,0)+MATCH($W44,{"PLAN";"ACTUAL";"ACHIVE"},0)-1,
MATCH($X44,DAY('Activity Plan'!$S$7:$AW$7),0))=0,
"N/A",
INDEX('Activity Plan'!$S$34:$AW$99,
MATCH("*"&amp;TRIM($V44)&amp;"*",'Activity Plan'!$D$35:$D$100,0)+MATCH($W44,{"PLAN";"ACTUAL";"ACHIVE"},0)-1,
MATCH($X44,DAY('Activity Plan'!$S$7:$AW$7),0)))</f>
        <v>0.88888888888888895</v>
      </c>
      <c r="AA44" t="s">
        <v>40</v>
      </c>
      <c r="AB44" t="s">
        <v>22</v>
      </c>
      <c r="AC44" s="70">
        <v>10</v>
      </c>
      <c r="AD44" s="77">
        <f>'Activity Plan'!BG33</f>
        <v>0.7200000000000002</v>
      </c>
      <c r="CF44">
        <v>2</v>
      </c>
      <c r="CG44" t="s">
        <v>30</v>
      </c>
      <c r="CH44" t="s">
        <v>2</v>
      </c>
      <c r="CI44" t="s">
        <v>61</v>
      </c>
      <c r="CJ44" s="68">
        <v>1</v>
      </c>
      <c r="CL44" t="s">
        <v>150</v>
      </c>
      <c r="CM44" t="s">
        <v>19</v>
      </c>
      <c r="CN44" t="s">
        <v>21</v>
      </c>
      <c r="CO44">
        <v>21</v>
      </c>
      <c r="CP44" cm="1">
        <f t="array" ref="CP44">IF(INDEX('Activity Plan'!$S$34:$AW$99,
MATCH("*"&amp;TRIM($B44)&amp;"*",'Activity Plan'!$D$35:$D$100,0)+MATCH($C44,{"PLAN";"ACTUAL";"ACHIVE"},0)-1,
MATCH($D44,DAY('Activity Plan'!$S$7:$AW$7),0))=0,
"N/A",
INDEX('Activity Plan'!$S$34:$AW$99,
MATCH("*"&amp;TRIM($B44)&amp;"*",'Activity Plan'!$D$35:$D$100,0)+MATCH($C44,{"PLAN";"ACTUAL";"ACHIVE"},0)-1,
MATCH($D44,DAY('Activity Plan'!$S$7:$AW$7),0)))</f>
        <v>16</v>
      </c>
      <c r="CU44">
        <f>'Activity Plan'!AM7</f>
        <v>46194</v>
      </c>
      <c r="CV44" t="s">
        <v>21</v>
      </c>
      <c r="CW44" s="194">
        <f>IFERROR(IF('Activity Plan'!AM33=0,"N/A",'Activity Plan'!AM33),"N/A")</f>
        <v>0.50166666666666704</v>
      </c>
    </row>
    <row r="45" spans="2:110" x14ac:dyDescent="0.35">
      <c r="B45" t="s">
        <v>19</v>
      </c>
      <c r="C45" t="s">
        <v>22</v>
      </c>
      <c r="D45">
        <v>21</v>
      </c>
      <c r="E45" cm="1">
        <f t="array" ref="E45">IF(INDEX('Activity Plan'!$S$34:$AW$99,
MATCH("*"&amp;TRIM($B45)&amp;"*",'Activity Plan'!$D$35:$D$100,0)+MATCH($C45,{"PLAN";"ACTUAL";"ACHIVE"},0)-1,
MATCH($D45,DAY('Activity Plan'!$S$7:$AW$7),0))=0,
"N/A",
INDEX('Activity Plan'!$S$34:$AW$99,
MATCH("*"&amp;TRIM($B45)&amp;"*",'Activity Plan'!$D$35:$D$100,0)+MATCH($C45,{"PLAN";"ACTUAL";"ACHIVE"},0)-1,
MATCH($D45,DAY('Activity Plan'!$S$7:$AW$7),0)))</f>
        <v>16</v>
      </c>
      <c r="G45" t="s">
        <v>18</v>
      </c>
      <c r="H45" t="s">
        <v>22</v>
      </c>
      <c r="I45">
        <v>21</v>
      </c>
      <c r="J45" s="68" cm="1">
        <f t="array" ref="J45">IF(INDEX('Activity Plan'!$S$34:$AW$99,
MATCH("*"&amp;TRIM($G45)&amp;"*",'Activity Plan'!$D$35:$D$100,0)+MATCH($H45,{"PLAN";"ACTUAL";"ACHIVE"},0)-1,
MATCH($I45,DAY('Activity Plan'!$S$7:$AW$7),0))=0,
"N/A",
INDEX('Activity Plan'!$S$34:$AW$99,
MATCH("*"&amp;TRIM($G45)&amp;"*",'Activity Plan'!$D$35:$D$100,0)+MATCH($H45,{"PLAN";"ACTUAL";"ACHIVE"},0)-1,
MATCH($I45,DAY('Activity Plan'!$S$7:$AW$7),0)))</f>
        <v>1</v>
      </c>
      <c r="L45" t="s">
        <v>20</v>
      </c>
      <c r="M45" t="s">
        <v>22</v>
      </c>
      <c r="N45">
        <v>21</v>
      </c>
      <c r="O45" s="71" cm="1">
        <f t="array" ref="O45">IF(INDEX('Activity Plan'!$S$34:$AW$99,
MATCH("*"&amp;TRIM($L45)&amp;"*",'Activity Plan'!$D$35:$D$100,0)+MATCH($M45,{"PLAN";"ACTUAL";"ACHIVE"},0)-1,
MATCH($N45,DAY('Activity Plan'!$S$7:$AW$7),0))=0,
"N/A",
INDEX('Activity Plan'!$S$34:$AW$99,
MATCH("*"&amp;TRIM($L45)&amp;"*",'Activity Plan'!$D$35:$D$100,0)+MATCH($M45,{"PLAN";"ACTUAL";"ACHIVE"},0)-1,
MATCH($N45,DAY('Activity Plan'!$S$7:$AW$7),0)))</f>
        <v>73</v>
      </c>
      <c r="Q45" t="s">
        <v>138</v>
      </c>
      <c r="R45" t="s">
        <v>22</v>
      </c>
      <c r="S45">
        <v>21</v>
      </c>
      <c r="T45" s="71" cm="1">
        <f t="array" ref="T45">IF(INDEX('Activity Plan'!$S$34:$AW$99,
MATCH("*"&amp;TRIM($Q45)&amp;"*",'Activity Plan'!$D$35:$D$100,0)+MATCH($R45,{"PLAN";"ACTUAL";"ACHIVE"},0)-1,
MATCH($S45,DAY('Activity Plan'!$S$7:$AW$7),0))=0,
"N/A",
INDEX('Activity Plan'!$S$34:$AW$99,
MATCH("*"&amp;TRIM($Q45)&amp;"*",'Activity Plan'!$D$35:$D$100,0)+MATCH($R45,{"PLAN";"ACTUAL";"ACHIVE"},0)-1,
MATCH($S45,DAY('Activity Plan'!$S$7:$AW$7),0)))</f>
        <v>73</v>
      </c>
      <c r="U45" s="71"/>
      <c r="V45" t="s">
        <v>18</v>
      </c>
      <c r="W45" t="s">
        <v>39</v>
      </c>
      <c r="X45" s="70">
        <v>11</v>
      </c>
      <c r="Y45" s="69" cm="1">
        <f t="array" ref="Y45">IF(INDEX('Activity Plan'!$S$34:$AW$99,
MATCH("*"&amp;TRIM($V45)&amp;"*",'Activity Plan'!$D$35:$D$100,0)+MATCH($W45,{"PLAN";"ACTUAL";"ACHIVE"},0)-1,
MATCH($X45,DAY('Activity Plan'!$S$7:$AW$7),0))=0,
"N/A",
INDEX('Activity Plan'!$S$34:$AW$99,
MATCH("*"&amp;TRIM($V45)&amp;"*",'Activity Plan'!$D$35:$D$100,0)+MATCH($W45,{"PLAN";"ACTUAL";"ACHIVE"},0)-1,
MATCH($X45,DAY('Activity Plan'!$S$7:$AW$7),0)))</f>
        <v>0.92222222222222217</v>
      </c>
      <c r="AA45" t="s">
        <v>40</v>
      </c>
      <c r="AB45" t="s">
        <v>22</v>
      </c>
      <c r="AC45" s="70">
        <v>11</v>
      </c>
      <c r="AD45" s="77">
        <f>'Activity Plan'!BH33</f>
        <v>0.75</v>
      </c>
      <c r="CF45">
        <v>2</v>
      </c>
      <c r="CG45" t="s">
        <v>30</v>
      </c>
      <c r="CH45" t="s">
        <v>2</v>
      </c>
      <c r="CI45" t="s">
        <v>62</v>
      </c>
      <c r="CJ45" s="68">
        <v>1</v>
      </c>
      <c r="CL45" t="s">
        <v>150</v>
      </c>
      <c r="CM45" t="s">
        <v>19</v>
      </c>
      <c r="CN45" t="s">
        <v>22</v>
      </c>
      <c r="CO45">
        <v>21</v>
      </c>
      <c r="CP45" cm="1">
        <f t="array" ref="CP45">IF(INDEX('Activity Plan'!$S$34:$AW$99,
MATCH("*"&amp;TRIM($B45)&amp;"*",'Activity Plan'!$D$35:$D$100,0)+MATCH($C45,{"PLAN";"ACTUAL";"ACHIVE"},0)-1,
MATCH($D45,DAY('Activity Plan'!$S$7:$AW$7),0))=0,
"N/A",
INDEX('Activity Plan'!$S$34:$AW$99,
MATCH("*"&amp;TRIM($B45)&amp;"*",'Activity Plan'!$D$35:$D$100,0)+MATCH($C45,{"PLAN";"ACTUAL";"ACHIVE"},0)-1,
MATCH($D45,DAY('Activity Plan'!$S$7:$AW$7),0)))</f>
        <v>16</v>
      </c>
      <c r="CU45">
        <f>'Activity Plan'!AM7</f>
        <v>46194</v>
      </c>
      <c r="CV45" t="s">
        <v>22</v>
      </c>
      <c r="CW45" s="194">
        <f>IFERROR(IF('Activity Plan'!BR33=0,"N/A",'Activity Plan'!BR33),"N/A")</f>
        <v>1</v>
      </c>
    </row>
    <row r="46" spans="2:110" x14ac:dyDescent="0.35">
      <c r="B46" t="s">
        <v>19</v>
      </c>
      <c r="C46" t="s">
        <v>21</v>
      </c>
      <c r="D46">
        <v>22</v>
      </c>
      <c r="E46" cm="1">
        <f t="array" ref="E46">IF(INDEX('Activity Plan'!$S$34:$AW$99,
MATCH("*"&amp;TRIM($B46)&amp;"*",'Activity Plan'!$D$35:$D$100,0)+MATCH($C46,{"PLAN";"ACTUAL";"ACHIVE"},0)-1,
MATCH($D46,DAY('Activity Plan'!$S$7:$AW$7),0))=0,
"N/A",
INDEX('Activity Plan'!$S$34:$AW$99,
MATCH("*"&amp;TRIM($B46)&amp;"*",'Activity Plan'!$D$35:$D$100,0)+MATCH($C46,{"PLAN";"ACTUAL";"ACHIVE"},0)-1,
MATCH($D46,DAY('Activity Plan'!$S$7:$AW$7),0)))</f>
        <v>16</v>
      </c>
      <c r="G46" t="s">
        <v>18</v>
      </c>
      <c r="H46" t="s">
        <v>21</v>
      </c>
      <c r="I46">
        <v>22</v>
      </c>
      <c r="J46" s="68" cm="1">
        <f t="array" ref="J46">IF(INDEX('Activity Plan'!$S$34:$AW$99,
MATCH("*"&amp;TRIM($G46)&amp;"*",'Activity Plan'!$D$35:$D$100,0)+MATCH($H46,{"PLAN";"ACTUAL";"ACHIVE"},0)-1,
MATCH($I46,DAY('Activity Plan'!$S$7:$AW$7),0))=0,
"N/A",
INDEX('Activity Plan'!$S$34:$AW$99,
MATCH("*"&amp;TRIM($G46)&amp;"*",'Activity Plan'!$D$35:$D$100,0)+MATCH($H46,{"PLAN";"ACTUAL";"ACHIVE"},0)-1,
MATCH($I46,DAY('Activity Plan'!$S$7:$AW$7),0)))</f>
        <v>0.9</v>
      </c>
      <c r="L46" t="s">
        <v>20</v>
      </c>
      <c r="M46" t="s">
        <v>21</v>
      </c>
      <c r="N46">
        <v>22</v>
      </c>
      <c r="O46" s="71" cm="1">
        <f t="array" ref="O46">IF(INDEX('Activity Plan'!$S$34:$AW$99,
MATCH("*"&amp;TRIM($L46)&amp;"*",'Activity Plan'!$D$35:$D$100,0)+MATCH($M46,{"PLAN";"ACTUAL";"ACHIVE"},0)-1,
MATCH($N46,DAY('Activity Plan'!$S$7:$AW$7),0))=0,
"N/A",
INDEX('Activity Plan'!$S$34:$AW$99,
MATCH("*"&amp;TRIM($L46)&amp;"*",'Activity Plan'!$D$35:$D$100,0)+MATCH($M46,{"PLAN";"ACTUAL";"ACHIVE"},0)-1,
MATCH($N46,DAY('Activity Plan'!$S$7:$AW$7),0)))</f>
        <v>70</v>
      </c>
      <c r="Q46" t="s">
        <v>138</v>
      </c>
      <c r="R46" t="s">
        <v>21</v>
      </c>
      <c r="S46">
        <v>22</v>
      </c>
      <c r="T46" s="71" cm="1">
        <f t="array" ref="T46">IF(INDEX('Activity Plan'!$S$34:$AW$99,
MATCH("*"&amp;TRIM($Q46)&amp;"*",'Activity Plan'!$D$35:$D$100,0)+MATCH($R46,{"PLAN";"ACTUAL";"ACHIVE"},0)-1,
MATCH($S46,DAY('Activity Plan'!$S$7:$AW$7),0))=0,
"N/A",
INDEX('Activity Plan'!$S$34:$AW$99,
MATCH("*"&amp;TRIM($Q46)&amp;"*",'Activity Plan'!$D$35:$D$100,0)+MATCH($R46,{"PLAN";"ACTUAL";"ACHIVE"},0)-1,
MATCH($S46,DAY('Activity Plan'!$S$7:$AW$7),0)))</f>
        <v>80</v>
      </c>
      <c r="U46" s="71"/>
      <c r="V46" t="s">
        <v>18</v>
      </c>
      <c r="W46" t="s">
        <v>39</v>
      </c>
      <c r="X46" s="70">
        <v>12</v>
      </c>
      <c r="Y46" s="69" cm="1">
        <f t="array" ref="Y46">IF(INDEX('Activity Plan'!$S$34:$AW$99,
MATCH("*"&amp;TRIM($V46)&amp;"*",'Activity Plan'!$D$35:$D$100,0)+MATCH($W46,{"PLAN";"ACTUAL";"ACHIVE"},0)-1,
MATCH($X46,DAY('Activity Plan'!$S$7:$AW$7),0))=0,
"N/A",
INDEX('Activity Plan'!$S$34:$AW$99,
MATCH("*"&amp;TRIM($V46)&amp;"*",'Activity Plan'!$D$35:$D$100,0)+MATCH($W46,{"PLAN";"ACTUAL";"ACHIVE"},0)-1,
MATCH($X46,DAY('Activity Plan'!$S$7:$AW$7),0)))</f>
        <v>0.79999999999999993</v>
      </c>
      <c r="AA46" t="s">
        <v>40</v>
      </c>
      <c r="AB46" t="s">
        <v>22</v>
      </c>
      <c r="AC46" s="70">
        <v>12</v>
      </c>
      <c r="AD46" s="77">
        <f>'Activity Plan'!BI33</f>
        <v>0.77999999999999992</v>
      </c>
      <c r="CF46">
        <v>2</v>
      </c>
      <c r="CG46" t="s">
        <v>30</v>
      </c>
      <c r="CH46" t="s">
        <v>2</v>
      </c>
      <c r="CI46" t="s">
        <v>63</v>
      </c>
      <c r="CJ46" s="68">
        <v>1</v>
      </c>
      <c r="CL46" t="s">
        <v>150</v>
      </c>
      <c r="CM46" t="s">
        <v>19</v>
      </c>
      <c r="CN46" t="s">
        <v>21</v>
      </c>
      <c r="CO46">
        <v>22</v>
      </c>
      <c r="CP46" cm="1">
        <f t="array" ref="CP46">IF(INDEX('Activity Plan'!$S$34:$AW$99,
MATCH("*"&amp;TRIM($B46)&amp;"*",'Activity Plan'!$D$35:$D$100,0)+MATCH($C46,{"PLAN";"ACTUAL";"ACHIVE"},0)-1,
MATCH($D46,DAY('Activity Plan'!$S$7:$AW$7),0))=0,
"N/A",
INDEX('Activity Plan'!$S$34:$AW$99,
MATCH("*"&amp;TRIM($B46)&amp;"*",'Activity Plan'!$D$35:$D$100,0)+MATCH($C46,{"PLAN";"ACTUAL";"ACHIVE"},0)-1,
MATCH($D46,DAY('Activity Plan'!$S$7:$AW$7),0)))</f>
        <v>16</v>
      </c>
      <c r="CU46">
        <f>'Activity Plan'!AN7</f>
        <v>46195</v>
      </c>
      <c r="CV46" t="s">
        <v>21</v>
      </c>
      <c r="CW46" s="194">
        <f>IFERROR(IF('Activity Plan'!AN33=0,"N/A",'Activity Plan'!AN33),"N/A")</f>
        <v>0.50166666666666704</v>
      </c>
    </row>
    <row r="47" spans="2:110" x14ac:dyDescent="0.35">
      <c r="B47" t="s">
        <v>19</v>
      </c>
      <c r="C47" t="s">
        <v>22</v>
      </c>
      <c r="D47">
        <v>22</v>
      </c>
      <c r="E47" cm="1">
        <f t="array" ref="E47">IF(INDEX('Activity Plan'!$S$34:$AW$99,
MATCH("*"&amp;TRIM($B47)&amp;"*",'Activity Plan'!$D$35:$D$100,0)+MATCH($C47,{"PLAN";"ACTUAL";"ACHIVE"},0)-1,
MATCH($D47,DAY('Activity Plan'!$S$7:$AW$7),0))=0,
"N/A",
INDEX('Activity Plan'!$S$34:$AW$99,
MATCH("*"&amp;TRIM($B47)&amp;"*",'Activity Plan'!$D$35:$D$100,0)+MATCH($C47,{"PLAN";"ACTUAL";"ACHIVE"},0)-1,
MATCH($D47,DAY('Activity Plan'!$S$7:$AW$7),0)))</f>
        <v>15</v>
      </c>
      <c r="G47" t="s">
        <v>18</v>
      </c>
      <c r="H47" t="s">
        <v>22</v>
      </c>
      <c r="I47">
        <v>22</v>
      </c>
      <c r="J47" s="68" cm="1">
        <f t="array" ref="J47">IF(INDEX('Activity Plan'!$S$34:$AW$99,
MATCH("*"&amp;TRIM($G47)&amp;"*",'Activity Plan'!$D$35:$D$100,0)+MATCH($H47,{"PLAN";"ACTUAL";"ACHIVE"},0)-1,
MATCH($I47,DAY('Activity Plan'!$S$7:$AW$7),0))=0,
"N/A",
INDEX('Activity Plan'!$S$34:$AW$99,
MATCH("*"&amp;TRIM($G47)&amp;"*",'Activity Plan'!$D$35:$D$100,0)+MATCH($H47,{"PLAN";"ACTUAL";"ACHIVE"},0)-1,
MATCH($I47,DAY('Activity Plan'!$S$7:$AW$7),0)))</f>
        <v>0.9</v>
      </c>
      <c r="L47" t="s">
        <v>20</v>
      </c>
      <c r="M47" t="s">
        <v>22</v>
      </c>
      <c r="N47">
        <v>22</v>
      </c>
      <c r="O47" s="71" cm="1">
        <f t="array" ref="O47">IF(INDEX('Activity Plan'!$S$34:$AW$99,
MATCH("*"&amp;TRIM($L47)&amp;"*",'Activity Plan'!$D$35:$D$100,0)+MATCH($M47,{"PLAN";"ACTUAL";"ACHIVE"},0)-1,
MATCH($N47,DAY('Activity Plan'!$S$7:$AW$7),0))=0,
"N/A",
INDEX('Activity Plan'!$S$34:$AW$99,
MATCH("*"&amp;TRIM($L47)&amp;"*",'Activity Plan'!$D$35:$D$100,0)+MATCH($M47,{"PLAN";"ACTUAL";"ACHIVE"},0)-1,
MATCH($N47,DAY('Activity Plan'!$S$7:$AW$7),0)))</f>
        <v>80</v>
      </c>
      <c r="Q47" t="s">
        <v>138</v>
      </c>
      <c r="R47" t="s">
        <v>22</v>
      </c>
      <c r="S47">
        <v>22</v>
      </c>
      <c r="T47" s="71" cm="1">
        <f t="array" ref="T47">IF(INDEX('Activity Plan'!$S$34:$AW$99,
MATCH("*"&amp;TRIM($Q47)&amp;"*",'Activity Plan'!$D$35:$D$100,0)+MATCH($R47,{"PLAN";"ACTUAL";"ACHIVE"},0)-1,
MATCH($S47,DAY('Activity Plan'!$S$7:$AW$7),0))=0,
"N/A",
INDEX('Activity Plan'!$S$34:$AW$99,
MATCH("*"&amp;TRIM($Q47)&amp;"*",'Activity Plan'!$D$35:$D$100,0)+MATCH($R47,{"PLAN";"ACTUAL";"ACHIVE"},0)-1,
MATCH($S47,DAY('Activity Plan'!$S$7:$AW$7),0)))</f>
        <v>80</v>
      </c>
      <c r="U47" s="71"/>
      <c r="V47" t="s">
        <v>18</v>
      </c>
      <c r="W47" t="s">
        <v>39</v>
      </c>
      <c r="X47" s="70">
        <v>13</v>
      </c>
      <c r="Y47" s="69" cm="1">
        <f t="array" ref="Y47">IF(INDEX('Activity Plan'!$S$34:$AW$99,
MATCH("*"&amp;TRIM($V47)&amp;"*",'Activity Plan'!$D$35:$D$100,0)+MATCH($W47,{"PLAN";"ACTUAL";"ACHIVE"},0)-1,
MATCH($X47,DAY('Activity Plan'!$S$7:$AW$7),0))=0,
"N/A",
INDEX('Activity Plan'!$S$34:$AW$99,
MATCH("*"&amp;TRIM($V47)&amp;"*",'Activity Plan'!$D$35:$D$100,0)+MATCH($W47,{"PLAN";"ACTUAL";"ACHIVE"},0)-1,
MATCH($X47,DAY('Activity Plan'!$S$7:$AW$7),0)))</f>
        <v>1.1111111111111112</v>
      </c>
      <c r="AA47" t="s">
        <v>40</v>
      </c>
      <c r="AB47" t="s">
        <v>22</v>
      </c>
      <c r="AC47" s="70">
        <v>13</v>
      </c>
      <c r="AD47" s="77">
        <f>'Activity Plan'!BJ33</f>
        <v>0.81</v>
      </c>
      <c r="CF47">
        <v>2</v>
      </c>
      <c r="CG47" t="s">
        <v>30</v>
      </c>
      <c r="CH47" t="s">
        <v>2</v>
      </c>
      <c r="CI47" t="s">
        <v>64</v>
      </c>
      <c r="CJ47" s="68">
        <v>1</v>
      </c>
      <c r="CL47" t="s">
        <v>150</v>
      </c>
      <c r="CM47" t="s">
        <v>19</v>
      </c>
      <c r="CN47" t="s">
        <v>22</v>
      </c>
      <c r="CO47">
        <v>22</v>
      </c>
      <c r="CP47" cm="1">
        <f t="array" ref="CP47">IF(INDEX('Activity Plan'!$S$34:$AW$99,
MATCH("*"&amp;TRIM($B47)&amp;"*",'Activity Plan'!$D$35:$D$100,0)+MATCH($C47,{"PLAN";"ACTUAL";"ACHIVE"},0)-1,
MATCH($D47,DAY('Activity Plan'!$S$7:$AW$7),0))=0,
"N/A",
INDEX('Activity Plan'!$S$34:$AW$99,
MATCH("*"&amp;TRIM($B47)&amp;"*",'Activity Plan'!$D$35:$D$100,0)+MATCH($C47,{"PLAN";"ACTUAL";"ACHIVE"},0)-1,
MATCH($D47,DAY('Activity Plan'!$S$7:$AW$7),0)))</f>
        <v>15</v>
      </c>
      <c r="CU47">
        <f>'Activity Plan'!AN7</f>
        <v>46195</v>
      </c>
      <c r="CV47" t="s">
        <v>22</v>
      </c>
      <c r="CW47" s="194">
        <f>IFERROR(IF('Activity Plan'!BS33=0,"N/A",'Activity Plan'!BS33),"N/A")</f>
        <v>1</v>
      </c>
    </row>
    <row r="48" spans="2:110" x14ac:dyDescent="0.35">
      <c r="B48" t="s">
        <v>19</v>
      </c>
      <c r="C48" t="s">
        <v>21</v>
      </c>
      <c r="D48">
        <v>23</v>
      </c>
      <c r="E48" cm="1">
        <f t="array" ref="E48">IF(INDEX('Activity Plan'!$S$34:$AW$99,
MATCH("*"&amp;TRIM($B48)&amp;"*",'Activity Plan'!$D$35:$D$100,0)+MATCH($C48,{"PLAN";"ACTUAL";"ACHIVE"},0)-1,
MATCH($D48,DAY('Activity Plan'!$S$7:$AW$7),0))=0,
"N/A",
INDEX('Activity Plan'!$S$34:$AW$99,
MATCH("*"&amp;TRIM($B48)&amp;"*",'Activity Plan'!$D$35:$D$100,0)+MATCH($C48,{"PLAN";"ACTUAL";"ACHIVE"},0)-1,
MATCH($D48,DAY('Activity Plan'!$S$7:$AW$7),0)))</f>
        <v>16</v>
      </c>
      <c r="G48" t="s">
        <v>18</v>
      </c>
      <c r="H48" t="s">
        <v>21</v>
      </c>
      <c r="I48">
        <v>23</v>
      </c>
      <c r="J48" s="68" cm="1">
        <f t="array" ref="J48">IF(INDEX('Activity Plan'!$S$34:$AW$99,
MATCH("*"&amp;TRIM($G48)&amp;"*",'Activity Plan'!$D$35:$D$100,0)+MATCH($H48,{"PLAN";"ACTUAL";"ACHIVE"},0)-1,
MATCH($I48,DAY('Activity Plan'!$S$7:$AW$7),0))=0,
"N/A",
INDEX('Activity Plan'!$S$34:$AW$99,
MATCH("*"&amp;TRIM($G48)&amp;"*",'Activity Plan'!$D$35:$D$100,0)+MATCH($H48,{"PLAN";"ACTUAL";"ACHIVE"},0)-1,
MATCH($I48,DAY('Activity Plan'!$S$7:$AW$7),0)))</f>
        <v>0.9</v>
      </c>
      <c r="L48" t="s">
        <v>20</v>
      </c>
      <c r="M48" t="s">
        <v>21</v>
      </c>
      <c r="N48">
        <v>23</v>
      </c>
      <c r="O48" s="71" cm="1">
        <f t="array" ref="O48">IF(INDEX('Activity Plan'!$S$34:$AW$99,
MATCH("*"&amp;TRIM($L48)&amp;"*",'Activity Plan'!$D$35:$D$100,0)+MATCH($M48,{"PLAN";"ACTUAL";"ACHIVE"},0)-1,
MATCH($N48,DAY('Activity Plan'!$S$7:$AW$7),0))=0,
"N/A",
INDEX('Activity Plan'!$S$34:$AW$99,
MATCH("*"&amp;TRIM($L48)&amp;"*",'Activity Plan'!$D$35:$D$100,0)+MATCH($M48,{"PLAN";"ACTUAL";"ACHIVE"},0)-1,
MATCH($N48,DAY('Activity Plan'!$S$7:$AW$7),0)))</f>
        <v>70</v>
      </c>
      <c r="Q48" t="s">
        <v>138</v>
      </c>
      <c r="R48" t="s">
        <v>21</v>
      </c>
      <c r="S48">
        <v>23</v>
      </c>
      <c r="T48" s="71" cm="1">
        <f t="array" ref="T48">IF(INDEX('Activity Plan'!$S$34:$AW$99,
MATCH("*"&amp;TRIM($Q48)&amp;"*",'Activity Plan'!$D$35:$D$100,0)+MATCH($R48,{"PLAN";"ACTUAL";"ACHIVE"},0)-1,
MATCH($S48,DAY('Activity Plan'!$S$7:$AW$7),0))=0,
"N/A",
INDEX('Activity Plan'!$S$34:$AW$99,
MATCH("*"&amp;TRIM($Q48)&amp;"*",'Activity Plan'!$D$35:$D$100,0)+MATCH($R48,{"PLAN";"ACTUAL";"ACHIVE"},0)-1,
MATCH($S48,DAY('Activity Plan'!$S$7:$AW$7),0)))</f>
        <v>80</v>
      </c>
      <c r="U48" s="71"/>
      <c r="V48" t="s">
        <v>18</v>
      </c>
      <c r="W48" t="s">
        <v>39</v>
      </c>
      <c r="X48" s="70">
        <v>14</v>
      </c>
      <c r="Y48" s="69" cm="1">
        <f t="array" ref="Y48">IF(INDEX('Activity Plan'!$S$34:$AW$99,
MATCH("*"&amp;TRIM($V48)&amp;"*",'Activity Plan'!$D$35:$D$100,0)+MATCH($W48,{"PLAN";"ACTUAL";"ACHIVE"},0)-1,
MATCH($X48,DAY('Activity Plan'!$S$7:$AW$7),0))=0,
"N/A",
INDEX('Activity Plan'!$S$34:$AW$99,
MATCH("*"&amp;TRIM($V48)&amp;"*",'Activity Plan'!$D$35:$D$100,0)+MATCH($W48,{"PLAN";"ACTUAL";"ACHIVE"},0)-1,
MATCH($X48,DAY('Activity Plan'!$S$7:$AW$7),0)))</f>
        <v>1</v>
      </c>
      <c r="AA48" t="s">
        <v>40</v>
      </c>
      <c r="AB48" t="s">
        <v>22</v>
      </c>
      <c r="AC48" s="70">
        <v>14</v>
      </c>
      <c r="AD48" s="77">
        <f>'Activity Plan'!BK33</f>
        <v>0.84</v>
      </c>
      <c r="CF48">
        <v>2</v>
      </c>
      <c r="CG48" t="s">
        <v>30</v>
      </c>
      <c r="CH48" t="s">
        <v>2</v>
      </c>
      <c r="CI48" t="s">
        <v>65</v>
      </c>
      <c r="CJ48" s="68">
        <v>1</v>
      </c>
      <c r="CL48" t="s">
        <v>150</v>
      </c>
      <c r="CM48" t="s">
        <v>19</v>
      </c>
      <c r="CN48" t="s">
        <v>21</v>
      </c>
      <c r="CO48">
        <v>23</v>
      </c>
      <c r="CP48" cm="1">
        <f t="array" ref="CP48">IF(INDEX('Activity Plan'!$S$34:$AW$99,
MATCH("*"&amp;TRIM($B48)&amp;"*",'Activity Plan'!$D$35:$D$100,0)+MATCH($C48,{"PLAN";"ACTUAL";"ACHIVE"},0)-1,
MATCH($D48,DAY('Activity Plan'!$S$7:$AW$7),0))=0,
"N/A",
INDEX('Activity Plan'!$S$34:$AW$99,
MATCH("*"&amp;TRIM($B48)&amp;"*",'Activity Plan'!$D$35:$D$100,0)+MATCH($C48,{"PLAN";"ACTUAL";"ACHIVE"},0)-1,
MATCH($D48,DAY('Activity Plan'!$S$7:$AW$7),0)))</f>
        <v>16</v>
      </c>
      <c r="CU48">
        <f>'Activity Plan'!AO7</f>
        <v>46196</v>
      </c>
      <c r="CV48" t="s">
        <v>21</v>
      </c>
      <c r="CW48" s="194">
        <f>IFERROR(IF('Activity Plan'!AO33=0,"N/A",'Activity Plan'!AO33),"N/A")</f>
        <v>0.50166666666666704</v>
      </c>
    </row>
    <row r="49" spans="2:101" x14ac:dyDescent="0.35">
      <c r="B49" t="s">
        <v>19</v>
      </c>
      <c r="C49" t="s">
        <v>22</v>
      </c>
      <c r="D49">
        <v>23</v>
      </c>
      <c r="E49" cm="1">
        <f t="array" ref="E49">IF(INDEX('Activity Plan'!$S$34:$AW$99,
MATCH("*"&amp;TRIM($B49)&amp;"*",'Activity Plan'!$D$35:$D$100,0)+MATCH($C49,{"PLAN";"ACTUAL";"ACHIVE"},0)-1,
MATCH($D49,DAY('Activity Plan'!$S$7:$AW$7),0))=0,
"N/A",
INDEX('Activity Plan'!$S$34:$AW$99,
MATCH("*"&amp;TRIM($B49)&amp;"*",'Activity Plan'!$D$35:$D$100,0)+MATCH($C49,{"PLAN";"ACTUAL";"ACHIVE"},0)-1,
MATCH($D49,DAY('Activity Plan'!$S$7:$AW$7),0)))</f>
        <v>13</v>
      </c>
      <c r="G49" t="s">
        <v>18</v>
      </c>
      <c r="H49" t="s">
        <v>22</v>
      </c>
      <c r="I49">
        <v>23</v>
      </c>
      <c r="J49" s="68" cm="1">
        <f t="array" ref="J49">IF(INDEX('Activity Plan'!$S$34:$AW$99,
MATCH("*"&amp;TRIM($G49)&amp;"*",'Activity Plan'!$D$35:$D$100,0)+MATCH($H49,{"PLAN";"ACTUAL";"ACHIVE"},0)-1,
MATCH($I49,DAY('Activity Plan'!$S$7:$AW$7),0))=0,
"N/A",
INDEX('Activity Plan'!$S$34:$AW$99,
MATCH("*"&amp;TRIM($G49)&amp;"*",'Activity Plan'!$D$35:$D$100,0)+MATCH($H49,{"PLAN";"ACTUAL";"ACHIVE"},0)-1,
MATCH($I49,DAY('Activity Plan'!$S$7:$AW$7),0)))</f>
        <v>0.98</v>
      </c>
      <c r="L49" t="s">
        <v>20</v>
      </c>
      <c r="M49" t="s">
        <v>22</v>
      </c>
      <c r="N49">
        <v>23</v>
      </c>
      <c r="O49" s="71" cm="1">
        <f t="array" ref="O49">IF(INDEX('Activity Plan'!$S$34:$AW$99,
MATCH("*"&amp;TRIM($L49)&amp;"*",'Activity Plan'!$D$35:$D$100,0)+MATCH($M49,{"PLAN";"ACTUAL";"ACHIVE"},0)-1,
MATCH($N49,DAY('Activity Plan'!$S$7:$AW$7),0))=0,
"N/A",
INDEX('Activity Plan'!$S$34:$AW$99,
MATCH("*"&amp;TRIM($L49)&amp;"*",'Activity Plan'!$D$35:$D$100,0)+MATCH($M49,{"PLAN";"ACTUAL";"ACHIVE"},0)-1,
MATCH($N49,DAY('Activity Plan'!$S$7:$AW$7),0)))</f>
        <v>60</v>
      </c>
      <c r="Q49" t="s">
        <v>138</v>
      </c>
      <c r="R49" t="s">
        <v>22</v>
      </c>
      <c r="S49">
        <v>23</v>
      </c>
      <c r="T49" s="71" cm="1">
        <f t="array" ref="T49">IF(INDEX('Activity Plan'!$S$34:$AW$99,
MATCH("*"&amp;TRIM($Q49)&amp;"*",'Activity Plan'!$D$35:$D$100,0)+MATCH($R49,{"PLAN";"ACTUAL";"ACHIVE"},0)-1,
MATCH($S49,DAY('Activity Plan'!$S$7:$AW$7),0))=0,
"N/A",
INDEX('Activity Plan'!$S$34:$AW$99,
MATCH("*"&amp;TRIM($Q49)&amp;"*",'Activity Plan'!$D$35:$D$100,0)+MATCH($R49,{"PLAN";"ACTUAL";"ACHIVE"},0)-1,
MATCH($S49,DAY('Activity Plan'!$S$7:$AW$7),0)))</f>
        <v>60</v>
      </c>
      <c r="U49" s="71"/>
      <c r="V49" t="s">
        <v>18</v>
      </c>
      <c r="W49" t="s">
        <v>39</v>
      </c>
      <c r="X49" s="70">
        <v>15</v>
      </c>
      <c r="Y49" s="69" cm="1">
        <f t="array" ref="Y49">IF(INDEX('Activity Plan'!$S$34:$AW$99,
MATCH("*"&amp;TRIM($V49)&amp;"*",'Activity Plan'!$D$35:$D$100,0)+MATCH($W49,{"PLAN";"ACTUAL";"ACHIVE"},0)-1,
MATCH($X49,DAY('Activity Plan'!$S$7:$AW$7),0))=0,
"N/A",
INDEX('Activity Plan'!$S$34:$AW$99,
MATCH("*"&amp;TRIM($V49)&amp;"*",'Activity Plan'!$D$35:$D$100,0)+MATCH($W49,{"PLAN";"ACTUAL";"ACHIVE"},0)-1,
MATCH($X49,DAY('Activity Plan'!$S$7:$AW$7),0)))</f>
        <v>1.0888888888888888</v>
      </c>
      <c r="AA49" t="s">
        <v>40</v>
      </c>
      <c r="AB49" t="s">
        <v>22</v>
      </c>
      <c r="AC49" s="70">
        <v>15</v>
      </c>
      <c r="AD49" s="77">
        <f>'Activity Plan'!BL33</f>
        <v>0.87</v>
      </c>
      <c r="CF49">
        <v>2</v>
      </c>
      <c r="CG49" t="s">
        <v>30</v>
      </c>
      <c r="CH49" t="s">
        <v>2</v>
      </c>
      <c r="CI49" t="s">
        <v>66</v>
      </c>
      <c r="CJ49" s="68">
        <v>1</v>
      </c>
      <c r="CL49" t="s">
        <v>150</v>
      </c>
      <c r="CM49" t="s">
        <v>19</v>
      </c>
      <c r="CN49" t="s">
        <v>22</v>
      </c>
      <c r="CO49">
        <v>23</v>
      </c>
      <c r="CP49" cm="1">
        <f t="array" ref="CP49">IF(INDEX('Activity Plan'!$S$34:$AW$99,
MATCH("*"&amp;TRIM($B49)&amp;"*",'Activity Plan'!$D$35:$D$100,0)+MATCH($C49,{"PLAN";"ACTUAL";"ACHIVE"},0)-1,
MATCH($D49,DAY('Activity Plan'!$S$7:$AW$7),0))=0,
"N/A",
INDEX('Activity Plan'!$S$34:$AW$99,
MATCH("*"&amp;TRIM($B49)&amp;"*",'Activity Plan'!$D$35:$D$100,0)+MATCH($C49,{"PLAN";"ACTUAL";"ACHIVE"},0)-1,
MATCH($D49,DAY('Activity Plan'!$S$7:$AW$7),0)))</f>
        <v>13</v>
      </c>
      <c r="CU49">
        <f>'Activity Plan'!AO7</f>
        <v>46196</v>
      </c>
      <c r="CV49" t="s">
        <v>22</v>
      </c>
      <c r="CW49" s="194">
        <f>IFERROR(IF('Activity Plan'!BT33=0,"N/A",'Activity Plan'!BT33),"N/A")</f>
        <v>1</v>
      </c>
    </row>
    <row r="50" spans="2:101" x14ac:dyDescent="0.35">
      <c r="B50" t="s">
        <v>19</v>
      </c>
      <c r="C50" t="s">
        <v>21</v>
      </c>
      <c r="D50">
        <v>24</v>
      </c>
      <c r="E50" cm="1">
        <f t="array" ref="E50">IF(INDEX('Activity Plan'!$S$34:$AW$99,
MATCH("*"&amp;TRIM($B50)&amp;"*",'Activity Plan'!$D$35:$D$100,0)+MATCH($C50,{"PLAN";"ACTUAL";"ACHIVE"},0)-1,
MATCH($D50,DAY('Activity Plan'!$S$7:$AW$7),0))=0,
"N/A",
INDEX('Activity Plan'!$S$34:$AW$99,
MATCH("*"&amp;TRIM($B50)&amp;"*",'Activity Plan'!$D$35:$D$100,0)+MATCH($C50,{"PLAN";"ACTUAL";"ACHIVE"},0)-1,
MATCH($D50,DAY('Activity Plan'!$S$7:$AW$7),0)))</f>
        <v>16</v>
      </c>
      <c r="G50" t="s">
        <v>18</v>
      </c>
      <c r="H50" t="s">
        <v>21</v>
      </c>
      <c r="I50">
        <v>24</v>
      </c>
      <c r="J50" s="68" cm="1">
        <f t="array" ref="J50">IF(INDEX('Activity Plan'!$S$34:$AW$99,
MATCH("*"&amp;TRIM($G50)&amp;"*",'Activity Plan'!$D$35:$D$100,0)+MATCH($H50,{"PLAN";"ACTUAL";"ACHIVE"},0)-1,
MATCH($I50,DAY('Activity Plan'!$S$7:$AW$7),0))=0,
"N/A",
INDEX('Activity Plan'!$S$34:$AW$99,
MATCH("*"&amp;TRIM($G50)&amp;"*",'Activity Plan'!$D$35:$D$100,0)+MATCH($H50,{"PLAN";"ACTUAL";"ACHIVE"},0)-1,
MATCH($I50,DAY('Activity Plan'!$S$7:$AW$7),0)))</f>
        <v>0.9</v>
      </c>
      <c r="L50" t="s">
        <v>20</v>
      </c>
      <c r="M50" t="s">
        <v>21</v>
      </c>
      <c r="N50">
        <v>24</v>
      </c>
      <c r="O50" s="71" cm="1">
        <f t="array" ref="O50">IF(INDEX('Activity Plan'!$S$34:$AW$99,
MATCH("*"&amp;TRIM($L50)&amp;"*",'Activity Plan'!$D$35:$D$100,0)+MATCH($M50,{"PLAN";"ACTUAL";"ACHIVE"},0)-1,
MATCH($N50,DAY('Activity Plan'!$S$7:$AW$7),0))=0,
"N/A",
INDEX('Activity Plan'!$S$34:$AW$99,
MATCH("*"&amp;TRIM($L50)&amp;"*",'Activity Plan'!$D$35:$D$100,0)+MATCH($M50,{"PLAN";"ACTUAL";"ACHIVE"},0)-1,
MATCH($N50,DAY('Activity Plan'!$S$7:$AW$7),0)))</f>
        <v>70</v>
      </c>
      <c r="Q50" t="s">
        <v>138</v>
      </c>
      <c r="R50" t="s">
        <v>21</v>
      </c>
      <c r="S50">
        <v>24</v>
      </c>
      <c r="T50" s="71" cm="1">
        <f t="array" ref="T50">IF(INDEX('Activity Plan'!$S$34:$AW$99,
MATCH("*"&amp;TRIM($Q50)&amp;"*",'Activity Plan'!$D$35:$D$100,0)+MATCH($R50,{"PLAN";"ACTUAL";"ACHIVE"},0)-1,
MATCH($S50,DAY('Activity Plan'!$S$7:$AW$7),0))=0,
"N/A",
INDEX('Activity Plan'!$S$34:$AW$99,
MATCH("*"&amp;TRIM($Q50)&amp;"*",'Activity Plan'!$D$35:$D$100,0)+MATCH($R50,{"PLAN";"ACTUAL";"ACHIVE"},0)-1,
MATCH($S50,DAY('Activity Plan'!$S$7:$AW$7),0)))</f>
        <v>80</v>
      </c>
      <c r="U50" s="71"/>
      <c r="V50" t="s">
        <v>18</v>
      </c>
      <c r="W50" t="s">
        <v>39</v>
      </c>
      <c r="X50" s="70">
        <v>16</v>
      </c>
      <c r="Y50" s="69" cm="1">
        <f t="array" ref="Y50">IF(INDEX('Activity Plan'!$S$34:$AW$99,
MATCH("*"&amp;TRIM($V50)&amp;"*",'Activity Plan'!$D$35:$D$100,0)+MATCH($W50,{"PLAN";"ACTUAL";"ACHIVE"},0)-1,
MATCH($X50,DAY('Activity Plan'!$S$7:$AW$7),0))=0,
"N/A",
INDEX('Activity Plan'!$S$34:$AW$99,
MATCH("*"&amp;TRIM($V50)&amp;"*",'Activity Plan'!$D$35:$D$100,0)+MATCH($W50,{"PLAN";"ACTUAL";"ACHIVE"},0)-1,
MATCH($X50,DAY('Activity Plan'!$S$7:$AW$7),0)))</f>
        <v>1.0333333333333334</v>
      </c>
      <c r="AA50" t="s">
        <v>40</v>
      </c>
      <c r="AB50" t="s">
        <v>22</v>
      </c>
      <c r="AC50" s="70">
        <v>16</v>
      </c>
      <c r="AD50" s="77">
        <f>'Activity Plan'!BM33</f>
        <v>0.8999999999999998</v>
      </c>
      <c r="CF50">
        <v>2</v>
      </c>
      <c r="CG50" t="s">
        <v>30</v>
      </c>
      <c r="CH50" t="s">
        <v>2</v>
      </c>
      <c r="CI50" t="s">
        <v>67</v>
      </c>
      <c r="CJ50" s="68">
        <v>1</v>
      </c>
      <c r="CL50" t="s">
        <v>150</v>
      </c>
      <c r="CM50" t="s">
        <v>19</v>
      </c>
      <c r="CN50" t="s">
        <v>21</v>
      </c>
      <c r="CO50">
        <v>24</v>
      </c>
      <c r="CP50" cm="1">
        <f t="array" ref="CP50">IF(INDEX('Activity Plan'!$S$34:$AW$99,
MATCH("*"&amp;TRIM($B50)&amp;"*",'Activity Plan'!$D$35:$D$100,0)+MATCH($C50,{"PLAN";"ACTUAL";"ACHIVE"},0)-1,
MATCH($D50,DAY('Activity Plan'!$S$7:$AW$7),0))=0,
"N/A",
INDEX('Activity Plan'!$S$34:$AW$99,
MATCH("*"&amp;TRIM($B50)&amp;"*",'Activity Plan'!$D$35:$D$100,0)+MATCH($C50,{"PLAN";"ACTUAL";"ACHIVE"},0)-1,
MATCH($D50,DAY('Activity Plan'!$S$7:$AW$7),0)))</f>
        <v>16</v>
      </c>
      <c r="CU50">
        <f>'Activity Plan'!AP7</f>
        <v>46197</v>
      </c>
      <c r="CV50" t="s">
        <v>21</v>
      </c>
      <c r="CW50" s="194">
        <f>IFERROR(IF('Activity Plan'!AP33=0,"N/A",'Activity Plan'!AP33),"N/A")</f>
        <v>0.50166666666666704</v>
      </c>
    </row>
    <row r="51" spans="2:101" x14ac:dyDescent="0.35">
      <c r="B51" t="s">
        <v>19</v>
      </c>
      <c r="C51" t="s">
        <v>22</v>
      </c>
      <c r="D51">
        <v>24</v>
      </c>
      <c r="E51" cm="1">
        <f t="array" ref="E51">IF(INDEX('Activity Plan'!$S$34:$AW$99,
MATCH("*"&amp;TRIM($B51)&amp;"*",'Activity Plan'!$D$35:$D$100,0)+MATCH($C51,{"PLAN";"ACTUAL";"ACHIVE"},0)-1,
MATCH($D51,DAY('Activity Plan'!$S$7:$AW$7),0))=0,
"N/A",
INDEX('Activity Plan'!$S$34:$AW$99,
MATCH("*"&amp;TRIM($B51)&amp;"*",'Activity Plan'!$D$35:$D$100,0)+MATCH($C51,{"PLAN";"ACTUAL";"ACHIVE"},0)-1,
MATCH($D51,DAY('Activity Plan'!$S$7:$AW$7),0)))</f>
        <v>14</v>
      </c>
      <c r="G51" t="s">
        <v>18</v>
      </c>
      <c r="H51" t="s">
        <v>22</v>
      </c>
      <c r="I51">
        <v>24</v>
      </c>
      <c r="J51" s="68" cm="1">
        <f t="array" ref="J51">IF(INDEX('Activity Plan'!$S$34:$AW$99,
MATCH("*"&amp;TRIM($G51)&amp;"*",'Activity Plan'!$D$35:$D$100,0)+MATCH($H51,{"PLAN";"ACTUAL";"ACHIVE"},0)-1,
MATCH($I51,DAY('Activity Plan'!$S$7:$AW$7),0))=0,
"N/A",
INDEX('Activity Plan'!$S$34:$AW$99,
MATCH("*"&amp;TRIM($G51)&amp;"*",'Activity Plan'!$D$35:$D$100,0)+MATCH($H51,{"PLAN";"ACTUAL";"ACHIVE"},0)-1,
MATCH($I51,DAY('Activity Plan'!$S$7:$AW$7),0)))</f>
        <v>0.93</v>
      </c>
      <c r="L51" t="s">
        <v>20</v>
      </c>
      <c r="M51" t="s">
        <v>22</v>
      </c>
      <c r="N51">
        <v>24</v>
      </c>
      <c r="O51" s="71" cm="1">
        <f t="array" ref="O51">IF(INDEX('Activity Plan'!$S$34:$AW$99,
MATCH("*"&amp;TRIM($L51)&amp;"*",'Activity Plan'!$D$35:$D$100,0)+MATCH($M51,{"PLAN";"ACTUAL";"ACHIVE"},0)-1,
MATCH($N51,DAY('Activity Plan'!$S$7:$AW$7),0))=0,
"N/A",
INDEX('Activity Plan'!$S$34:$AW$99,
MATCH("*"&amp;TRIM($L51)&amp;"*",'Activity Plan'!$D$35:$D$100,0)+MATCH($M51,{"PLAN";"ACTUAL";"ACHIVE"},0)-1,
MATCH($N51,DAY('Activity Plan'!$S$7:$AW$7),0)))</f>
        <v>50</v>
      </c>
      <c r="Q51" t="s">
        <v>138</v>
      </c>
      <c r="R51" t="s">
        <v>22</v>
      </c>
      <c r="S51">
        <v>24</v>
      </c>
      <c r="T51" s="71" cm="1">
        <f t="array" ref="T51">IF(INDEX('Activity Plan'!$S$34:$AW$99,
MATCH("*"&amp;TRIM($Q51)&amp;"*",'Activity Plan'!$D$35:$D$100,0)+MATCH($R51,{"PLAN";"ACTUAL";"ACHIVE"},0)-1,
MATCH($S51,DAY('Activity Plan'!$S$7:$AW$7),0))=0,
"N/A",
INDEX('Activity Plan'!$S$34:$AW$99,
MATCH("*"&amp;TRIM($Q51)&amp;"*",'Activity Plan'!$D$35:$D$100,0)+MATCH($R51,{"PLAN";"ACTUAL";"ACHIVE"},0)-1,
MATCH($S51,DAY('Activity Plan'!$S$7:$AW$7),0)))</f>
        <v>50</v>
      </c>
      <c r="U51" s="71"/>
      <c r="V51" t="s">
        <v>18</v>
      </c>
      <c r="W51" t="s">
        <v>39</v>
      </c>
      <c r="X51" s="70">
        <v>17</v>
      </c>
      <c r="Y51" s="69" cm="1">
        <f t="array" ref="Y51">IF(INDEX('Activity Plan'!$S$34:$AW$99,
MATCH("*"&amp;TRIM($V51)&amp;"*",'Activity Plan'!$D$35:$D$100,0)+MATCH($W51,{"PLAN";"ACTUAL";"ACHIVE"},0)-1,
MATCH($X51,DAY('Activity Plan'!$S$7:$AW$7),0))=0,
"N/A",
INDEX('Activity Plan'!$S$34:$AW$99,
MATCH("*"&amp;TRIM($V51)&amp;"*",'Activity Plan'!$D$35:$D$100,0)+MATCH($W51,{"PLAN";"ACTUAL";"ACHIVE"},0)-1,
MATCH($X51,DAY('Activity Plan'!$S$7:$AW$7),0)))</f>
        <v>0.96666666666666667</v>
      </c>
      <c r="AA51" t="s">
        <v>40</v>
      </c>
      <c r="AB51" t="s">
        <v>22</v>
      </c>
      <c r="AC51" s="70">
        <v>17</v>
      </c>
      <c r="AD51" s="77">
        <f>'Activity Plan'!BN33</f>
        <v>0.92999999999999983</v>
      </c>
      <c r="CF51">
        <v>2</v>
      </c>
      <c r="CG51" t="s">
        <v>30</v>
      </c>
      <c r="CH51" t="s">
        <v>2</v>
      </c>
      <c r="CI51" t="s">
        <v>68</v>
      </c>
      <c r="CJ51" s="68">
        <v>1</v>
      </c>
      <c r="CL51" t="s">
        <v>150</v>
      </c>
      <c r="CM51" t="s">
        <v>19</v>
      </c>
      <c r="CN51" t="s">
        <v>22</v>
      </c>
      <c r="CO51">
        <v>24</v>
      </c>
      <c r="CP51" cm="1">
        <f t="array" ref="CP51">IF(INDEX('Activity Plan'!$S$34:$AW$99,
MATCH("*"&amp;TRIM($B51)&amp;"*",'Activity Plan'!$D$35:$D$100,0)+MATCH($C51,{"PLAN";"ACTUAL";"ACHIVE"},0)-1,
MATCH($D51,DAY('Activity Plan'!$S$7:$AW$7),0))=0,
"N/A",
INDEX('Activity Plan'!$S$34:$AW$99,
MATCH("*"&amp;TRIM($B51)&amp;"*",'Activity Plan'!$D$35:$D$100,0)+MATCH($C51,{"PLAN";"ACTUAL";"ACHIVE"},0)-1,
MATCH($D51,DAY('Activity Plan'!$S$7:$AW$7),0)))</f>
        <v>14</v>
      </c>
      <c r="CU51">
        <f>'Activity Plan'!AP7</f>
        <v>46197</v>
      </c>
      <c r="CV51" t="s">
        <v>22</v>
      </c>
      <c r="CW51" s="194">
        <f>IFERROR(IF('Activity Plan'!BU33=0,"N/A",'Activity Plan'!BU33),"N/A")</f>
        <v>1</v>
      </c>
    </row>
    <row r="52" spans="2:101" x14ac:dyDescent="0.35">
      <c r="B52" t="s">
        <v>19</v>
      </c>
      <c r="C52" t="s">
        <v>21</v>
      </c>
      <c r="D52">
        <v>25</v>
      </c>
      <c r="E52" cm="1">
        <f t="array" ref="E52">IF(INDEX('Activity Plan'!$S$34:$AW$99,
MATCH("*"&amp;TRIM($B52)&amp;"*",'Activity Plan'!$D$35:$D$100,0)+MATCH($C52,{"PLAN";"ACTUAL";"ACHIVE"},0)-1,
MATCH($D52,DAY('Activity Plan'!$S$7:$AW$7),0))=0,
"N/A",
INDEX('Activity Plan'!$S$34:$AW$99,
MATCH("*"&amp;TRIM($B52)&amp;"*",'Activity Plan'!$D$35:$D$100,0)+MATCH($C52,{"PLAN";"ACTUAL";"ACHIVE"},0)-1,
MATCH($D52,DAY('Activity Plan'!$S$7:$AW$7),0)))</f>
        <v>16</v>
      </c>
      <c r="G52" t="s">
        <v>18</v>
      </c>
      <c r="H52" t="s">
        <v>21</v>
      </c>
      <c r="I52">
        <v>25</v>
      </c>
      <c r="J52" s="68" cm="1">
        <f t="array" ref="J52">IF(INDEX('Activity Plan'!$S$34:$AW$99,
MATCH("*"&amp;TRIM($G52)&amp;"*",'Activity Plan'!$D$35:$D$100,0)+MATCH($H52,{"PLAN";"ACTUAL";"ACHIVE"},0)-1,
MATCH($I52,DAY('Activity Plan'!$S$7:$AW$7),0))=0,
"N/A",
INDEX('Activity Plan'!$S$34:$AW$99,
MATCH("*"&amp;TRIM($G52)&amp;"*",'Activity Plan'!$D$35:$D$100,0)+MATCH($H52,{"PLAN";"ACTUAL";"ACHIVE"},0)-1,
MATCH($I52,DAY('Activity Plan'!$S$7:$AW$7),0)))</f>
        <v>0.9</v>
      </c>
      <c r="L52" t="s">
        <v>20</v>
      </c>
      <c r="M52" t="s">
        <v>21</v>
      </c>
      <c r="N52">
        <v>25</v>
      </c>
      <c r="O52" s="71" cm="1">
        <f t="array" ref="O52">IF(INDEX('Activity Plan'!$S$34:$AW$99,
MATCH("*"&amp;TRIM($L52)&amp;"*",'Activity Plan'!$D$35:$D$100,0)+MATCH($M52,{"PLAN";"ACTUAL";"ACHIVE"},0)-1,
MATCH($N52,DAY('Activity Plan'!$S$7:$AW$7),0))=0,
"N/A",
INDEX('Activity Plan'!$S$34:$AW$99,
MATCH("*"&amp;TRIM($L52)&amp;"*",'Activity Plan'!$D$35:$D$100,0)+MATCH($M52,{"PLAN";"ACTUAL";"ACHIVE"},0)-1,
MATCH($N52,DAY('Activity Plan'!$S$7:$AW$7),0)))</f>
        <v>70</v>
      </c>
      <c r="Q52" t="s">
        <v>138</v>
      </c>
      <c r="R52" t="s">
        <v>21</v>
      </c>
      <c r="S52">
        <v>25</v>
      </c>
      <c r="T52" s="71" cm="1">
        <f t="array" ref="T52">IF(INDEX('Activity Plan'!$S$34:$AW$99,
MATCH("*"&amp;TRIM($Q52)&amp;"*",'Activity Plan'!$D$35:$D$100,0)+MATCH($R52,{"PLAN";"ACTUAL";"ACHIVE"},0)-1,
MATCH($S52,DAY('Activity Plan'!$S$7:$AW$7),0))=0,
"N/A",
INDEX('Activity Plan'!$S$34:$AW$99,
MATCH("*"&amp;TRIM($Q52)&amp;"*",'Activity Plan'!$D$35:$D$100,0)+MATCH($R52,{"PLAN";"ACTUAL";"ACHIVE"},0)-1,
MATCH($S52,DAY('Activity Plan'!$S$7:$AW$7),0)))</f>
        <v>80</v>
      </c>
      <c r="U52" s="71"/>
      <c r="V52" t="s">
        <v>18</v>
      </c>
      <c r="W52" t="s">
        <v>39</v>
      </c>
      <c r="X52" s="70">
        <v>18</v>
      </c>
      <c r="Y52" s="69" cm="1">
        <f t="array" ref="Y52">IF(INDEX('Activity Plan'!$S$34:$AW$99,
MATCH("*"&amp;TRIM($V52)&amp;"*",'Activity Plan'!$D$35:$D$100,0)+MATCH($W52,{"PLAN";"ACTUAL";"ACHIVE"},0)-1,
MATCH($X52,DAY('Activity Plan'!$S$7:$AW$7),0))=0,
"N/A",
INDEX('Activity Plan'!$S$34:$AW$99,
MATCH("*"&amp;TRIM($V52)&amp;"*",'Activity Plan'!$D$35:$D$100,0)+MATCH($W52,{"PLAN";"ACTUAL";"ACHIVE"},0)-1,
MATCH($X52,DAY('Activity Plan'!$S$7:$AW$7),0)))</f>
        <v>0.88888888888888895</v>
      </c>
      <c r="AA52" t="s">
        <v>40</v>
      </c>
      <c r="AB52" t="s">
        <v>22</v>
      </c>
      <c r="AC52" s="70">
        <v>18</v>
      </c>
      <c r="AD52" s="77">
        <f>'Activity Plan'!BO33</f>
        <v>0.96000000000000052</v>
      </c>
      <c r="CF52">
        <v>2</v>
      </c>
      <c r="CG52" t="s">
        <v>30</v>
      </c>
      <c r="CH52" t="s">
        <v>2</v>
      </c>
      <c r="CI52" t="s">
        <v>69</v>
      </c>
      <c r="CJ52" s="68">
        <v>1</v>
      </c>
      <c r="CL52" t="s">
        <v>150</v>
      </c>
      <c r="CM52" t="s">
        <v>19</v>
      </c>
      <c r="CN52" t="s">
        <v>21</v>
      </c>
      <c r="CO52">
        <v>25</v>
      </c>
      <c r="CP52" cm="1">
        <f t="array" ref="CP52">IF(INDEX('Activity Plan'!$S$34:$AW$99,
MATCH("*"&amp;TRIM($B52)&amp;"*",'Activity Plan'!$D$35:$D$100,0)+MATCH($C52,{"PLAN";"ACTUAL";"ACHIVE"},0)-1,
MATCH($D52,DAY('Activity Plan'!$S$7:$AW$7),0))=0,
"N/A",
INDEX('Activity Plan'!$S$34:$AW$99,
MATCH("*"&amp;TRIM($B52)&amp;"*",'Activity Plan'!$D$35:$D$100,0)+MATCH($C52,{"PLAN";"ACTUAL";"ACHIVE"},0)-1,
MATCH($D52,DAY('Activity Plan'!$S$7:$AW$7),0)))</f>
        <v>16</v>
      </c>
      <c r="CU52">
        <f>'Activity Plan'!AQ7</f>
        <v>46198</v>
      </c>
      <c r="CV52" t="s">
        <v>21</v>
      </c>
      <c r="CW52" s="194">
        <f>IFERROR(IF('Activity Plan'!AQ33=0,"N/A",'Activity Plan'!AQ33),"N/A")</f>
        <v>0.50166666666666704</v>
      </c>
    </row>
    <row r="53" spans="2:101" x14ac:dyDescent="0.35">
      <c r="B53" t="s">
        <v>19</v>
      </c>
      <c r="C53" t="s">
        <v>22</v>
      </c>
      <c r="D53">
        <v>25</v>
      </c>
      <c r="E53" cm="1">
        <f t="array" ref="E53">IF(INDEX('Activity Plan'!$S$34:$AW$99,
MATCH("*"&amp;TRIM($B53)&amp;"*",'Activity Plan'!$D$35:$D$100,0)+MATCH($C53,{"PLAN";"ACTUAL";"ACHIVE"},0)-1,
MATCH($D53,DAY('Activity Plan'!$S$7:$AW$7),0))=0,
"N/A",
INDEX('Activity Plan'!$S$34:$AW$99,
MATCH("*"&amp;TRIM($B53)&amp;"*",'Activity Plan'!$D$35:$D$100,0)+MATCH($C53,{"PLAN";"ACTUAL";"ACHIVE"},0)-1,
MATCH($D53,DAY('Activity Plan'!$S$7:$AW$7),0)))</f>
        <v>11</v>
      </c>
      <c r="G53" t="s">
        <v>18</v>
      </c>
      <c r="H53" t="s">
        <v>22</v>
      </c>
      <c r="I53">
        <v>25</v>
      </c>
      <c r="J53" s="68" cm="1">
        <f t="array" ref="J53">IF(INDEX('Activity Plan'!$S$34:$AW$99,
MATCH("*"&amp;TRIM($G53)&amp;"*",'Activity Plan'!$D$35:$D$100,0)+MATCH($H53,{"PLAN";"ACTUAL";"ACHIVE"},0)-1,
MATCH($I53,DAY('Activity Plan'!$S$7:$AW$7),0))=0,
"N/A",
INDEX('Activity Plan'!$S$34:$AW$99,
MATCH("*"&amp;TRIM($G53)&amp;"*",'Activity Plan'!$D$35:$D$100,0)+MATCH($H53,{"PLAN";"ACTUAL";"ACHIVE"},0)-1,
MATCH($I53,DAY('Activity Plan'!$S$7:$AW$7),0)))</f>
        <v>0.87</v>
      </c>
      <c r="L53" t="s">
        <v>20</v>
      </c>
      <c r="M53" t="s">
        <v>22</v>
      </c>
      <c r="N53">
        <v>25</v>
      </c>
      <c r="O53" s="71" cm="1">
        <f t="array" ref="O53">IF(INDEX('Activity Plan'!$S$34:$AW$99,
MATCH("*"&amp;TRIM($L53)&amp;"*",'Activity Plan'!$D$35:$D$100,0)+MATCH($M53,{"PLAN";"ACTUAL";"ACHIVE"},0)-1,
MATCH($N53,DAY('Activity Plan'!$S$7:$AW$7),0))=0,
"N/A",
INDEX('Activity Plan'!$S$34:$AW$99,
MATCH("*"&amp;TRIM($L53)&amp;"*",'Activity Plan'!$D$35:$D$100,0)+MATCH($M53,{"PLAN";"ACTUAL";"ACHIVE"},0)-1,
MATCH($N53,DAY('Activity Plan'!$S$7:$AW$7),0)))</f>
        <v>75</v>
      </c>
      <c r="Q53" t="s">
        <v>138</v>
      </c>
      <c r="R53" t="s">
        <v>22</v>
      </c>
      <c r="S53">
        <v>25</v>
      </c>
      <c r="T53" s="71" cm="1">
        <f t="array" ref="T53">IF(INDEX('Activity Plan'!$S$34:$AW$99,
MATCH("*"&amp;TRIM($Q53)&amp;"*",'Activity Plan'!$D$35:$D$100,0)+MATCH($R53,{"PLAN";"ACTUAL";"ACHIVE"},0)-1,
MATCH($S53,DAY('Activity Plan'!$S$7:$AW$7),0))=0,
"N/A",
INDEX('Activity Plan'!$S$34:$AW$99,
MATCH("*"&amp;TRIM($Q53)&amp;"*",'Activity Plan'!$D$35:$D$100,0)+MATCH($R53,{"PLAN";"ACTUAL";"ACHIVE"},0)-1,
MATCH($S53,DAY('Activity Plan'!$S$7:$AW$7),0)))</f>
        <v>75</v>
      </c>
      <c r="U53" s="71"/>
      <c r="V53" t="s">
        <v>18</v>
      </c>
      <c r="W53" t="s">
        <v>39</v>
      </c>
      <c r="X53" s="70">
        <v>19</v>
      </c>
      <c r="Y53" s="69" cm="1">
        <f t="array" ref="Y53">IF(INDEX('Activity Plan'!$S$34:$AW$99,
MATCH("*"&amp;TRIM($V53)&amp;"*",'Activity Plan'!$D$35:$D$100,0)+MATCH($W53,{"PLAN";"ACTUAL";"ACHIVE"},0)-1,
MATCH($X53,DAY('Activity Plan'!$S$7:$AW$7),0))=0,
"N/A",
INDEX('Activity Plan'!$S$34:$AW$99,
MATCH("*"&amp;TRIM($V53)&amp;"*",'Activity Plan'!$D$35:$D$100,0)+MATCH($W53,{"PLAN";"ACTUAL";"ACHIVE"},0)-1,
MATCH($X53,DAY('Activity Plan'!$S$7:$AW$7),0)))</f>
        <v>0.92222222222222217</v>
      </c>
      <c r="AA53" t="s">
        <v>40</v>
      </c>
      <c r="AB53" t="s">
        <v>22</v>
      </c>
      <c r="AC53" s="70">
        <v>19</v>
      </c>
      <c r="AD53" s="77">
        <f>'Activity Plan'!BP33</f>
        <v>0.98999999999999966</v>
      </c>
      <c r="CF53">
        <v>2</v>
      </c>
      <c r="CG53" t="s">
        <v>30</v>
      </c>
      <c r="CH53" t="s">
        <v>2</v>
      </c>
      <c r="CI53" t="s">
        <v>70</v>
      </c>
      <c r="CJ53" s="68">
        <v>1</v>
      </c>
      <c r="CL53" t="s">
        <v>150</v>
      </c>
      <c r="CM53" t="s">
        <v>19</v>
      </c>
      <c r="CN53" t="s">
        <v>22</v>
      </c>
      <c r="CO53">
        <v>25</v>
      </c>
      <c r="CP53" cm="1">
        <f t="array" ref="CP53">IF(INDEX('Activity Plan'!$S$34:$AW$99,
MATCH("*"&amp;TRIM($B53)&amp;"*",'Activity Plan'!$D$35:$D$100,0)+MATCH($C53,{"PLAN";"ACTUAL";"ACHIVE"},0)-1,
MATCH($D53,DAY('Activity Plan'!$S$7:$AW$7),0))=0,
"N/A",
INDEX('Activity Plan'!$S$34:$AW$99,
MATCH("*"&amp;TRIM($B53)&amp;"*",'Activity Plan'!$D$35:$D$100,0)+MATCH($C53,{"PLAN";"ACTUAL";"ACHIVE"},0)-1,
MATCH($D53,DAY('Activity Plan'!$S$7:$AW$7),0)))</f>
        <v>11</v>
      </c>
      <c r="CU53">
        <f>'Activity Plan'!AQ7</f>
        <v>46198</v>
      </c>
      <c r="CV53" t="s">
        <v>22</v>
      </c>
      <c r="CW53" s="194">
        <f>IFERROR(IF('Activity Plan'!BV33=0,"N/A",'Activity Plan'!BV33),"N/A")</f>
        <v>1</v>
      </c>
    </row>
    <row r="54" spans="2:101" x14ac:dyDescent="0.35">
      <c r="B54" t="s">
        <v>19</v>
      </c>
      <c r="C54" t="s">
        <v>21</v>
      </c>
      <c r="D54">
        <v>26</v>
      </c>
      <c r="E54" cm="1">
        <f t="array" ref="E54">IF(INDEX('Activity Plan'!$S$34:$AW$99,
MATCH("*"&amp;TRIM($B54)&amp;"*",'Activity Plan'!$D$35:$D$100,0)+MATCH($C54,{"PLAN";"ACTUAL";"ACHIVE"},0)-1,
MATCH($D54,DAY('Activity Plan'!$S$7:$AW$7),0))=0,
"N/A",
INDEX('Activity Plan'!$S$34:$AW$99,
MATCH("*"&amp;TRIM($B54)&amp;"*",'Activity Plan'!$D$35:$D$100,0)+MATCH($C54,{"PLAN";"ACTUAL";"ACHIVE"},0)-1,
MATCH($D54,DAY('Activity Plan'!$S$7:$AW$7),0)))</f>
        <v>16</v>
      </c>
      <c r="G54" t="s">
        <v>18</v>
      </c>
      <c r="H54" t="s">
        <v>21</v>
      </c>
      <c r="I54">
        <v>26</v>
      </c>
      <c r="J54" s="68" cm="1">
        <f t="array" ref="J54">IF(INDEX('Activity Plan'!$S$34:$AW$99,
MATCH("*"&amp;TRIM($G54)&amp;"*",'Activity Plan'!$D$35:$D$100,0)+MATCH($H54,{"PLAN";"ACTUAL";"ACHIVE"},0)-1,
MATCH($I54,DAY('Activity Plan'!$S$7:$AW$7),0))=0,
"N/A",
INDEX('Activity Plan'!$S$34:$AW$99,
MATCH("*"&amp;TRIM($G54)&amp;"*",'Activity Plan'!$D$35:$D$100,0)+MATCH($H54,{"PLAN";"ACTUAL";"ACHIVE"},0)-1,
MATCH($I54,DAY('Activity Plan'!$S$7:$AW$7),0)))</f>
        <v>0.9</v>
      </c>
      <c r="L54" t="s">
        <v>20</v>
      </c>
      <c r="M54" t="s">
        <v>21</v>
      </c>
      <c r="N54">
        <v>26</v>
      </c>
      <c r="O54" s="71" cm="1">
        <f t="array" ref="O54">IF(INDEX('Activity Plan'!$S$34:$AW$99,
MATCH("*"&amp;TRIM($L54)&amp;"*",'Activity Plan'!$D$35:$D$100,0)+MATCH($M54,{"PLAN";"ACTUAL";"ACHIVE"},0)-1,
MATCH($N54,DAY('Activity Plan'!$S$7:$AW$7),0))=0,
"N/A",
INDEX('Activity Plan'!$S$34:$AW$99,
MATCH("*"&amp;TRIM($L54)&amp;"*",'Activity Plan'!$D$35:$D$100,0)+MATCH($M54,{"PLAN";"ACTUAL";"ACHIVE"},0)-1,
MATCH($N54,DAY('Activity Plan'!$S$7:$AW$7),0)))</f>
        <v>70</v>
      </c>
      <c r="Q54" t="s">
        <v>138</v>
      </c>
      <c r="R54" t="s">
        <v>21</v>
      </c>
      <c r="S54">
        <v>26</v>
      </c>
      <c r="T54" s="71" cm="1">
        <f t="array" ref="T54">IF(INDEX('Activity Plan'!$S$34:$AW$99,
MATCH("*"&amp;TRIM($Q54)&amp;"*",'Activity Plan'!$D$35:$D$100,0)+MATCH($R54,{"PLAN";"ACTUAL";"ACHIVE"},0)-1,
MATCH($S54,DAY('Activity Plan'!$S$7:$AW$7),0))=0,
"N/A",
INDEX('Activity Plan'!$S$34:$AW$99,
MATCH("*"&amp;TRIM($Q54)&amp;"*",'Activity Plan'!$D$35:$D$100,0)+MATCH($R54,{"PLAN";"ACTUAL";"ACHIVE"},0)-1,
MATCH($S54,DAY('Activity Plan'!$S$7:$AW$7),0)))</f>
        <v>80</v>
      </c>
      <c r="U54" s="71"/>
      <c r="V54" t="s">
        <v>18</v>
      </c>
      <c r="W54" t="s">
        <v>39</v>
      </c>
      <c r="X54" s="70">
        <v>20</v>
      </c>
      <c r="Y54" s="69" cm="1">
        <f t="array" ref="Y54">IF(INDEX('Activity Plan'!$S$34:$AW$99,
MATCH("*"&amp;TRIM($V54)&amp;"*",'Activity Plan'!$D$35:$D$100,0)+MATCH($W54,{"PLAN";"ACTUAL";"ACHIVE"},0)-1,
MATCH($X54,DAY('Activity Plan'!$S$7:$AW$7),0))=0,
"N/A",
INDEX('Activity Plan'!$S$34:$AW$99,
MATCH("*"&amp;TRIM($V54)&amp;"*",'Activity Plan'!$D$35:$D$100,0)+MATCH($W54,{"PLAN";"ACTUAL";"ACHIVE"},0)-1,
MATCH($X54,DAY('Activity Plan'!$S$7:$AW$7),0)))</f>
        <v>0.79999999999999993</v>
      </c>
      <c r="AA54" t="s">
        <v>40</v>
      </c>
      <c r="AB54" t="s">
        <v>22</v>
      </c>
      <c r="AC54" s="70">
        <v>20</v>
      </c>
      <c r="AD54" s="77">
        <f>'Activity Plan'!BQ33</f>
        <v>1</v>
      </c>
      <c r="CF54">
        <v>2</v>
      </c>
      <c r="CG54" t="s">
        <v>30</v>
      </c>
      <c r="CH54" t="s">
        <v>2</v>
      </c>
      <c r="CI54" t="s">
        <v>71</v>
      </c>
      <c r="CJ54" s="68">
        <v>1</v>
      </c>
      <c r="CL54" t="s">
        <v>150</v>
      </c>
      <c r="CM54" t="s">
        <v>19</v>
      </c>
      <c r="CN54" t="s">
        <v>21</v>
      </c>
      <c r="CO54">
        <v>26</v>
      </c>
      <c r="CP54" cm="1">
        <f t="array" ref="CP54">IF(INDEX('Activity Plan'!$S$34:$AW$99,
MATCH("*"&amp;TRIM($B54)&amp;"*",'Activity Plan'!$D$35:$D$100,0)+MATCH($C54,{"PLAN";"ACTUAL";"ACHIVE"},0)-1,
MATCH($D54,DAY('Activity Plan'!$S$7:$AW$7),0))=0,
"N/A",
INDEX('Activity Plan'!$S$34:$AW$99,
MATCH("*"&amp;TRIM($B54)&amp;"*",'Activity Plan'!$D$35:$D$100,0)+MATCH($C54,{"PLAN";"ACTUAL";"ACHIVE"},0)-1,
MATCH($D54,DAY('Activity Plan'!$S$7:$AW$7),0)))</f>
        <v>16</v>
      </c>
      <c r="CU54">
        <f>'Activity Plan'!AR7</f>
        <v>46199</v>
      </c>
      <c r="CV54" t="s">
        <v>21</v>
      </c>
      <c r="CW54" s="194">
        <f>IFERROR(IF('Activity Plan'!AR33=0,"N/A",'Activity Plan'!AR33),"N/A")</f>
        <v>0.50166666666666704</v>
      </c>
    </row>
    <row r="55" spans="2:101" x14ac:dyDescent="0.35">
      <c r="B55" t="s">
        <v>19</v>
      </c>
      <c r="C55" t="s">
        <v>22</v>
      </c>
      <c r="D55">
        <v>26</v>
      </c>
      <c r="E55" cm="1">
        <f t="array" ref="E55">IF(INDEX('Activity Plan'!$S$34:$AW$99,
MATCH("*"&amp;TRIM($B55)&amp;"*",'Activity Plan'!$D$35:$D$100,0)+MATCH($C55,{"PLAN";"ACTUAL";"ACHIVE"},0)-1,
MATCH($D55,DAY('Activity Plan'!$S$7:$AW$7),0))=0,
"N/A",
INDEX('Activity Plan'!$S$34:$AW$99,
MATCH("*"&amp;TRIM($B55)&amp;"*",'Activity Plan'!$D$35:$D$100,0)+MATCH($C55,{"PLAN";"ACTUAL";"ACHIVE"},0)-1,
MATCH($D55,DAY('Activity Plan'!$S$7:$AW$7),0)))</f>
        <v>16</v>
      </c>
      <c r="G55" t="s">
        <v>18</v>
      </c>
      <c r="H55" t="s">
        <v>22</v>
      </c>
      <c r="I55">
        <v>26</v>
      </c>
      <c r="J55" s="68" cm="1">
        <f t="array" ref="J55">IF(INDEX('Activity Plan'!$S$34:$AW$99,
MATCH("*"&amp;TRIM($G55)&amp;"*",'Activity Plan'!$D$35:$D$100,0)+MATCH($H55,{"PLAN";"ACTUAL";"ACHIVE"},0)-1,
MATCH($I55,DAY('Activity Plan'!$S$7:$AW$7),0))=0,
"N/A",
INDEX('Activity Plan'!$S$34:$AW$99,
MATCH("*"&amp;TRIM($G55)&amp;"*",'Activity Plan'!$D$35:$D$100,0)+MATCH($H55,{"PLAN";"ACTUAL";"ACHIVE"},0)-1,
MATCH($I55,DAY('Activity Plan'!$S$7:$AW$7),0)))</f>
        <v>0.8</v>
      </c>
      <c r="L55" t="s">
        <v>20</v>
      </c>
      <c r="M55" t="s">
        <v>22</v>
      </c>
      <c r="N55">
        <v>26</v>
      </c>
      <c r="O55" s="71" cm="1">
        <f t="array" ref="O55">IF(INDEX('Activity Plan'!$S$34:$AW$99,
MATCH("*"&amp;TRIM($L55)&amp;"*",'Activity Plan'!$D$35:$D$100,0)+MATCH($M55,{"PLAN";"ACTUAL";"ACHIVE"},0)-1,
MATCH($N55,DAY('Activity Plan'!$S$7:$AW$7),0))=0,
"N/A",
INDEX('Activity Plan'!$S$34:$AW$99,
MATCH("*"&amp;TRIM($L55)&amp;"*",'Activity Plan'!$D$35:$D$100,0)+MATCH($M55,{"PLAN";"ACTUAL";"ACHIVE"},0)-1,
MATCH($N55,DAY('Activity Plan'!$S$7:$AW$7),0)))</f>
        <v>83</v>
      </c>
      <c r="Q55" t="s">
        <v>138</v>
      </c>
      <c r="R55" t="s">
        <v>22</v>
      </c>
      <c r="S55">
        <v>26</v>
      </c>
      <c r="T55" s="71" cm="1">
        <f t="array" ref="T55">IF(INDEX('Activity Plan'!$S$34:$AW$99,
MATCH("*"&amp;TRIM($Q55)&amp;"*",'Activity Plan'!$D$35:$D$100,0)+MATCH($R55,{"PLAN";"ACTUAL";"ACHIVE"},0)-1,
MATCH($S55,DAY('Activity Plan'!$S$7:$AW$7),0))=0,
"N/A",
INDEX('Activity Plan'!$S$34:$AW$99,
MATCH("*"&amp;TRIM($Q55)&amp;"*",'Activity Plan'!$D$35:$D$100,0)+MATCH($R55,{"PLAN";"ACTUAL";"ACHIVE"},0)-1,
MATCH($S55,DAY('Activity Plan'!$S$7:$AW$7),0)))</f>
        <v>83</v>
      </c>
      <c r="U55" s="71"/>
      <c r="V55" t="s">
        <v>18</v>
      </c>
      <c r="W55" t="s">
        <v>39</v>
      </c>
      <c r="X55" s="70">
        <v>21</v>
      </c>
      <c r="Y55" s="69" cm="1">
        <f t="array" ref="Y55">IF(INDEX('Activity Plan'!$S$34:$AW$99,
MATCH("*"&amp;TRIM($V55)&amp;"*",'Activity Plan'!$D$35:$D$100,0)+MATCH($W55,{"PLAN";"ACTUAL";"ACHIVE"},0)-1,
MATCH($X55,DAY('Activity Plan'!$S$7:$AW$7),0))=0,
"N/A",
INDEX('Activity Plan'!$S$34:$AW$99,
MATCH("*"&amp;TRIM($V55)&amp;"*",'Activity Plan'!$D$35:$D$100,0)+MATCH($W55,{"PLAN";"ACTUAL";"ACHIVE"},0)-1,
MATCH($X55,DAY('Activity Plan'!$S$7:$AW$7),0)))</f>
        <v>1.1111111111111112</v>
      </c>
      <c r="AA55" t="s">
        <v>40</v>
      </c>
      <c r="AB55" t="s">
        <v>22</v>
      </c>
      <c r="AC55" s="70">
        <v>21</v>
      </c>
      <c r="AD55" s="77">
        <f>'Activity Plan'!BR33</f>
        <v>1</v>
      </c>
      <c r="CF55">
        <v>2</v>
      </c>
      <c r="CG55" t="s">
        <v>30</v>
      </c>
      <c r="CH55" t="s">
        <v>2</v>
      </c>
      <c r="CI55" t="s">
        <v>72</v>
      </c>
      <c r="CJ55" s="68">
        <v>1</v>
      </c>
      <c r="CL55" t="s">
        <v>150</v>
      </c>
      <c r="CM55" t="s">
        <v>19</v>
      </c>
      <c r="CN55" t="s">
        <v>22</v>
      </c>
      <c r="CO55">
        <v>26</v>
      </c>
      <c r="CP55" cm="1">
        <f t="array" ref="CP55">IF(INDEX('Activity Plan'!$S$34:$AW$99,
MATCH("*"&amp;TRIM($B55)&amp;"*",'Activity Plan'!$D$35:$D$100,0)+MATCH($C55,{"PLAN";"ACTUAL";"ACHIVE"},0)-1,
MATCH($D55,DAY('Activity Plan'!$S$7:$AW$7),0))=0,
"N/A",
INDEX('Activity Plan'!$S$34:$AW$99,
MATCH("*"&amp;TRIM($B55)&amp;"*",'Activity Plan'!$D$35:$D$100,0)+MATCH($C55,{"PLAN";"ACTUAL";"ACHIVE"},0)-1,
MATCH($D55,DAY('Activity Plan'!$S$7:$AW$7),0)))</f>
        <v>16</v>
      </c>
      <c r="CU55">
        <f>'Activity Plan'!AR7</f>
        <v>46199</v>
      </c>
      <c r="CV55" t="s">
        <v>22</v>
      </c>
      <c r="CW55" s="194">
        <f>IFERROR(IF('Activity Plan'!BW33=0,"N/A",'Activity Plan'!BW33),"N/A")</f>
        <v>1</v>
      </c>
    </row>
    <row r="56" spans="2:101" x14ac:dyDescent="0.35">
      <c r="B56" t="s">
        <v>19</v>
      </c>
      <c r="C56" t="s">
        <v>21</v>
      </c>
      <c r="D56">
        <v>27</v>
      </c>
      <c r="E56" cm="1">
        <f t="array" ref="E56">IF(INDEX('Activity Plan'!$S$34:$AW$99,
MATCH("*"&amp;TRIM($B56)&amp;"*",'Activity Plan'!$D$35:$D$100,0)+MATCH($C56,{"PLAN";"ACTUAL";"ACHIVE"},0)-1,
MATCH($D56,DAY('Activity Plan'!$S$7:$AW$7),0))=0,
"N/A",
INDEX('Activity Plan'!$S$34:$AW$99,
MATCH("*"&amp;TRIM($B56)&amp;"*",'Activity Plan'!$D$35:$D$100,0)+MATCH($C56,{"PLAN";"ACTUAL";"ACHIVE"},0)-1,
MATCH($D56,DAY('Activity Plan'!$S$7:$AW$7),0)))</f>
        <v>16</v>
      </c>
      <c r="G56" t="s">
        <v>18</v>
      </c>
      <c r="H56" t="s">
        <v>21</v>
      </c>
      <c r="I56">
        <v>27</v>
      </c>
      <c r="J56" s="68" cm="1">
        <f t="array" ref="J56">IF(INDEX('Activity Plan'!$S$34:$AW$99,
MATCH("*"&amp;TRIM($G56)&amp;"*",'Activity Plan'!$D$35:$D$100,0)+MATCH($H56,{"PLAN";"ACTUAL";"ACHIVE"},0)-1,
MATCH($I56,DAY('Activity Plan'!$S$7:$AW$7),0))=0,
"N/A",
INDEX('Activity Plan'!$S$34:$AW$99,
MATCH("*"&amp;TRIM($G56)&amp;"*",'Activity Plan'!$D$35:$D$100,0)+MATCH($H56,{"PLAN";"ACTUAL";"ACHIVE"},0)-1,
MATCH($I56,DAY('Activity Plan'!$S$7:$AW$7),0)))</f>
        <v>0.9</v>
      </c>
      <c r="L56" t="s">
        <v>20</v>
      </c>
      <c r="M56" t="s">
        <v>21</v>
      </c>
      <c r="N56">
        <v>27</v>
      </c>
      <c r="O56" s="71" cm="1">
        <f t="array" ref="O56">IF(INDEX('Activity Plan'!$S$34:$AW$99,
MATCH("*"&amp;TRIM($L56)&amp;"*",'Activity Plan'!$D$35:$D$100,0)+MATCH($M56,{"PLAN";"ACTUAL";"ACHIVE"},0)-1,
MATCH($N56,DAY('Activity Plan'!$S$7:$AW$7),0))=0,
"N/A",
INDEX('Activity Plan'!$S$34:$AW$99,
MATCH("*"&amp;TRIM($L56)&amp;"*",'Activity Plan'!$D$35:$D$100,0)+MATCH($M56,{"PLAN";"ACTUAL";"ACHIVE"},0)-1,
MATCH($N56,DAY('Activity Plan'!$S$7:$AW$7),0)))</f>
        <v>70</v>
      </c>
      <c r="Q56" t="s">
        <v>138</v>
      </c>
      <c r="R56" t="s">
        <v>21</v>
      </c>
      <c r="S56">
        <v>27</v>
      </c>
      <c r="T56" s="71" cm="1">
        <f t="array" ref="T56">IF(INDEX('Activity Plan'!$S$34:$AW$99,
MATCH("*"&amp;TRIM($Q56)&amp;"*",'Activity Plan'!$D$35:$D$100,0)+MATCH($R56,{"PLAN";"ACTUAL";"ACHIVE"},0)-1,
MATCH($S56,DAY('Activity Plan'!$S$7:$AW$7),0))=0,
"N/A",
INDEX('Activity Plan'!$S$34:$AW$99,
MATCH("*"&amp;TRIM($Q56)&amp;"*",'Activity Plan'!$D$35:$D$100,0)+MATCH($R56,{"PLAN";"ACTUAL";"ACHIVE"},0)-1,
MATCH($S56,DAY('Activity Plan'!$S$7:$AW$7),0)))</f>
        <v>80</v>
      </c>
      <c r="U56" s="71"/>
      <c r="V56" t="s">
        <v>18</v>
      </c>
      <c r="W56" t="s">
        <v>39</v>
      </c>
      <c r="X56" s="70">
        <v>22</v>
      </c>
      <c r="Y56" s="69" cm="1">
        <f t="array" ref="Y56">IF(INDEX('Activity Plan'!$S$34:$AW$99,
MATCH("*"&amp;TRIM($V56)&amp;"*",'Activity Plan'!$D$35:$D$100,0)+MATCH($W56,{"PLAN";"ACTUAL";"ACHIVE"},0)-1,
MATCH($X56,DAY('Activity Plan'!$S$7:$AW$7),0))=0,
"N/A",
INDEX('Activity Plan'!$S$34:$AW$99,
MATCH("*"&amp;TRIM($V56)&amp;"*",'Activity Plan'!$D$35:$D$100,0)+MATCH($W56,{"PLAN";"ACTUAL";"ACHIVE"},0)-1,
MATCH($X56,DAY('Activity Plan'!$S$7:$AW$7),0)))</f>
        <v>1</v>
      </c>
      <c r="AA56" t="s">
        <v>40</v>
      </c>
      <c r="AB56" t="s">
        <v>22</v>
      </c>
      <c r="AC56" s="70">
        <v>22</v>
      </c>
      <c r="AD56" s="77">
        <f>'Activity Plan'!BS33</f>
        <v>1</v>
      </c>
      <c r="CF56">
        <v>2</v>
      </c>
      <c r="CG56" t="s">
        <v>30</v>
      </c>
      <c r="CH56" t="s">
        <v>2</v>
      </c>
      <c r="CI56" t="s">
        <v>73</v>
      </c>
      <c r="CJ56" s="68">
        <v>1</v>
      </c>
      <c r="CL56" t="s">
        <v>150</v>
      </c>
      <c r="CM56" t="s">
        <v>19</v>
      </c>
      <c r="CN56" t="s">
        <v>21</v>
      </c>
      <c r="CO56">
        <v>27</v>
      </c>
      <c r="CP56" cm="1">
        <f t="array" ref="CP56">IF(INDEX('Activity Plan'!$S$34:$AW$99,
MATCH("*"&amp;TRIM($B56)&amp;"*",'Activity Plan'!$D$35:$D$100,0)+MATCH($C56,{"PLAN";"ACTUAL";"ACHIVE"},0)-1,
MATCH($D56,DAY('Activity Plan'!$S$7:$AW$7),0))=0,
"N/A",
INDEX('Activity Plan'!$S$34:$AW$99,
MATCH("*"&amp;TRIM($B56)&amp;"*",'Activity Plan'!$D$35:$D$100,0)+MATCH($C56,{"PLAN";"ACTUAL";"ACHIVE"},0)-1,
MATCH($D56,DAY('Activity Plan'!$S$7:$AW$7),0)))</f>
        <v>16</v>
      </c>
      <c r="CU56">
        <f>'Activity Plan'!AS7</f>
        <v>46200</v>
      </c>
      <c r="CV56" t="s">
        <v>21</v>
      </c>
      <c r="CW56" s="194">
        <f>IFERROR(IF('Activity Plan'!AS33=0,"N/A",'Activity Plan'!AS33),"N/A")</f>
        <v>0.50166666666666704</v>
      </c>
    </row>
    <row r="57" spans="2:101" x14ac:dyDescent="0.35">
      <c r="B57" t="s">
        <v>19</v>
      </c>
      <c r="C57" t="s">
        <v>22</v>
      </c>
      <c r="D57">
        <v>27</v>
      </c>
      <c r="E57" cm="1">
        <f t="array" ref="E57">IF(INDEX('Activity Plan'!$S$34:$AW$99,
MATCH("*"&amp;TRIM($B57)&amp;"*",'Activity Plan'!$D$35:$D$100,0)+MATCH($C57,{"PLAN";"ACTUAL";"ACHIVE"},0)-1,
MATCH($D57,DAY('Activity Plan'!$S$7:$AW$7),0))=0,
"N/A",
INDEX('Activity Plan'!$S$34:$AW$99,
MATCH("*"&amp;TRIM($B57)&amp;"*",'Activity Plan'!$D$35:$D$100,0)+MATCH($C57,{"PLAN";"ACTUAL";"ACHIVE"},0)-1,
MATCH($D57,DAY('Activity Plan'!$S$7:$AW$7),0)))</f>
        <v>14</v>
      </c>
      <c r="G57" t="s">
        <v>18</v>
      </c>
      <c r="H57" t="s">
        <v>22</v>
      </c>
      <c r="I57">
        <v>27</v>
      </c>
      <c r="J57" s="68" cm="1">
        <f t="array" ref="J57">IF(INDEX('Activity Plan'!$S$34:$AW$99,
MATCH("*"&amp;TRIM($G57)&amp;"*",'Activity Plan'!$D$35:$D$100,0)+MATCH($H57,{"PLAN";"ACTUAL";"ACHIVE"},0)-1,
MATCH($I57,DAY('Activity Plan'!$S$7:$AW$7),0))=0,
"N/A",
INDEX('Activity Plan'!$S$34:$AW$99,
MATCH("*"&amp;TRIM($G57)&amp;"*",'Activity Plan'!$D$35:$D$100,0)+MATCH($H57,{"PLAN";"ACTUAL";"ACHIVE"},0)-1,
MATCH($I57,DAY('Activity Plan'!$S$7:$AW$7),0)))</f>
        <v>0.83</v>
      </c>
      <c r="L57" t="s">
        <v>20</v>
      </c>
      <c r="M57" t="s">
        <v>22</v>
      </c>
      <c r="N57">
        <v>27</v>
      </c>
      <c r="O57" s="71" cm="1">
        <f t="array" ref="O57">IF(INDEX('Activity Plan'!$S$34:$AW$99,
MATCH("*"&amp;TRIM($L57)&amp;"*",'Activity Plan'!$D$35:$D$100,0)+MATCH($M57,{"PLAN";"ACTUAL";"ACHIVE"},0)-1,
MATCH($N57,DAY('Activity Plan'!$S$7:$AW$7),0))=0,
"N/A",
INDEX('Activity Plan'!$S$34:$AW$99,
MATCH("*"&amp;TRIM($L57)&amp;"*",'Activity Plan'!$D$35:$D$100,0)+MATCH($M57,{"PLAN";"ACTUAL";"ACHIVE"},0)-1,
MATCH($N57,DAY('Activity Plan'!$S$7:$AW$7),0)))</f>
        <v>65</v>
      </c>
      <c r="Q57" t="s">
        <v>138</v>
      </c>
      <c r="R57" t="s">
        <v>22</v>
      </c>
      <c r="S57">
        <v>27</v>
      </c>
      <c r="T57" s="71" cm="1">
        <f t="array" ref="T57">IF(INDEX('Activity Plan'!$S$34:$AW$99,
MATCH("*"&amp;TRIM($Q57)&amp;"*",'Activity Plan'!$D$35:$D$100,0)+MATCH($R57,{"PLAN";"ACTUAL";"ACHIVE"},0)-1,
MATCH($S57,DAY('Activity Plan'!$S$7:$AW$7),0))=0,
"N/A",
INDEX('Activity Plan'!$S$34:$AW$99,
MATCH("*"&amp;TRIM($Q57)&amp;"*",'Activity Plan'!$D$35:$D$100,0)+MATCH($R57,{"PLAN";"ACTUAL";"ACHIVE"},0)-1,
MATCH($S57,DAY('Activity Plan'!$S$7:$AW$7),0)))</f>
        <v>65</v>
      </c>
      <c r="U57" s="71"/>
      <c r="V57" t="s">
        <v>18</v>
      </c>
      <c r="W57" t="s">
        <v>39</v>
      </c>
      <c r="X57" s="70">
        <v>23</v>
      </c>
      <c r="Y57" s="69" cm="1">
        <f t="array" ref="Y57">IF(INDEX('Activity Plan'!$S$34:$AW$99,
MATCH("*"&amp;TRIM($V57)&amp;"*",'Activity Plan'!$D$35:$D$100,0)+MATCH($W57,{"PLAN";"ACTUAL";"ACHIVE"},0)-1,
MATCH($X57,DAY('Activity Plan'!$S$7:$AW$7),0))=0,
"N/A",
INDEX('Activity Plan'!$S$34:$AW$99,
MATCH("*"&amp;TRIM($V57)&amp;"*",'Activity Plan'!$D$35:$D$100,0)+MATCH($W57,{"PLAN";"ACTUAL";"ACHIVE"},0)-1,
MATCH($X57,DAY('Activity Plan'!$S$7:$AW$7),0)))</f>
        <v>1.0888888888888888</v>
      </c>
      <c r="AA57" t="s">
        <v>40</v>
      </c>
      <c r="AB57" t="s">
        <v>22</v>
      </c>
      <c r="AC57" s="70">
        <v>23</v>
      </c>
      <c r="AD57" s="77">
        <f>'Activity Plan'!BT33</f>
        <v>1</v>
      </c>
      <c r="CF57">
        <v>2</v>
      </c>
      <c r="CG57" t="s">
        <v>30</v>
      </c>
      <c r="CH57" t="s">
        <v>2</v>
      </c>
      <c r="CI57" t="s">
        <v>74</v>
      </c>
      <c r="CJ57" s="68">
        <v>1</v>
      </c>
      <c r="CL57" t="s">
        <v>150</v>
      </c>
      <c r="CM57" t="s">
        <v>19</v>
      </c>
      <c r="CN57" t="s">
        <v>22</v>
      </c>
      <c r="CO57">
        <v>27</v>
      </c>
      <c r="CP57" cm="1">
        <f t="array" ref="CP57">IF(INDEX('Activity Plan'!$S$34:$AW$99,
MATCH("*"&amp;TRIM($B57)&amp;"*",'Activity Plan'!$D$35:$D$100,0)+MATCH($C57,{"PLAN";"ACTUAL";"ACHIVE"},0)-1,
MATCH($D57,DAY('Activity Plan'!$S$7:$AW$7),0))=0,
"N/A",
INDEX('Activity Plan'!$S$34:$AW$99,
MATCH("*"&amp;TRIM($B57)&amp;"*",'Activity Plan'!$D$35:$D$100,0)+MATCH($C57,{"PLAN";"ACTUAL";"ACHIVE"},0)-1,
MATCH($D57,DAY('Activity Plan'!$S$7:$AW$7),0)))</f>
        <v>14</v>
      </c>
      <c r="CU57">
        <f>'Activity Plan'!AS7</f>
        <v>46200</v>
      </c>
      <c r="CV57" t="s">
        <v>22</v>
      </c>
      <c r="CW57" s="194">
        <f>IFERROR(IF('Activity Plan'!BX33=0,"N/A",'Activity Plan'!BX33),"N/A")</f>
        <v>1</v>
      </c>
    </row>
    <row r="58" spans="2:101" x14ac:dyDescent="0.35">
      <c r="B58" t="s">
        <v>19</v>
      </c>
      <c r="C58" t="s">
        <v>21</v>
      </c>
      <c r="D58">
        <v>28</v>
      </c>
      <c r="E58" cm="1">
        <f t="array" ref="E58">IF(INDEX('Activity Plan'!$S$34:$AW$99,
MATCH("*"&amp;TRIM($B58)&amp;"*",'Activity Plan'!$D$35:$D$100,0)+MATCH($C58,{"PLAN";"ACTUAL";"ACHIVE"},0)-1,
MATCH($D58,DAY('Activity Plan'!$S$7:$AW$7),0))=0,
"N/A",
INDEX('Activity Plan'!$S$34:$AW$99,
MATCH("*"&amp;TRIM($B58)&amp;"*",'Activity Plan'!$D$35:$D$100,0)+MATCH($C58,{"PLAN";"ACTUAL";"ACHIVE"},0)-1,
MATCH($D58,DAY('Activity Plan'!$S$7:$AW$7),0)))</f>
        <v>16</v>
      </c>
      <c r="G58" t="s">
        <v>18</v>
      </c>
      <c r="H58" t="s">
        <v>21</v>
      </c>
      <c r="I58">
        <v>28</v>
      </c>
      <c r="J58" s="68" cm="1">
        <f t="array" ref="J58">IF(INDEX('Activity Plan'!$S$34:$AW$99,
MATCH("*"&amp;TRIM($G58)&amp;"*",'Activity Plan'!$D$35:$D$100,0)+MATCH($H58,{"PLAN";"ACTUAL";"ACHIVE"},0)-1,
MATCH($I58,DAY('Activity Plan'!$S$7:$AW$7),0))=0,
"N/A",
INDEX('Activity Plan'!$S$34:$AW$99,
MATCH("*"&amp;TRIM($G58)&amp;"*",'Activity Plan'!$D$35:$D$100,0)+MATCH($H58,{"PLAN";"ACTUAL";"ACHIVE"},0)-1,
MATCH($I58,DAY('Activity Plan'!$S$7:$AW$7),0)))</f>
        <v>0.9</v>
      </c>
      <c r="L58" t="s">
        <v>20</v>
      </c>
      <c r="M58" t="s">
        <v>21</v>
      </c>
      <c r="N58">
        <v>28</v>
      </c>
      <c r="O58" s="71" cm="1">
        <f t="array" ref="O58">IF(INDEX('Activity Plan'!$S$34:$AW$99,
MATCH("*"&amp;TRIM($L58)&amp;"*",'Activity Plan'!$D$35:$D$100,0)+MATCH($M58,{"PLAN";"ACTUAL";"ACHIVE"},0)-1,
MATCH($N58,DAY('Activity Plan'!$S$7:$AW$7),0))=0,
"N/A",
INDEX('Activity Plan'!$S$34:$AW$99,
MATCH("*"&amp;TRIM($L58)&amp;"*",'Activity Plan'!$D$35:$D$100,0)+MATCH($M58,{"PLAN";"ACTUAL";"ACHIVE"},0)-1,
MATCH($N58,DAY('Activity Plan'!$S$7:$AW$7),0)))</f>
        <v>70</v>
      </c>
      <c r="Q58" t="s">
        <v>138</v>
      </c>
      <c r="R58" t="s">
        <v>21</v>
      </c>
      <c r="S58">
        <v>28</v>
      </c>
      <c r="T58" s="71" cm="1">
        <f t="array" ref="T58">IF(INDEX('Activity Plan'!$S$34:$AW$99,
MATCH("*"&amp;TRIM($Q58)&amp;"*",'Activity Plan'!$D$35:$D$100,0)+MATCH($R58,{"PLAN";"ACTUAL";"ACHIVE"},0)-1,
MATCH($S58,DAY('Activity Plan'!$S$7:$AW$7),0))=0,
"N/A",
INDEX('Activity Plan'!$S$34:$AW$99,
MATCH("*"&amp;TRIM($Q58)&amp;"*",'Activity Plan'!$D$35:$D$100,0)+MATCH($R58,{"PLAN";"ACTUAL";"ACHIVE"},0)-1,
MATCH($S58,DAY('Activity Plan'!$S$7:$AW$7),0)))</f>
        <v>80</v>
      </c>
      <c r="U58" s="71"/>
      <c r="V58" t="s">
        <v>18</v>
      </c>
      <c r="W58" t="s">
        <v>39</v>
      </c>
      <c r="X58" s="70">
        <v>24</v>
      </c>
      <c r="Y58" s="69" cm="1">
        <f t="array" ref="Y58">IF(INDEX('Activity Plan'!$S$34:$AW$99,
MATCH("*"&amp;TRIM($V58)&amp;"*",'Activity Plan'!$D$35:$D$100,0)+MATCH($W58,{"PLAN";"ACTUAL";"ACHIVE"},0)-1,
MATCH($X58,DAY('Activity Plan'!$S$7:$AW$7),0))=0,
"N/A",
INDEX('Activity Plan'!$S$34:$AW$99,
MATCH("*"&amp;TRIM($V58)&amp;"*",'Activity Plan'!$D$35:$D$100,0)+MATCH($W58,{"PLAN";"ACTUAL";"ACHIVE"},0)-1,
MATCH($X58,DAY('Activity Plan'!$S$7:$AW$7),0)))</f>
        <v>1.0333333333333334</v>
      </c>
      <c r="AA58" t="s">
        <v>40</v>
      </c>
      <c r="AB58" t="s">
        <v>22</v>
      </c>
      <c r="AC58" s="70">
        <v>24</v>
      </c>
      <c r="AD58" s="77">
        <f>'Activity Plan'!BU33</f>
        <v>1</v>
      </c>
      <c r="CF58">
        <v>2</v>
      </c>
      <c r="CG58" t="s">
        <v>30</v>
      </c>
      <c r="CH58" t="s">
        <v>2</v>
      </c>
      <c r="CI58" t="s">
        <v>75</v>
      </c>
      <c r="CJ58" s="68">
        <v>1</v>
      </c>
      <c r="CL58" t="s">
        <v>150</v>
      </c>
      <c r="CM58" t="s">
        <v>19</v>
      </c>
      <c r="CN58" t="s">
        <v>21</v>
      </c>
      <c r="CO58">
        <v>28</v>
      </c>
      <c r="CP58" cm="1">
        <f t="array" ref="CP58">IF(INDEX('Activity Plan'!$S$34:$AW$99,
MATCH("*"&amp;TRIM($B58)&amp;"*",'Activity Plan'!$D$35:$D$100,0)+MATCH($C58,{"PLAN";"ACTUAL";"ACHIVE"},0)-1,
MATCH($D58,DAY('Activity Plan'!$S$7:$AW$7),0))=0,
"N/A",
INDEX('Activity Plan'!$S$34:$AW$99,
MATCH("*"&amp;TRIM($B58)&amp;"*",'Activity Plan'!$D$35:$D$100,0)+MATCH($C58,{"PLAN";"ACTUAL";"ACHIVE"},0)-1,
MATCH($D58,DAY('Activity Plan'!$S$7:$AW$7),0)))</f>
        <v>16</v>
      </c>
      <c r="CU58">
        <f>'Activity Plan'!AT7</f>
        <v>46201</v>
      </c>
      <c r="CV58" t="s">
        <v>21</v>
      </c>
      <c r="CW58" s="194">
        <f>IFERROR(IF('Activity Plan'!AT33=0,"N/A",'Activity Plan'!AT33),"N/A")</f>
        <v>0.50166666666666704</v>
      </c>
    </row>
    <row r="59" spans="2:101" x14ac:dyDescent="0.35">
      <c r="B59" t="s">
        <v>19</v>
      </c>
      <c r="C59" t="s">
        <v>22</v>
      </c>
      <c r="D59">
        <v>28</v>
      </c>
      <c r="E59" cm="1">
        <f t="array" ref="E59">IF(INDEX('Activity Plan'!$S$34:$AW$99,
MATCH("*"&amp;TRIM($B59)&amp;"*",'Activity Plan'!$D$35:$D$100,0)+MATCH($C59,{"PLAN";"ACTUAL";"ACHIVE"},0)-1,
MATCH($D59,DAY('Activity Plan'!$S$7:$AW$7),0))=0,
"N/A",
INDEX('Activity Plan'!$S$34:$AW$99,
MATCH("*"&amp;TRIM($B59)&amp;"*",'Activity Plan'!$D$35:$D$100,0)+MATCH($C59,{"PLAN";"ACTUAL";"ACHIVE"},0)-1,
MATCH($D59,DAY('Activity Plan'!$S$7:$AW$7),0)))</f>
        <v>16</v>
      </c>
      <c r="G59" t="s">
        <v>18</v>
      </c>
      <c r="H59" t="s">
        <v>22</v>
      </c>
      <c r="I59">
        <v>28</v>
      </c>
      <c r="J59" s="68" cm="1">
        <f t="array" ref="J59">IF(INDEX('Activity Plan'!$S$34:$AW$99,
MATCH("*"&amp;TRIM($G59)&amp;"*",'Activity Plan'!$D$35:$D$100,0)+MATCH($H59,{"PLAN";"ACTUAL";"ACHIVE"},0)-1,
MATCH($I59,DAY('Activity Plan'!$S$7:$AW$7),0))=0,
"N/A",
INDEX('Activity Plan'!$S$34:$AW$99,
MATCH("*"&amp;TRIM($G59)&amp;"*",'Activity Plan'!$D$35:$D$100,0)+MATCH($H59,{"PLAN";"ACTUAL";"ACHIVE"},0)-1,
MATCH($I59,DAY('Activity Plan'!$S$7:$AW$7),0)))</f>
        <v>0.72</v>
      </c>
      <c r="L59" t="s">
        <v>20</v>
      </c>
      <c r="M59" t="s">
        <v>22</v>
      </c>
      <c r="N59">
        <v>28</v>
      </c>
      <c r="O59" s="71" cm="1">
        <f t="array" ref="O59">IF(INDEX('Activity Plan'!$S$34:$AW$99,
MATCH("*"&amp;TRIM($L59)&amp;"*",'Activity Plan'!$D$35:$D$100,0)+MATCH($M59,{"PLAN";"ACTUAL";"ACHIVE"},0)-1,
MATCH($N59,DAY('Activity Plan'!$S$7:$AW$7),0))=0,
"N/A",
INDEX('Activity Plan'!$S$34:$AW$99,
MATCH("*"&amp;TRIM($L59)&amp;"*",'Activity Plan'!$D$35:$D$100,0)+MATCH($M59,{"PLAN";"ACTUAL";"ACHIVE"},0)-1,
MATCH($N59,DAY('Activity Plan'!$S$7:$AW$7),0)))</f>
        <v>73</v>
      </c>
      <c r="Q59" t="s">
        <v>138</v>
      </c>
      <c r="R59" t="s">
        <v>22</v>
      </c>
      <c r="S59">
        <v>28</v>
      </c>
      <c r="T59" s="71" cm="1">
        <f t="array" ref="T59">IF(INDEX('Activity Plan'!$S$34:$AW$99,
MATCH("*"&amp;TRIM($Q59)&amp;"*",'Activity Plan'!$D$35:$D$100,0)+MATCH($R59,{"PLAN";"ACTUAL";"ACHIVE"},0)-1,
MATCH($S59,DAY('Activity Plan'!$S$7:$AW$7),0))=0,
"N/A",
INDEX('Activity Plan'!$S$34:$AW$99,
MATCH("*"&amp;TRIM($Q59)&amp;"*",'Activity Plan'!$D$35:$D$100,0)+MATCH($R59,{"PLAN";"ACTUAL";"ACHIVE"},0)-1,
MATCH($S59,DAY('Activity Plan'!$S$7:$AW$7),0)))</f>
        <v>73</v>
      </c>
      <c r="U59" s="71"/>
      <c r="V59" t="s">
        <v>18</v>
      </c>
      <c r="W59" t="s">
        <v>39</v>
      </c>
      <c r="X59" s="70">
        <v>25</v>
      </c>
      <c r="Y59" s="69" cm="1">
        <f t="array" ref="Y59">IF(INDEX('Activity Plan'!$S$34:$AW$99,
MATCH("*"&amp;TRIM($V59)&amp;"*",'Activity Plan'!$D$35:$D$100,0)+MATCH($W59,{"PLAN";"ACTUAL";"ACHIVE"},0)-1,
MATCH($X59,DAY('Activity Plan'!$S$7:$AW$7),0))=0,
"N/A",
INDEX('Activity Plan'!$S$34:$AW$99,
MATCH("*"&amp;TRIM($V59)&amp;"*",'Activity Plan'!$D$35:$D$100,0)+MATCH($W59,{"PLAN";"ACTUAL";"ACHIVE"},0)-1,
MATCH($X59,DAY('Activity Plan'!$S$7:$AW$7),0)))</f>
        <v>0.96666666666666667</v>
      </c>
      <c r="AA59" t="s">
        <v>40</v>
      </c>
      <c r="AB59" t="s">
        <v>22</v>
      </c>
      <c r="AC59" s="70">
        <v>25</v>
      </c>
      <c r="AD59" s="77">
        <f>'Activity Plan'!BV33</f>
        <v>1</v>
      </c>
      <c r="CF59">
        <v>2</v>
      </c>
      <c r="CG59" t="s">
        <v>30</v>
      </c>
      <c r="CH59" t="s">
        <v>2</v>
      </c>
      <c r="CI59" t="s">
        <v>76</v>
      </c>
      <c r="CJ59" s="68">
        <v>1</v>
      </c>
      <c r="CL59" t="s">
        <v>150</v>
      </c>
      <c r="CM59" t="s">
        <v>19</v>
      </c>
      <c r="CN59" t="s">
        <v>22</v>
      </c>
      <c r="CO59">
        <v>28</v>
      </c>
      <c r="CP59" cm="1">
        <f t="array" ref="CP59">IF(INDEX('Activity Plan'!$S$34:$AW$99,
MATCH("*"&amp;TRIM($B59)&amp;"*",'Activity Plan'!$D$35:$D$100,0)+MATCH($C59,{"PLAN";"ACTUAL";"ACHIVE"},0)-1,
MATCH($D59,DAY('Activity Plan'!$S$7:$AW$7),0))=0,
"N/A",
INDEX('Activity Plan'!$S$34:$AW$99,
MATCH("*"&amp;TRIM($B59)&amp;"*",'Activity Plan'!$D$35:$D$100,0)+MATCH($C59,{"PLAN";"ACTUAL";"ACHIVE"},0)-1,
MATCH($D59,DAY('Activity Plan'!$S$7:$AW$7),0)))</f>
        <v>16</v>
      </c>
      <c r="CU59">
        <f>'Activity Plan'!AT7</f>
        <v>46201</v>
      </c>
      <c r="CV59" t="s">
        <v>22</v>
      </c>
      <c r="CW59" s="194">
        <f>IFERROR(IF('Activity Plan'!BY33=0,"N/A",'Activity Plan'!BY33),"N/A")</f>
        <v>1</v>
      </c>
    </row>
    <row r="60" spans="2:101" x14ac:dyDescent="0.35">
      <c r="B60" t="s">
        <v>19</v>
      </c>
      <c r="C60" t="s">
        <v>21</v>
      </c>
      <c r="D60">
        <v>29</v>
      </c>
      <c r="E60" cm="1">
        <f t="array" ref="E60">IF(INDEX('Activity Plan'!$S$34:$AW$99,
MATCH("*"&amp;TRIM($B60)&amp;"*",'Activity Plan'!$D$35:$D$100,0)+MATCH($C60,{"PLAN";"ACTUAL";"ACHIVE"},0)-1,
MATCH($D60,DAY('Activity Plan'!$S$7:$AW$7),0))=0,
"N/A",
INDEX('Activity Plan'!$S$34:$AW$99,
MATCH("*"&amp;TRIM($B60)&amp;"*",'Activity Plan'!$D$35:$D$100,0)+MATCH($C60,{"PLAN";"ACTUAL";"ACHIVE"},0)-1,
MATCH($D60,DAY('Activity Plan'!$S$7:$AW$7),0)))</f>
        <v>16</v>
      </c>
      <c r="G60" t="s">
        <v>18</v>
      </c>
      <c r="H60" t="s">
        <v>21</v>
      </c>
      <c r="I60">
        <v>29</v>
      </c>
      <c r="J60" s="68" cm="1">
        <f t="array" ref="J60">IF(INDEX('Activity Plan'!$S$34:$AW$99,
MATCH("*"&amp;TRIM($G60)&amp;"*",'Activity Plan'!$D$35:$D$100,0)+MATCH($H60,{"PLAN";"ACTUAL";"ACHIVE"},0)-1,
MATCH($I60,DAY('Activity Plan'!$S$7:$AW$7),0))=0,
"N/A",
INDEX('Activity Plan'!$S$34:$AW$99,
MATCH("*"&amp;TRIM($G60)&amp;"*",'Activity Plan'!$D$35:$D$100,0)+MATCH($H60,{"PLAN";"ACTUAL";"ACHIVE"},0)-1,
MATCH($I60,DAY('Activity Plan'!$S$7:$AW$7),0)))</f>
        <v>0.9</v>
      </c>
      <c r="L60" t="s">
        <v>20</v>
      </c>
      <c r="M60" t="s">
        <v>21</v>
      </c>
      <c r="N60">
        <v>29</v>
      </c>
      <c r="O60" s="71" cm="1">
        <f t="array" ref="O60">IF(INDEX('Activity Plan'!$S$34:$AW$99,
MATCH("*"&amp;TRIM($L60)&amp;"*",'Activity Plan'!$D$35:$D$100,0)+MATCH($M60,{"PLAN";"ACTUAL";"ACHIVE"},0)-1,
MATCH($N60,DAY('Activity Plan'!$S$7:$AW$7),0))=0,
"N/A",
INDEX('Activity Plan'!$S$34:$AW$99,
MATCH("*"&amp;TRIM($L60)&amp;"*",'Activity Plan'!$D$35:$D$100,0)+MATCH($M60,{"PLAN";"ACTUAL";"ACHIVE"},0)-1,
MATCH($N60,DAY('Activity Plan'!$S$7:$AW$7),0)))</f>
        <v>70</v>
      </c>
      <c r="Q60" t="s">
        <v>138</v>
      </c>
      <c r="R60" t="s">
        <v>21</v>
      </c>
      <c r="S60">
        <v>29</v>
      </c>
      <c r="T60" s="71" cm="1">
        <f t="array" ref="T60">IF(INDEX('Activity Plan'!$S$34:$AW$99,
MATCH("*"&amp;TRIM($Q60)&amp;"*",'Activity Plan'!$D$35:$D$100,0)+MATCH($R60,{"PLAN";"ACTUAL";"ACHIVE"},0)-1,
MATCH($S60,DAY('Activity Plan'!$S$7:$AW$7),0))=0,
"N/A",
INDEX('Activity Plan'!$S$34:$AW$99,
MATCH("*"&amp;TRIM($Q60)&amp;"*",'Activity Plan'!$D$35:$D$100,0)+MATCH($R60,{"PLAN";"ACTUAL";"ACHIVE"},0)-1,
MATCH($S60,DAY('Activity Plan'!$S$7:$AW$7),0)))</f>
        <v>80</v>
      </c>
      <c r="U60" s="71"/>
      <c r="V60" t="s">
        <v>18</v>
      </c>
      <c r="W60" t="s">
        <v>39</v>
      </c>
      <c r="X60" s="70">
        <v>26</v>
      </c>
      <c r="Y60" s="69" cm="1">
        <f t="array" ref="Y60">IF(INDEX('Activity Plan'!$S$34:$AW$99,
MATCH("*"&amp;TRIM($V60)&amp;"*",'Activity Plan'!$D$35:$D$100,0)+MATCH($W60,{"PLAN";"ACTUAL";"ACHIVE"},0)-1,
MATCH($X60,DAY('Activity Plan'!$S$7:$AW$7),0))=0,
"N/A",
INDEX('Activity Plan'!$S$34:$AW$99,
MATCH("*"&amp;TRIM($V60)&amp;"*",'Activity Plan'!$D$35:$D$100,0)+MATCH($W60,{"PLAN";"ACTUAL";"ACHIVE"},0)-1,
MATCH($X60,DAY('Activity Plan'!$S$7:$AW$7),0)))</f>
        <v>0.88888888888888895</v>
      </c>
      <c r="AA60" t="s">
        <v>40</v>
      </c>
      <c r="AB60" t="s">
        <v>22</v>
      </c>
      <c r="AC60" s="70">
        <v>26</v>
      </c>
      <c r="AD60" s="77">
        <f>'Activity Plan'!BW33</f>
        <v>1</v>
      </c>
      <c r="CF60">
        <v>2</v>
      </c>
      <c r="CG60" t="s">
        <v>30</v>
      </c>
      <c r="CH60" t="s">
        <v>2</v>
      </c>
      <c r="CI60" t="s">
        <v>77</v>
      </c>
      <c r="CJ60" s="68">
        <v>1</v>
      </c>
      <c r="CL60" t="s">
        <v>150</v>
      </c>
      <c r="CM60" t="s">
        <v>19</v>
      </c>
      <c r="CN60" t="s">
        <v>21</v>
      </c>
      <c r="CO60">
        <v>29</v>
      </c>
      <c r="CP60" cm="1">
        <f t="array" ref="CP60">IF(INDEX('Activity Plan'!$S$34:$AW$99,
MATCH("*"&amp;TRIM($B60)&amp;"*",'Activity Plan'!$D$35:$D$100,0)+MATCH($C60,{"PLAN";"ACTUAL";"ACHIVE"},0)-1,
MATCH($D60,DAY('Activity Plan'!$S$7:$AW$7),0))=0,
"N/A",
INDEX('Activity Plan'!$S$34:$AW$99,
MATCH("*"&amp;TRIM($B60)&amp;"*",'Activity Plan'!$D$35:$D$100,0)+MATCH($C60,{"PLAN";"ACTUAL";"ACHIVE"},0)-1,
MATCH($D60,DAY('Activity Plan'!$S$7:$AW$7),0)))</f>
        <v>16</v>
      </c>
      <c r="CU60">
        <f>'Activity Plan'!AU7</f>
        <v>46202</v>
      </c>
      <c r="CV60" t="s">
        <v>21</v>
      </c>
      <c r="CW60" s="194">
        <f>IFERROR(IF('Activity Plan'!AU33=0,"N/A",'Activity Plan'!AU33),"N/A")</f>
        <v>0.5099999999999999</v>
      </c>
    </row>
    <row r="61" spans="2:101" x14ac:dyDescent="0.35">
      <c r="B61" t="s">
        <v>19</v>
      </c>
      <c r="C61" t="s">
        <v>22</v>
      </c>
      <c r="D61">
        <v>29</v>
      </c>
      <c r="E61" cm="1">
        <f t="array" ref="E61">IF(INDEX('Activity Plan'!$S$34:$AW$99,
MATCH("*"&amp;TRIM($B61)&amp;"*",'Activity Plan'!$D$35:$D$100,0)+MATCH($C61,{"PLAN";"ACTUAL";"ACHIVE"},0)-1,
MATCH($D61,DAY('Activity Plan'!$S$7:$AW$7),0))=0,
"N/A",
INDEX('Activity Plan'!$S$34:$AW$99,
MATCH("*"&amp;TRIM($B61)&amp;"*",'Activity Plan'!$D$35:$D$100,0)+MATCH($C61,{"PLAN";"ACTUAL";"ACHIVE"},0)-1,
MATCH($D61,DAY('Activity Plan'!$S$7:$AW$7),0)))</f>
        <v>12</v>
      </c>
      <c r="G61" t="s">
        <v>18</v>
      </c>
      <c r="H61" t="s">
        <v>22</v>
      </c>
      <c r="I61">
        <v>29</v>
      </c>
      <c r="J61" s="68" cm="1">
        <f t="array" ref="J61">IF(INDEX('Activity Plan'!$S$34:$AW$99,
MATCH("*"&amp;TRIM($G61)&amp;"*",'Activity Plan'!$D$35:$D$100,0)+MATCH($H61,{"PLAN";"ACTUAL";"ACHIVE"},0)-1,
MATCH($I61,DAY('Activity Plan'!$S$7:$AW$7),0))=0,
"N/A",
INDEX('Activity Plan'!$S$34:$AW$99,
MATCH("*"&amp;TRIM($G61)&amp;"*",'Activity Plan'!$D$35:$D$100,0)+MATCH($H61,{"PLAN";"ACTUAL";"ACHIVE"},0)-1,
MATCH($I61,DAY('Activity Plan'!$S$7:$AW$7),0)))</f>
        <v>1</v>
      </c>
      <c r="L61" t="s">
        <v>20</v>
      </c>
      <c r="M61" t="s">
        <v>22</v>
      </c>
      <c r="N61">
        <v>29</v>
      </c>
      <c r="O61" s="71" cm="1">
        <f t="array" ref="O61">IF(INDEX('Activity Plan'!$S$34:$AW$99,
MATCH("*"&amp;TRIM($L61)&amp;"*",'Activity Plan'!$D$35:$D$100,0)+MATCH($M61,{"PLAN";"ACTUAL";"ACHIVE"},0)-1,
MATCH($N61,DAY('Activity Plan'!$S$7:$AW$7),0))=0,
"N/A",
INDEX('Activity Plan'!$S$34:$AW$99,
MATCH("*"&amp;TRIM($L61)&amp;"*",'Activity Plan'!$D$35:$D$100,0)+MATCH($M61,{"PLAN";"ACTUAL";"ACHIVE"},0)-1,
MATCH($N61,DAY('Activity Plan'!$S$7:$AW$7),0)))</f>
        <v>75</v>
      </c>
      <c r="Q61" t="s">
        <v>138</v>
      </c>
      <c r="R61" t="s">
        <v>22</v>
      </c>
      <c r="S61">
        <v>29</v>
      </c>
      <c r="T61" s="71" cm="1">
        <f t="array" ref="T61">IF(INDEX('Activity Plan'!$S$34:$AW$99,
MATCH("*"&amp;TRIM($Q61)&amp;"*",'Activity Plan'!$D$35:$D$100,0)+MATCH($R61,{"PLAN";"ACTUAL";"ACHIVE"},0)-1,
MATCH($S61,DAY('Activity Plan'!$S$7:$AW$7),0))=0,
"N/A",
INDEX('Activity Plan'!$S$34:$AW$99,
MATCH("*"&amp;TRIM($Q61)&amp;"*",'Activity Plan'!$D$35:$D$100,0)+MATCH($R61,{"PLAN";"ACTUAL";"ACHIVE"},0)-1,
MATCH($S61,DAY('Activity Plan'!$S$7:$AW$7),0)))</f>
        <v>75</v>
      </c>
      <c r="U61" s="71"/>
      <c r="V61" t="s">
        <v>18</v>
      </c>
      <c r="W61" t="s">
        <v>39</v>
      </c>
      <c r="X61" s="70">
        <v>27</v>
      </c>
      <c r="Y61" s="69" cm="1">
        <f t="array" ref="Y61">IF(INDEX('Activity Plan'!$S$34:$AW$99,
MATCH("*"&amp;TRIM($V61)&amp;"*",'Activity Plan'!$D$35:$D$100,0)+MATCH($W61,{"PLAN";"ACTUAL";"ACHIVE"},0)-1,
MATCH($X61,DAY('Activity Plan'!$S$7:$AW$7),0))=0,
"N/A",
INDEX('Activity Plan'!$S$34:$AW$99,
MATCH("*"&amp;TRIM($V61)&amp;"*",'Activity Plan'!$D$35:$D$100,0)+MATCH($W61,{"PLAN";"ACTUAL";"ACHIVE"},0)-1,
MATCH($X61,DAY('Activity Plan'!$S$7:$AW$7),0)))</f>
        <v>0.92222222222222217</v>
      </c>
      <c r="AA61" t="s">
        <v>40</v>
      </c>
      <c r="AB61" t="s">
        <v>22</v>
      </c>
      <c r="AC61" s="70">
        <v>27</v>
      </c>
      <c r="AD61" s="77">
        <f>'Activity Plan'!BX33</f>
        <v>1</v>
      </c>
      <c r="CF61">
        <v>2</v>
      </c>
      <c r="CG61" t="s">
        <v>30</v>
      </c>
      <c r="CH61" t="s">
        <v>2</v>
      </c>
      <c r="CI61" t="s">
        <v>78</v>
      </c>
      <c r="CJ61" s="68">
        <v>1</v>
      </c>
      <c r="CL61" t="s">
        <v>150</v>
      </c>
      <c r="CM61" t="s">
        <v>19</v>
      </c>
      <c r="CN61" t="s">
        <v>22</v>
      </c>
      <c r="CO61">
        <v>29</v>
      </c>
      <c r="CP61" cm="1">
        <f t="array" ref="CP61">IF(INDEX('Activity Plan'!$S$34:$AW$99,
MATCH("*"&amp;TRIM($B61)&amp;"*",'Activity Plan'!$D$35:$D$100,0)+MATCH($C61,{"PLAN";"ACTUAL";"ACHIVE"},0)-1,
MATCH($D61,DAY('Activity Plan'!$S$7:$AW$7),0))=0,
"N/A",
INDEX('Activity Plan'!$S$34:$AW$99,
MATCH("*"&amp;TRIM($B61)&amp;"*",'Activity Plan'!$D$35:$D$100,0)+MATCH($C61,{"PLAN";"ACTUAL";"ACHIVE"},0)-1,
MATCH($D61,DAY('Activity Plan'!$S$7:$AW$7),0)))</f>
        <v>12</v>
      </c>
      <c r="CU61">
        <f>'Activity Plan'!AU7</f>
        <v>46202</v>
      </c>
      <c r="CV61" t="s">
        <v>22</v>
      </c>
      <c r="CW61" s="194">
        <f>IFERROR(IF('Activity Plan'!BZ33=0,"N/A",'Activity Plan'!BZ33),"N/A")</f>
        <v>1</v>
      </c>
    </row>
    <row r="62" spans="2:101" x14ac:dyDescent="0.35">
      <c r="B62" t="s">
        <v>19</v>
      </c>
      <c r="C62" t="s">
        <v>21</v>
      </c>
      <c r="D62">
        <v>30</v>
      </c>
      <c r="E62" cm="1">
        <f t="array" ref="E62">IF(INDEX('Activity Plan'!$S$34:$AW$99,
MATCH("*"&amp;TRIM($B62)&amp;"*",'Activity Plan'!$D$35:$D$100,0)+MATCH($C62,{"PLAN";"ACTUAL";"ACHIVE"},0)-1,
MATCH($D62,DAY('Activity Plan'!$S$7:$AW$7),0))=0,
"N/A",
INDEX('Activity Plan'!$S$34:$AW$99,
MATCH("*"&amp;TRIM($B62)&amp;"*",'Activity Plan'!$D$35:$D$100,0)+MATCH($C62,{"PLAN";"ACTUAL";"ACHIVE"},0)-1,
MATCH($D62,DAY('Activity Plan'!$S$7:$AW$7),0)))</f>
        <v>16</v>
      </c>
      <c r="G62" t="s">
        <v>18</v>
      </c>
      <c r="H62" t="s">
        <v>21</v>
      </c>
      <c r="I62">
        <v>30</v>
      </c>
      <c r="J62" s="68" cm="1">
        <f t="array" ref="J62">IF(INDEX('Activity Plan'!$S$34:$AW$99,
MATCH("*"&amp;TRIM($G62)&amp;"*",'Activity Plan'!$D$35:$D$100,0)+MATCH($H62,{"PLAN";"ACTUAL";"ACHIVE"},0)-1,
MATCH($I62,DAY('Activity Plan'!$S$7:$AW$7),0))=0,
"N/A",
INDEX('Activity Plan'!$S$34:$AW$99,
MATCH("*"&amp;TRIM($G62)&amp;"*",'Activity Plan'!$D$35:$D$100,0)+MATCH($H62,{"PLAN";"ACTUAL";"ACHIVE"},0)-1,
MATCH($I62,DAY('Activity Plan'!$S$7:$AW$7),0)))</f>
        <v>0.9</v>
      </c>
      <c r="L62" t="s">
        <v>20</v>
      </c>
      <c r="M62" t="s">
        <v>21</v>
      </c>
      <c r="N62">
        <v>30</v>
      </c>
      <c r="O62" s="71" cm="1">
        <f t="array" ref="O62">IF(INDEX('Activity Plan'!$S$34:$AW$99,
MATCH("*"&amp;TRIM($L62)&amp;"*",'Activity Plan'!$D$35:$D$100,0)+MATCH($M62,{"PLAN";"ACTUAL";"ACHIVE"},0)-1,
MATCH($N62,DAY('Activity Plan'!$S$7:$AW$7),0))=0,
"N/A",
INDEX('Activity Plan'!$S$34:$AW$99,
MATCH("*"&amp;TRIM($L62)&amp;"*",'Activity Plan'!$D$35:$D$100,0)+MATCH($M62,{"PLAN";"ACTUAL";"ACHIVE"},0)-1,
MATCH($N62,DAY('Activity Plan'!$S$7:$AW$7),0)))</f>
        <v>70</v>
      </c>
      <c r="Q62" t="s">
        <v>138</v>
      </c>
      <c r="R62" t="s">
        <v>21</v>
      </c>
      <c r="S62">
        <v>30</v>
      </c>
      <c r="T62" s="71" cm="1">
        <f t="array" ref="T62">IF(INDEX('Activity Plan'!$S$34:$AW$99,
MATCH("*"&amp;TRIM($Q62)&amp;"*",'Activity Plan'!$D$35:$D$100,0)+MATCH($R62,{"PLAN";"ACTUAL";"ACHIVE"},0)-1,
MATCH($S62,DAY('Activity Plan'!$S$7:$AW$7),0))=0,
"N/A",
INDEX('Activity Plan'!$S$34:$AW$99,
MATCH("*"&amp;TRIM($Q62)&amp;"*",'Activity Plan'!$D$35:$D$100,0)+MATCH($R62,{"PLAN";"ACTUAL";"ACHIVE"},0)-1,
MATCH($S62,DAY('Activity Plan'!$S$7:$AW$7),0)))</f>
        <v>80</v>
      </c>
      <c r="U62" s="71"/>
      <c r="V62" t="s">
        <v>18</v>
      </c>
      <c r="W62" t="s">
        <v>39</v>
      </c>
      <c r="X62" s="70">
        <v>28</v>
      </c>
      <c r="Y62" s="69" cm="1">
        <f t="array" ref="Y62">IF(INDEX('Activity Plan'!$S$34:$AW$99,
MATCH("*"&amp;TRIM($V62)&amp;"*",'Activity Plan'!$D$35:$D$100,0)+MATCH($W62,{"PLAN";"ACTUAL";"ACHIVE"},0)-1,
MATCH($X62,DAY('Activity Plan'!$S$7:$AW$7),0))=0,
"N/A",
INDEX('Activity Plan'!$S$34:$AW$99,
MATCH("*"&amp;TRIM($V62)&amp;"*",'Activity Plan'!$D$35:$D$100,0)+MATCH($W62,{"PLAN";"ACTUAL";"ACHIVE"},0)-1,
MATCH($X62,DAY('Activity Plan'!$S$7:$AW$7),0)))</f>
        <v>0.79999999999999993</v>
      </c>
      <c r="AA62" t="s">
        <v>40</v>
      </c>
      <c r="AB62" t="s">
        <v>22</v>
      </c>
      <c r="AC62" s="70">
        <v>28</v>
      </c>
      <c r="AD62" s="77">
        <f>'Activity Plan'!BY33</f>
        <v>1</v>
      </c>
      <c r="CF62">
        <v>2</v>
      </c>
      <c r="CG62" t="s">
        <v>30</v>
      </c>
      <c r="CH62" t="s">
        <v>2</v>
      </c>
      <c r="CI62" t="s">
        <v>79</v>
      </c>
      <c r="CJ62" s="68">
        <v>1</v>
      </c>
      <c r="CL62" t="s">
        <v>150</v>
      </c>
      <c r="CM62" t="s">
        <v>19</v>
      </c>
      <c r="CN62" t="s">
        <v>21</v>
      </c>
      <c r="CO62">
        <v>30</v>
      </c>
      <c r="CP62" cm="1">
        <f t="array" ref="CP62">IF(INDEX('Activity Plan'!$S$34:$AW$99,
MATCH("*"&amp;TRIM($B62)&amp;"*",'Activity Plan'!$D$35:$D$100,0)+MATCH($C62,{"PLAN";"ACTUAL";"ACHIVE"},0)-1,
MATCH($D62,DAY('Activity Plan'!$S$7:$AW$7),0))=0,
"N/A",
INDEX('Activity Plan'!$S$34:$AW$99,
MATCH("*"&amp;TRIM($B62)&amp;"*",'Activity Plan'!$D$35:$D$100,0)+MATCH($C62,{"PLAN";"ACTUAL";"ACHIVE"},0)-1,
MATCH($D62,DAY('Activity Plan'!$S$7:$AW$7),0)))</f>
        <v>16</v>
      </c>
      <c r="CU62">
        <f>'Activity Plan'!AV7</f>
        <v>46203</v>
      </c>
      <c r="CV62" t="s">
        <v>21</v>
      </c>
      <c r="CW62" s="194">
        <f>IFERROR(IF('Activity Plan'!AV33=0,"N/A",'Activity Plan'!AV33),"N/A")</f>
        <v>0.51833333333333276</v>
      </c>
    </row>
    <row r="63" spans="2:101" x14ac:dyDescent="0.35">
      <c r="B63" t="s">
        <v>19</v>
      </c>
      <c r="C63" t="s">
        <v>22</v>
      </c>
      <c r="D63">
        <v>30</v>
      </c>
      <c r="E63" cm="1">
        <f t="array" ref="E63">IF(INDEX('Activity Plan'!$S$34:$AW$99,
MATCH("*"&amp;TRIM($B63)&amp;"*",'Activity Plan'!$D$35:$D$100,0)+MATCH($C63,{"PLAN";"ACTUAL";"ACHIVE"},0)-1,
MATCH($D63,DAY('Activity Plan'!$S$7:$AW$7),0))=0,
"N/A",
INDEX('Activity Plan'!$S$34:$AW$99,
MATCH("*"&amp;TRIM($B63)&amp;"*",'Activity Plan'!$D$35:$D$100,0)+MATCH($C63,{"PLAN";"ACTUAL";"ACHIVE"},0)-1,
MATCH($D63,DAY('Activity Plan'!$S$7:$AW$7),0)))</f>
        <v>11</v>
      </c>
      <c r="G63" t="s">
        <v>18</v>
      </c>
      <c r="H63" t="s">
        <v>22</v>
      </c>
      <c r="I63">
        <v>30</v>
      </c>
      <c r="J63" s="68" cm="1">
        <f t="array" ref="J63">IF(INDEX('Activity Plan'!$S$34:$AW$99,
MATCH("*"&amp;TRIM($G63)&amp;"*",'Activity Plan'!$D$35:$D$100,0)+MATCH($H63,{"PLAN";"ACTUAL";"ACHIVE"},0)-1,
MATCH($I63,DAY('Activity Plan'!$S$7:$AW$7),0))=0,
"N/A",
INDEX('Activity Plan'!$S$34:$AW$99,
MATCH("*"&amp;TRIM($G63)&amp;"*",'Activity Plan'!$D$35:$D$100,0)+MATCH($H63,{"PLAN";"ACTUAL";"ACHIVE"},0)-1,
MATCH($I63,DAY('Activity Plan'!$S$7:$AW$7),0)))</f>
        <v>0.9</v>
      </c>
      <c r="L63" t="s">
        <v>20</v>
      </c>
      <c r="M63" t="s">
        <v>22</v>
      </c>
      <c r="N63">
        <v>30</v>
      </c>
      <c r="O63" s="71" cm="1">
        <f t="array" ref="O63">IF(INDEX('Activity Plan'!$S$34:$AW$99,
MATCH("*"&amp;TRIM($L63)&amp;"*",'Activity Plan'!$D$35:$D$100,0)+MATCH($M63,{"PLAN";"ACTUAL";"ACHIVE"},0)-1,
MATCH($N63,DAY('Activity Plan'!$S$7:$AW$7),0))=0,
"N/A",
INDEX('Activity Plan'!$S$34:$AW$99,
MATCH("*"&amp;TRIM($L63)&amp;"*",'Activity Plan'!$D$35:$D$100,0)+MATCH($M63,{"PLAN";"ACTUAL";"ACHIVE"},0)-1,
MATCH($N63,DAY('Activity Plan'!$S$7:$AW$7),0)))</f>
        <v>83</v>
      </c>
      <c r="Q63" t="s">
        <v>138</v>
      </c>
      <c r="R63" t="s">
        <v>22</v>
      </c>
      <c r="S63">
        <v>30</v>
      </c>
      <c r="T63" s="71" cm="1">
        <f t="array" ref="T63">IF(INDEX('Activity Plan'!$S$34:$AW$99,
MATCH("*"&amp;TRIM($Q63)&amp;"*",'Activity Plan'!$D$35:$D$100,0)+MATCH($R63,{"PLAN";"ACTUAL";"ACHIVE"},0)-1,
MATCH($S63,DAY('Activity Plan'!$S$7:$AW$7),0))=0,
"N/A",
INDEX('Activity Plan'!$S$34:$AW$99,
MATCH("*"&amp;TRIM($Q63)&amp;"*",'Activity Plan'!$D$35:$D$100,0)+MATCH($R63,{"PLAN";"ACTUAL";"ACHIVE"},0)-1,
MATCH($S63,DAY('Activity Plan'!$S$7:$AW$7),0)))</f>
        <v>83</v>
      </c>
      <c r="U63" s="71"/>
      <c r="V63" t="s">
        <v>18</v>
      </c>
      <c r="W63" t="s">
        <v>39</v>
      </c>
      <c r="X63" s="70">
        <v>29</v>
      </c>
      <c r="Y63" s="69" cm="1">
        <f t="array" ref="Y63">IF(INDEX('Activity Plan'!$S$34:$AW$99,
MATCH("*"&amp;TRIM($V63)&amp;"*",'Activity Plan'!$D$35:$D$100,0)+MATCH($W63,{"PLAN";"ACTUAL";"ACHIVE"},0)-1,
MATCH($X63,DAY('Activity Plan'!$S$7:$AW$7),0))=0,
"N/A",
INDEX('Activity Plan'!$S$34:$AW$99,
MATCH("*"&amp;TRIM($V63)&amp;"*",'Activity Plan'!$D$35:$D$100,0)+MATCH($W63,{"PLAN";"ACTUAL";"ACHIVE"},0)-1,
MATCH($X63,DAY('Activity Plan'!$S$7:$AW$7),0)))</f>
        <v>1.1111111111111112</v>
      </c>
      <c r="AA63" t="s">
        <v>40</v>
      </c>
      <c r="AB63" t="s">
        <v>22</v>
      </c>
      <c r="AC63" s="70">
        <v>29</v>
      </c>
      <c r="AD63" s="77">
        <f>'Activity Plan'!BZ33</f>
        <v>1</v>
      </c>
      <c r="CF63">
        <v>2</v>
      </c>
      <c r="CG63" t="s">
        <v>30</v>
      </c>
      <c r="CH63" t="s">
        <v>2</v>
      </c>
      <c r="CI63" t="s">
        <v>80</v>
      </c>
      <c r="CJ63" s="68">
        <v>1</v>
      </c>
      <c r="CL63" t="s">
        <v>150</v>
      </c>
      <c r="CM63" t="s">
        <v>19</v>
      </c>
      <c r="CN63" t="s">
        <v>22</v>
      </c>
      <c r="CO63">
        <v>30</v>
      </c>
      <c r="CP63" cm="1">
        <f t="array" ref="CP63">IF(INDEX('Activity Plan'!$S$34:$AW$99,
MATCH("*"&amp;TRIM($B63)&amp;"*",'Activity Plan'!$D$35:$D$100,0)+MATCH($C63,{"PLAN";"ACTUAL";"ACHIVE"},0)-1,
MATCH($D63,DAY('Activity Plan'!$S$7:$AW$7),0))=0,
"N/A",
INDEX('Activity Plan'!$S$34:$AW$99,
MATCH("*"&amp;TRIM($B63)&amp;"*",'Activity Plan'!$D$35:$D$100,0)+MATCH($C63,{"PLAN";"ACTUAL";"ACHIVE"},0)-1,
MATCH($D63,DAY('Activity Plan'!$S$7:$AW$7),0)))</f>
        <v>11</v>
      </c>
      <c r="CU63">
        <f>'Activity Plan'!AV7</f>
        <v>46203</v>
      </c>
      <c r="CV63" t="s">
        <v>22</v>
      </c>
      <c r="CW63" s="194">
        <f>IFERROR(IF('Activity Plan'!CA33=0,"N/A",'Activity Plan'!CA33),"N/A")</f>
        <v>1</v>
      </c>
    </row>
    <row r="64" spans="2:101" x14ac:dyDescent="0.35">
      <c r="B64" t="s">
        <v>19</v>
      </c>
      <c r="C64" t="s">
        <v>21</v>
      </c>
      <c r="D64">
        <v>31</v>
      </c>
      <c r="E64" t="e" cm="1">
        <f t="array" ref="E64">IF(INDEX('Activity Plan'!$S$34:$AW$99,
MATCH("*"&amp;TRIM($B64)&amp;"*",'Activity Plan'!$D$35:$D$100,0)+MATCH($C64,{"PLAN";"ACTUAL";"ACHIVE"},0)-1,
MATCH($D64,DAY('Activity Plan'!$S$7:$AW$7),0))=0,
"N/A",
INDEX('Activity Plan'!$S$34:$AW$99,
MATCH("*"&amp;TRIM($B64)&amp;"*",'Activity Plan'!$D$35:$D$100,0)+MATCH($C64,{"PLAN";"ACTUAL";"ACHIVE"},0)-1,
MATCH($D64,DAY('Activity Plan'!$S$7:$AW$7),0)))</f>
        <v>#N/A</v>
      </c>
      <c r="G64" t="s">
        <v>18</v>
      </c>
      <c r="H64" t="s">
        <v>21</v>
      </c>
      <c r="I64">
        <v>31</v>
      </c>
      <c r="J64" s="68" t="e" cm="1">
        <f t="array" ref="J64">IF(INDEX('Activity Plan'!$S$34:$AW$99,
MATCH("*"&amp;TRIM($G64)&amp;"*",'Activity Plan'!$D$35:$D$100,0)+MATCH($H64,{"PLAN";"ACTUAL";"ACHIVE"},0)-1,
MATCH($I64,DAY('Activity Plan'!$S$7:$AW$7),0))=0,
"N/A",
INDEX('Activity Plan'!$S$34:$AW$99,
MATCH("*"&amp;TRIM($G64)&amp;"*",'Activity Plan'!$D$35:$D$100,0)+MATCH($H64,{"PLAN";"ACTUAL";"ACHIVE"},0)-1,
MATCH($I64,DAY('Activity Plan'!$S$7:$AW$7),0)))</f>
        <v>#N/A</v>
      </c>
      <c r="L64" t="s">
        <v>20</v>
      </c>
      <c r="M64" t="s">
        <v>21</v>
      </c>
      <c r="N64">
        <v>31</v>
      </c>
      <c r="O64" s="71" t="e" cm="1">
        <f t="array" ref="O64">IF(INDEX('Activity Plan'!$S$34:$AW$99,
MATCH("*"&amp;TRIM($L64)&amp;"*",'Activity Plan'!$D$35:$D$100,0)+MATCH($M64,{"PLAN";"ACTUAL";"ACHIVE"},0)-1,
MATCH($N64,DAY('Activity Plan'!$S$7:$AW$7),0))=0,
"N/A",
INDEX('Activity Plan'!$S$34:$AW$99,
MATCH("*"&amp;TRIM($L64)&amp;"*",'Activity Plan'!$D$35:$D$100,0)+MATCH($M64,{"PLAN";"ACTUAL";"ACHIVE"},0)-1,
MATCH($N64,DAY('Activity Plan'!$S$7:$AW$7),0)))</f>
        <v>#N/A</v>
      </c>
      <c r="Q64" t="s">
        <v>138</v>
      </c>
      <c r="R64" t="s">
        <v>21</v>
      </c>
      <c r="S64">
        <v>31</v>
      </c>
      <c r="T64" s="71" t="e" cm="1">
        <f t="array" ref="T64">IF(INDEX('Activity Plan'!$S$34:$AW$99,
MATCH("*"&amp;TRIM($Q64)&amp;"*",'Activity Plan'!$D$35:$D$100,0)+MATCH($R64,{"PLAN";"ACTUAL";"ACHIVE"},0)-1,
MATCH($S64,DAY('Activity Plan'!$S$7:$AW$7),0))=0,
"N/A",
INDEX('Activity Plan'!$S$34:$AW$99,
MATCH("*"&amp;TRIM($Q64)&amp;"*",'Activity Plan'!$D$35:$D$100,0)+MATCH($R64,{"PLAN";"ACTUAL";"ACHIVE"},0)-1,
MATCH($S64,DAY('Activity Plan'!$S$7:$AW$7),0)))</f>
        <v>#N/A</v>
      </c>
      <c r="U64" s="71"/>
      <c r="V64" t="s">
        <v>18</v>
      </c>
      <c r="W64" t="s">
        <v>39</v>
      </c>
      <c r="X64" s="70">
        <v>30</v>
      </c>
      <c r="Y64" s="69" cm="1">
        <f t="array" ref="Y64">IF(INDEX('Activity Plan'!$S$34:$AW$99,
MATCH("*"&amp;TRIM($V64)&amp;"*",'Activity Plan'!$D$35:$D$100,0)+MATCH($W64,{"PLAN";"ACTUAL";"ACHIVE"},0)-1,
MATCH($X64,DAY('Activity Plan'!$S$7:$AW$7),0))=0,
"N/A",
INDEX('Activity Plan'!$S$34:$AW$99,
MATCH("*"&amp;TRIM($V64)&amp;"*",'Activity Plan'!$D$35:$D$100,0)+MATCH($W64,{"PLAN";"ACTUAL";"ACHIVE"},0)-1,
MATCH($X64,DAY('Activity Plan'!$S$7:$AW$7),0)))</f>
        <v>1</v>
      </c>
      <c r="AA64" t="s">
        <v>40</v>
      </c>
      <c r="AB64" t="s">
        <v>22</v>
      </c>
      <c r="AC64" s="70">
        <v>30</v>
      </c>
      <c r="AD64" s="77">
        <f>'Activity Plan'!CA33</f>
        <v>1</v>
      </c>
      <c r="CF64">
        <v>3</v>
      </c>
      <c r="CG64" t="s">
        <v>30</v>
      </c>
      <c r="CH64" t="s">
        <v>2</v>
      </c>
      <c r="CI64" t="s">
        <v>54</v>
      </c>
      <c r="CJ64" s="68">
        <v>0</v>
      </c>
      <c r="CL64" t="s">
        <v>150</v>
      </c>
      <c r="CM64" t="s">
        <v>19</v>
      </c>
      <c r="CN64" t="s">
        <v>21</v>
      </c>
      <c r="CO64">
        <v>31</v>
      </c>
      <c r="CP64" t="e" cm="1">
        <f t="array" ref="CP64">IF(INDEX('Activity Plan'!$S$34:$AW$99,
MATCH("*"&amp;TRIM($B64)&amp;"*",'Activity Plan'!$D$35:$D$100,0)+MATCH($C64,{"PLAN";"ACTUAL";"ACHIVE"},0)-1,
MATCH($D64,DAY('Activity Plan'!$S$7:$AW$7),0))=0,
"N/A",
INDEX('Activity Plan'!$S$34:$AW$99,
MATCH("*"&amp;TRIM($B64)&amp;"*",'Activity Plan'!$D$35:$D$100,0)+MATCH($C64,{"PLAN";"ACTUAL";"ACHIVE"},0)-1,
MATCH($D64,DAY('Activity Plan'!$S$7:$AW$7),0)))</f>
        <v>#N/A</v>
      </c>
      <c r="CU64">
        <f>'Activity Plan'!AW7</f>
        <v>46204</v>
      </c>
      <c r="CV64" t="s">
        <v>21</v>
      </c>
      <c r="CW64" s="194">
        <f>IFERROR(IF('Activity Plan'!AW33=0,"N/A",'Activity Plan'!AW33),"N/A")</f>
        <v>0.52666666666666562</v>
      </c>
    </row>
    <row r="65" spans="2:107" x14ac:dyDescent="0.35">
      <c r="B65" t="s">
        <v>19</v>
      </c>
      <c r="C65" t="s">
        <v>22</v>
      </c>
      <c r="D65">
        <v>31</v>
      </c>
      <c r="E65" t="e" cm="1">
        <f t="array" ref="E65">IF(INDEX('Activity Plan'!$S$34:$AW$99,
MATCH("*"&amp;TRIM($B65)&amp;"*",'Activity Plan'!$D$35:$D$100,0)+MATCH($C65,{"PLAN";"ACTUAL";"ACHIVE"},0)-1,
MATCH($D65,DAY('Activity Plan'!$S$7:$AW$7),0))=0,
"N/A",
INDEX('Activity Plan'!$S$34:$AW$99,
MATCH("*"&amp;TRIM($B65)&amp;"*",'Activity Plan'!$D$35:$D$100,0)+MATCH($C65,{"PLAN";"ACTUAL";"ACHIVE"},0)-1,
MATCH($D65,DAY('Activity Plan'!$S$7:$AW$7),0)))</f>
        <v>#N/A</v>
      </c>
      <c r="G65" t="s">
        <v>18</v>
      </c>
      <c r="H65" t="s">
        <v>22</v>
      </c>
      <c r="I65">
        <v>31</v>
      </c>
      <c r="J65" s="68" t="e" cm="1">
        <f t="array" ref="J65">IF(INDEX('Activity Plan'!$S$34:$AW$99,
MATCH("*"&amp;TRIM($G65)&amp;"*",'Activity Plan'!$D$35:$D$100,0)+MATCH($H65,{"PLAN";"ACTUAL";"ACHIVE"},0)-1,
MATCH($I65,DAY('Activity Plan'!$S$7:$AW$7),0))=0,
"N/A",
INDEX('Activity Plan'!$S$34:$AW$99,
MATCH("*"&amp;TRIM($G65)&amp;"*",'Activity Plan'!$D$35:$D$100,0)+MATCH($H65,{"PLAN";"ACTUAL";"ACHIVE"},0)-1,
MATCH($I65,DAY('Activity Plan'!$S$7:$AW$7),0)))</f>
        <v>#N/A</v>
      </c>
      <c r="L65" t="s">
        <v>20</v>
      </c>
      <c r="M65" t="s">
        <v>22</v>
      </c>
      <c r="N65">
        <v>31</v>
      </c>
      <c r="O65" s="71" t="e" cm="1">
        <f t="array" ref="O65">IF(INDEX('Activity Plan'!$S$34:$AW$99,
MATCH("*"&amp;TRIM($L65)&amp;"*",'Activity Plan'!$D$35:$D$100,0)+MATCH($M65,{"PLAN";"ACTUAL";"ACHIVE"},0)-1,
MATCH($N65,DAY('Activity Plan'!$S$7:$AW$7),0))=0,
"N/A",
INDEX('Activity Plan'!$S$34:$AW$99,
MATCH("*"&amp;TRIM($L65)&amp;"*",'Activity Plan'!$D$35:$D$100,0)+MATCH($M65,{"PLAN";"ACTUAL";"ACHIVE"},0)-1,
MATCH($N65,DAY('Activity Plan'!$S$7:$AW$7),0)))</f>
        <v>#N/A</v>
      </c>
      <c r="Q65" t="s">
        <v>138</v>
      </c>
      <c r="R65" t="s">
        <v>22</v>
      </c>
      <c r="S65">
        <v>31</v>
      </c>
      <c r="T65" s="71" t="e" cm="1">
        <f t="array" ref="T65">IF(INDEX('Activity Plan'!$S$34:$AW$99,
MATCH("*"&amp;TRIM($Q65)&amp;"*",'Activity Plan'!$D$35:$D$100,0)+MATCH($R65,{"PLAN";"ACTUAL";"ACHIVE"},0)-1,
MATCH($S65,DAY('Activity Plan'!$S$7:$AW$7),0))=0,
"N/A",
INDEX('Activity Plan'!$S$34:$AW$99,
MATCH("*"&amp;TRIM($Q65)&amp;"*",'Activity Plan'!$D$35:$D$100,0)+MATCH($R65,{"PLAN";"ACTUAL";"ACHIVE"},0)-1,
MATCH($S65,DAY('Activity Plan'!$S$7:$AW$7),0)))</f>
        <v>#N/A</v>
      </c>
      <c r="U65" s="71"/>
      <c r="V65" t="s">
        <v>18</v>
      </c>
      <c r="W65" t="s">
        <v>39</v>
      </c>
      <c r="X65" s="70">
        <v>31</v>
      </c>
      <c r="Y65" s="69" t="e" cm="1">
        <f t="array" ref="Y65">IF(INDEX('Activity Plan'!$S$34:$AW$99,
MATCH("*"&amp;TRIM($V65)&amp;"*",'Activity Plan'!$D$35:$D$100,0)+MATCH($W65,{"PLAN";"ACTUAL";"ACHIVE"},0)-1,
MATCH($X65,DAY('Activity Plan'!$S$7:$AW$7),0))=0,
"N/A",
INDEX('Activity Plan'!$S$34:$AW$99,
MATCH("*"&amp;TRIM($V65)&amp;"*",'Activity Plan'!$D$35:$D$100,0)+MATCH($W65,{"PLAN";"ACTUAL";"ACHIVE"},0)-1,
MATCH($X65,DAY('Activity Plan'!$S$7:$AW$7),0)))</f>
        <v>#N/A</v>
      </c>
      <c r="AA65" t="s">
        <v>40</v>
      </c>
      <c r="AB65" t="s">
        <v>22</v>
      </c>
      <c r="AC65" s="70">
        <v>31</v>
      </c>
      <c r="AD65" s="77">
        <f>'Activity Plan'!DF33</f>
        <v>0</v>
      </c>
      <c r="CF65">
        <v>3</v>
      </c>
      <c r="CG65" t="s">
        <v>30</v>
      </c>
      <c r="CH65" t="s">
        <v>2</v>
      </c>
      <c r="CI65" t="s">
        <v>55</v>
      </c>
      <c r="CJ65" s="68">
        <v>0</v>
      </c>
      <c r="CL65" t="s">
        <v>150</v>
      </c>
      <c r="CM65" t="s">
        <v>19</v>
      </c>
      <c r="CN65" t="s">
        <v>22</v>
      </c>
      <c r="CO65">
        <v>31</v>
      </c>
      <c r="CP65" t="e" cm="1">
        <f t="array" ref="CP65">IF(INDEX('Activity Plan'!$S$34:$AW$99,
MATCH("*"&amp;TRIM($B65)&amp;"*",'Activity Plan'!$D$35:$D$100,0)+MATCH($C65,{"PLAN";"ACTUAL";"ACHIVE"},0)-1,
MATCH($D65,DAY('Activity Plan'!$S$7:$AW$7),0))=0,
"N/A",
INDEX('Activity Plan'!$S$34:$AW$99,
MATCH("*"&amp;TRIM($B65)&amp;"*",'Activity Plan'!$D$35:$D$100,0)+MATCH($C65,{"PLAN";"ACTUAL";"ACHIVE"},0)-1,
MATCH($D65,DAY('Activity Plan'!$S$7:$AW$7),0)))</f>
        <v>#N/A</v>
      </c>
      <c r="CU65">
        <f>'Activity Plan'!AW7</f>
        <v>46204</v>
      </c>
      <c r="CV65" t="s">
        <v>22</v>
      </c>
      <c r="CW65" s="194" t="str">
        <f>IFERROR(IF('Activity Plan'!DF33=0,"N/A",'Activity Plan'!DF33),"N/A")</f>
        <v>N/A</v>
      </c>
    </row>
    <row r="66" spans="2:107" x14ac:dyDescent="0.35">
      <c r="U66" s="71"/>
      <c r="V66" t="s">
        <v>20</v>
      </c>
      <c r="W66" t="s">
        <v>39</v>
      </c>
      <c r="X66" s="70">
        <v>1</v>
      </c>
      <c r="Y66" s="69" cm="1">
        <f t="array" ref="Y66">IF(INDEX('Activity Plan'!$S$34:$AW$99,
MATCH("*"&amp;TRIM($V66)&amp;"*",'Activity Plan'!$D$35:$D$100,0)+MATCH($W66,{"PLAN";"ACTUAL";"ACHIVE"},0)-1,
MATCH($X66,DAY('Activity Plan'!$S$7:$AW$7),0))=0,
"N/A",
INDEX('Activity Plan'!$S$34:$AW$99,
MATCH("*"&amp;TRIM($V66)&amp;"*",'Activity Plan'!$D$35:$D$100,0)+MATCH($W66,{"PLAN";"ACTUAL";"ACHIVE"},0)-1,
MATCH($X66,DAY('Activity Plan'!$S$7:$AW$7),0)))</f>
        <v>1.1428571428571428</v>
      </c>
      <c r="CF66">
        <v>3</v>
      </c>
      <c r="CG66" t="s">
        <v>30</v>
      </c>
      <c r="CH66" t="s">
        <v>2</v>
      </c>
      <c r="CI66" t="s">
        <v>56</v>
      </c>
      <c r="CJ66" s="68">
        <v>1</v>
      </c>
      <c r="CL66" t="s">
        <v>150</v>
      </c>
      <c r="CM66" t="s">
        <v>18</v>
      </c>
      <c r="CN66" t="s">
        <v>21</v>
      </c>
      <c r="CO66">
        <v>1</v>
      </c>
      <c r="CP66" s="146">
        <f>J4</f>
        <v>0.9</v>
      </c>
      <c r="DC66" s="71"/>
    </row>
    <row r="67" spans="2:107" x14ac:dyDescent="0.35">
      <c r="V67" t="s">
        <v>20</v>
      </c>
      <c r="W67" t="s">
        <v>39</v>
      </c>
      <c r="X67" s="70">
        <v>2</v>
      </c>
      <c r="Y67" s="69" cm="1">
        <f t="array" ref="Y67">IF(INDEX('Activity Plan'!$S$34:$AW$99,
MATCH("*"&amp;TRIM($V67)&amp;"*",'Activity Plan'!$D$35:$D$100,0)+MATCH($W67,{"PLAN";"ACTUAL";"ACHIVE"},0)-1,
MATCH($X67,DAY('Activity Plan'!$S$7:$AW$7),0))=0,
"N/A",
INDEX('Activity Plan'!$S$34:$AW$99,
MATCH("*"&amp;TRIM($V67)&amp;"*",'Activity Plan'!$D$35:$D$100,0)+MATCH($W67,{"PLAN";"ACTUAL";"ACHIVE"},0)-1,
MATCH($X67,DAY('Activity Plan'!$S$7:$AW$7),0)))</f>
        <v>0.8571428571428571</v>
      </c>
      <c r="CF67">
        <v>3</v>
      </c>
      <c r="CG67" t="s">
        <v>30</v>
      </c>
      <c r="CH67" t="s">
        <v>2</v>
      </c>
      <c r="CI67" t="s">
        <v>57</v>
      </c>
      <c r="CJ67" s="68">
        <v>1</v>
      </c>
      <c r="CL67" t="s">
        <v>150</v>
      </c>
      <c r="CM67" t="s">
        <v>18</v>
      </c>
      <c r="CN67" t="s">
        <v>22</v>
      </c>
      <c r="CO67">
        <v>1</v>
      </c>
      <c r="CP67" s="146">
        <f t="shared" ref="CP67:CP127" si="1">J5</f>
        <v>0.87</v>
      </c>
      <c r="DC67" s="71"/>
    </row>
    <row r="68" spans="2:107" x14ac:dyDescent="0.35">
      <c r="V68" t="s">
        <v>20</v>
      </c>
      <c r="W68" t="s">
        <v>39</v>
      </c>
      <c r="X68" s="70">
        <v>3</v>
      </c>
      <c r="Y68" s="69" cm="1">
        <f t="array" ref="Y68">IF(INDEX('Activity Plan'!$S$34:$AW$99,
MATCH("*"&amp;TRIM($V68)&amp;"*",'Activity Plan'!$D$35:$D$100,0)+MATCH($W68,{"PLAN";"ACTUAL";"ACHIVE"},0)-1,
MATCH($X68,DAY('Activity Plan'!$S$7:$AW$7),0))=0,
"N/A",
INDEX('Activity Plan'!$S$34:$AW$99,
MATCH("*"&amp;TRIM($V68)&amp;"*",'Activity Plan'!$D$35:$D$100,0)+MATCH($W68,{"PLAN";"ACTUAL";"ACHIVE"},0)-1,
MATCH($X68,DAY('Activity Plan'!$S$7:$AW$7),0)))</f>
        <v>0.7142857142857143</v>
      </c>
      <c r="CF68">
        <v>3</v>
      </c>
      <c r="CG68" t="s">
        <v>30</v>
      </c>
      <c r="CH68" t="s">
        <v>2</v>
      </c>
      <c r="CI68" t="s">
        <v>58</v>
      </c>
      <c r="CJ68" s="68">
        <v>1</v>
      </c>
      <c r="CL68" t="s">
        <v>150</v>
      </c>
      <c r="CM68" t="s">
        <v>18</v>
      </c>
      <c r="CN68" t="s">
        <v>21</v>
      </c>
      <c r="CO68">
        <v>2</v>
      </c>
      <c r="CP68" s="146">
        <f t="shared" si="1"/>
        <v>0.9</v>
      </c>
      <c r="DC68" s="71"/>
    </row>
    <row r="69" spans="2:107" x14ac:dyDescent="0.35">
      <c r="V69" t="s">
        <v>20</v>
      </c>
      <c r="W69" t="s">
        <v>39</v>
      </c>
      <c r="X69" s="70">
        <v>4</v>
      </c>
      <c r="Y69" s="69" cm="1">
        <f t="array" ref="Y69">IF(INDEX('Activity Plan'!$S$34:$AW$99,
MATCH("*"&amp;TRIM($V69)&amp;"*",'Activity Plan'!$D$35:$D$100,0)+MATCH($W69,{"PLAN";"ACTUAL";"ACHIVE"},0)-1,
MATCH($X69,DAY('Activity Plan'!$S$7:$AW$7),0))=0,
"N/A",
INDEX('Activity Plan'!$S$34:$AW$99,
MATCH("*"&amp;TRIM($V69)&amp;"*",'Activity Plan'!$D$35:$D$100,0)+MATCH($W69,{"PLAN";"ACTUAL";"ACHIVE"},0)-1,
MATCH($X69,DAY('Activity Plan'!$S$7:$AW$7),0)))</f>
        <v>1.0714285714285714</v>
      </c>
      <c r="CF69">
        <v>3</v>
      </c>
      <c r="CG69" t="s">
        <v>30</v>
      </c>
      <c r="CH69" t="s">
        <v>2</v>
      </c>
      <c r="CI69" t="s">
        <v>59</v>
      </c>
      <c r="CJ69" s="68">
        <v>1</v>
      </c>
      <c r="CL69" t="s">
        <v>150</v>
      </c>
      <c r="CM69" t="s">
        <v>18</v>
      </c>
      <c r="CN69" t="s">
        <v>22</v>
      </c>
      <c r="CO69">
        <v>2</v>
      </c>
      <c r="CP69" s="146">
        <f t="shared" si="1"/>
        <v>0.8</v>
      </c>
      <c r="DC69" s="71"/>
    </row>
    <row r="70" spans="2:107" x14ac:dyDescent="0.35">
      <c r="V70" t="s">
        <v>20</v>
      </c>
      <c r="W70" t="s">
        <v>39</v>
      </c>
      <c r="X70" s="70">
        <v>5</v>
      </c>
      <c r="Y70" s="69" cm="1">
        <f t="array" ref="Y70">IF(INDEX('Activity Plan'!$S$34:$AW$99,
MATCH("*"&amp;TRIM($V70)&amp;"*",'Activity Plan'!$D$35:$D$100,0)+MATCH($W70,{"PLAN";"ACTUAL";"ACHIVE"},0)-1,
MATCH($X70,DAY('Activity Plan'!$S$7:$AW$7),0))=0,
"N/A",
INDEX('Activity Plan'!$S$34:$AW$99,
MATCH("*"&amp;TRIM($V70)&amp;"*",'Activity Plan'!$D$35:$D$100,0)+MATCH($W70,{"PLAN";"ACTUAL";"ACHIVE"},0)-1,
MATCH($X70,DAY('Activity Plan'!$S$7:$AW$7),0)))</f>
        <v>1.1857142857142857</v>
      </c>
      <c r="CF70">
        <v>3</v>
      </c>
      <c r="CG70" t="s">
        <v>30</v>
      </c>
      <c r="CH70" t="s">
        <v>2</v>
      </c>
      <c r="CI70" t="s">
        <v>60</v>
      </c>
      <c r="CJ70" s="68">
        <v>1</v>
      </c>
      <c r="CL70" t="s">
        <v>150</v>
      </c>
      <c r="CM70" t="s">
        <v>18</v>
      </c>
      <c r="CN70" t="s">
        <v>21</v>
      </c>
      <c r="CO70">
        <v>3</v>
      </c>
      <c r="CP70" s="146">
        <f t="shared" si="1"/>
        <v>0.9</v>
      </c>
      <c r="DC70" s="71"/>
    </row>
    <row r="71" spans="2:107" x14ac:dyDescent="0.35">
      <c r="V71" t="s">
        <v>20</v>
      </c>
      <c r="W71" t="s">
        <v>39</v>
      </c>
      <c r="X71" s="70">
        <v>6</v>
      </c>
      <c r="Y71" s="69" cm="1">
        <f t="array" ref="Y71">IF(INDEX('Activity Plan'!$S$34:$AW$99,
MATCH("*"&amp;TRIM($V71)&amp;"*",'Activity Plan'!$D$35:$D$100,0)+MATCH($W71,{"PLAN";"ACTUAL";"ACHIVE"},0)-1,
MATCH($X71,DAY('Activity Plan'!$S$7:$AW$7),0))=0,
"N/A",
INDEX('Activity Plan'!$S$34:$AW$99,
MATCH("*"&amp;TRIM($V71)&amp;"*",'Activity Plan'!$D$35:$D$100,0)+MATCH($W71,{"PLAN";"ACTUAL";"ACHIVE"},0)-1,
MATCH($X71,DAY('Activity Plan'!$S$7:$AW$7),0)))</f>
        <v>0.9285714285714286</v>
      </c>
      <c r="CF71">
        <v>3</v>
      </c>
      <c r="CG71" t="s">
        <v>30</v>
      </c>
      <c r="CH71" t="s">
        <v>2</v>
      </c>
      <c r="CI71" t="s">
        <v>61</v>
      </c>
      <c r="CJ71" s="68">
        <v>1</v>
      </c>
      <c r="CL71" t="s">
        <v>150</v>
      </c>
      <c r="CM71" t="s">
        <v>18</v>
      </c>
      <c r="CN71" t="s">
        <v>22</v>
      </c>
      <c r="CO71">
        <v>3</v>
      </c>
      <c r="CP71" s="146">
        <f t="shared" si="1"/>
        <v>0.83</v>
      </c>
      <c r="DC71" s="71"/>
    </row>
    <row r="72" spans="2:107" x14ac:dyDescent="0.35">
      <c r="V72" t="s">
        <v>20</v>
      </c>
      <c r="W72" t="s">
        <v>39</v>
      </c>
      <c r="X72" s="70">
        <v>7</v>
      </c>
      <c r="Y72" s="69" cm="1">
        <f t="array" ref="Y72">IF(INDEX('Activity Plan'!$S$34:$AW$99,
MATCH("*"&amp;TRIM($V72)&amp;"*",'Activity Plan'!$D$35:$D$100,0)+MATCH($W72,{"PLAN";"ACTUAL";"ACHIVE"},0)-1,
MATCH($X72,DAY('Activity Plan'!$S$7:$AW$7),0))=0,
"N/A",
INDEX('Activity Plan'!$S$34:$AW$99,
MATCH("*"&amp;TRIM($V72)&amp;"*",'Activity Plan'!$D$35:$D$100,0)+MATCH($W72,{"PLAN";"ACTUAL";"ACHIVE"},0)-1,
MATCH($X72,DAY('Activity Plan'!$S$7:$AW$7),0)))</f>
        <v>1.0428571428571429</v>
      </c>
      <c r="CF72">
        <v>3</v>
      </c>
      <c r="CG72" t="s">
        <v>30</v>
      </c>
      <c r="CH72" t="s">
        <v>2</v>
      </c>
      <c r="CI72" t="s">
        <v>62</v>
      </c>
      <c r="CJ72" s="68">
        <v>1</v>
      </c>
      <c r="CL72" t="s">
        <v>150</v>
      </c>
      <c r="CM72" t="s">
        <v>18</v>
      </c>
      <c r="CN72" t="s">
        <v>21</v>
      </c>
      <c r="CO72">
        <v>4</v>
      </c>
      <c r="CP72" s="146">
        <f t="shared" si="1"/>
        <v>0.9</v>
      </c>
      <c r="DC72" s="71"/>
    </row>
    <row r="73" spans="2:107" x14ac:dyDescent="0.35">
      <c r="V73" t="s">
        <v>20</v>
      </c>
      <c r="W73" t="s">
        <v>39</v>
      </c>
      <c r="X73" s="70">
        <v>8</v>
      </c>
      <c r="Y73" s="69" cm="1">
        <f t="array" ref="Y73">IF(INDEX('Activity Plan'!$S$34:$AW$99,
MATCH("*"&amp;TRIM($V73)&amp;"*",'Activity Plan'!$D$35:$D$100,0)+MATCH($W73,{"PLAN";"ACTUAL";"ACHIVE"},0)-1,
MATCH($X73,DAY('Activity Plan'!$S$7:$AW$7),0))=0,
"N/A",
INDEX('Activity Plan'!$S$34:$AW$99,
MATCH("*"&amp;TRIM($V73)&amp;"*",'Activity Plan'!$D$35:$D$100,0)+MATCH($W73,{"PLAN";"ACTUAL";"ACHIVE"},0)-1,
MATCH($X73,DAY('Activity Plan'!$S$7:$AW$7),0)))</f>
        <v>1.1428571428571428</v>
      </c>
      <c r="CF73">
        <v>3</v>
      </c>
      <c r="CG73" t="s">
        <v>30</v>
      </c>
      <c r="CH73" t="s">
        <v>2</v>
      </c>
      <c r="CI73" t="s">
        <v>63</v>
      </c>
      <c r="CJ73" s="68">
        <v>1</v>
      </c>
      <c r="CL73" t="s">
        <v>150</v>
      </c>
      <c r="CM73" t="s">
        <v>18</v>
      </c>
      <c r="CN73" t="s">
        <v>22</v>
      </c>
      <c r="CO73">
        <v>4</v>
      </c>
      <c r="CP73" s="146">
        <f t="shared" si="1"/>
        <v>0.72</v>
      </c>
      <c r="DC73" s="71"/>
    </row>
    <row r="74" spans="2:107" x14ac:dyDescent="0.35">
      <c r="V74" t="s">
        <v>20</v>
      </c>
      <c r="W74" t="s">
        <v>39</v>
      </c>
      <c r="X74" s="70">
        <v>9</v>
      </c>
      <c r="Y74" s="69" cm="1">
        <f t="array" ref="Y74">IF(INDEX('Activity Plan'!$S$34:$AW$99,
MATCH("*"&amp;TRIM($V74)&amp;"*",'Activity Plan'!$D$35:$D$100,0)+MATCH($W74,{"PLAN";"ACTUAL";"ACHIVE"},0)-1,
MATCH($X74,DAY('Activity Plan'!$S$7:$AW$7),0))=0,
"N/A",
INDEX('Activity Plan'!$S$34:$AW$99,
MATCH("*"&amp;TRIM($V74)&amp;"*",'Activity Plan'!$D$35:$D$100,0)+MATCH($W74,{"PLAN";"ACTUAL";"ACHIVE"},0)-1,
MATCH($X74,DAY('Activity Plan'!$S$7:$AW$7),0)))</f>
        <v>0.8571428571428571</v>
      </c>
      <c r="CF74">
        <v>3</v>
      </c>
      <c r="CG74" t="s">
        <v>30</v>
      </c>
      <c r="CH74" t="s">
        <v>2</v>
      </c>
      <c r="CI74" t="s">
        <v>64</v>
      </c>
      <c r="CJ74" s="68">
        <v>1</v>
      </c>
      <c r="CL74" t="s">
        <v>150</v>
      </c>
      <c r="CM74" t="s">
        <v>18</v>
      </c>
      <c r="CN74" t="s">
        <v>21</v>
      </c>
      <c r="CO74">
        <v>5</v>
      </c>
      <c r="CP74" s="146">
        <f t="shared" si="1"/>
        <v>0.9</v>
      </c>
      <c r="DC74" s="71"/>
    </row>
    <row r="75" spans="2:107" x14ac:dyDescent="0.35">
      <c r="V75" t="s">
        <v>20</v>
      </c>
      <c r="W75" t="s">
        <v>39</v>
      </c>
      <c r="X75" s="70">
        <v>10</v>
      </c>
      <c r="Y75" s="69" cm="1">
        <f t="array" ref="Y75">IF(INDEX('Activity Plan'!$S$34:$AW$99,
MATCH("*"&amp;TRIM($V75)&amp;"*",'Activity Plan'!$D$35:$D$100,0)+MATCH($W75,{"PLAN";"ACTUAL";"ACHIVE"},0)-1,
MATCH($X75,DAY('Activity Plan'!$S$7:$AW$7),0))=0,
"N/A",
INDEX('Activity Plan'!$S$34:$AW$99,
MATCH("*"&amp;TRIM($V75)&amp;"*",'Activity Plan'!$D$35:$D$100,0)+MATCH($W75,{"PLAN";"ACTUAL";"ACHIVE"},0)-1,
MATCH($X75,DAY('Activity Plan'!$S$7:$AW$7),0)))</f>
        <v>0.7142857142857143</v>
      </c>
      <c r="CF75">
        <v>3</v>
      </c>
      <c r="CG75" t="s">
        <v>30</v>
      </c>
      <c r="CH75" t="s">
        <v>2</v>
      </c>
      <c r="CI75" t="s">
        <v>65</v>
      </c>
      <c r="CJ75" s="68">
        <v>1</v>
      </c>
      <c r="CL75" t="s">
        <v>150</v>
      </c>
      <c r="CM75" t="s">
        <v>18</v>
      </c>
      <c r="CN75" t="s">
        <v>22</v>
      </c>
      <c r="CO75">
        <v>5</v>
      </c>
      <c r="CP75" s="146">
        <f t="shared" si="1"/>
        <v>1</v>
      </c>
      <c r="DC75" s="71"/>
    </row>
    <row r="76" spans="2:107" x14ac:dyDescent="0.35">
      <c r="V76" t="s">
        <v>20</v>
      </c>
      <c r="W76" t="s">
        <v>39</v>
      </c>
      <c r="X76" s="70">
        <v>11</v>
      </c>
      <c r="Y76" s="69" cm="1">
        <f t="array" ref="Y76">IF(INDEX('Activity Plan'!$S$34:$AW$99,
MATCH("*"&amp;TRIM($V76)&amp;"*",'Activity Plan'!$D$35:$D$100,0)+MATCH($W76,{"PLAN";"ACTUAL";"ACHIVE"},0)-1,
MATCH($X76,DAY('Activity Plan'!$S$7:$AW$7),0))=0,
"N/A",
INDEX('Activity Plan'!$S$34:$AW$99,
MATCH("*"&amp;TRIM($V76)&amp;"*",'Activity Plan'!$D$35:$D$100,0)+MATCH($W76,{"PLAN";"ACTUAL";"ACHIVE"},0)-1,
MATCH($X76,DAY('Activity Plan'!$S$7:$AW$7),0)))</f>
        <v>1.0714285714285714</v>
      </c>
      <c r="CF76">
        <v>3</v>
      </c>
      <c r="CG76" t="s">
        <v>30</v>
      </c>
      <c r="CH76" t="s">
        <v>2</v>
      </c>
      <c r="CI76" t="s">
        <v>66</v>
      </c>
      <c r="CJ76" s="68">
        <v>1</v>
      </c>
      <c r="CL76" t="s">
        <v>150</v>
      </c>
      <c r="CM76" t="s">
        <v>18</v>
      </c>
      <c r="CN76" t="s">
        <v>21</v>
      </c>
      <c r="CO76">
        <v>6</v>
      </c>
      <c r="CP76" s="146">
        <f t="shared" si="1"/>
        <v>0.9</v>
      </c>
      <c r="DC76" s="71"/>
    </row>
    <row r="77" spans="2:107" x14ac:dyDescent="0.35">
      <c r="V77" t="s">
        <v>20</v>
      </c>
      <c r="W77" t="s">
        <v>39</v>
      </c>
      <c r="X77" s="70">
        <v>12</v>
      </c>
      <c r="Y77" s="69" cm="1">
        <f t="array" ref="Y77">IF(INDEX('Activity Plan'!$S$34:$AW$99,
MATCH("*"&amp;TRIM($V77)&amp;"*",'Activity Plan'!$D$35:$D$100,0)+MATCH($W77,{"PLAN";"ACTUAL";"ACHIVE"},0)-1,
MATCH($X77,DAY('Activity Plan'!$S$7:$AW$7),0))=0,
"N/A",
INDEX('Activity Plan'!$S$34:$AW$99,
MATCH("*"&amp;TRIM($V77)&amp;"*",'Activity Plan'!$D$35:$D$100,0)+MATCH($W77,{"PLAN";"ACTUAL";"ACHIVE"},0)-1,
MATCH($X77,DAY('Activity Plan'!$S$7:$AW$7),0)))</f>
        <v>1.1857142857142857</v>
      </c>
      <c r="CF77">
        <v>3</v>
      </c>
      <c r="CG77" t="s">
        <v>30</v>
      </c>
      <c r="CH77" t="s">
        <v>2</v>
      </c>
      <c r="CI77" t="s">
        <v>67</v>
      </c>
      <c r="CJ77" s="68">
        <v>1</v>
      </c>
      <c r="CL77" t="s">
        <v>150</v>
      </c>
      <c r="CM77" t="s">
        <v>18</v>
      </c>
      <c r="CN77" t="s">
        <v>22</v>
      </c>
      <c r="CO77">
        <v>6</v>
      </c>
      <c r="CP77" s="146">
        <f t="shared" si="1"/>
        <v>0.9</v>
      </c>
      <c r="DC77" s="71"/>
    </row>
    <row r="78" spans="2:107" x14ac:dyDescent="0.35">
      <c r="V78" t="s">
        <v>20</v>
      </c>
      <c r="W78" t="s">
        <v>39</v>
      </c>
      <c r="X78" s="70">
        <v>13</v>
      </c>
      <c r="Y78" s="69" cm="1">
        <f t="array" ref="Y78">IF(INDEX('Activity Plan'!$S$34:$AW$99,
MATCH("*"&amp;TRIM($V78)&amp;"*",'Activity Plan'!$D$35:$D$100,0)+MATCH($W78,{"PLAN";"ACTUAL";"ACHIVE"},0)-1,
MATCH($X78,DAY('Activity Plan'!$S$7:$AW$7),0))=0,
"N/A",
INDEX('Activity Plan'!$S$34:$AW$99,
MATCH("*"&amp;TRIM($V78)&amp;"*",'Activity Plan'!$D$35:$D$100,0)+MATCH($W78,{"PLAN";"ACTUAL";"ACHIVE"},0)-1,
MATCH($X78,DAY('Activity Plan'!$S$7:$AW$7),0)))</f>
        <v>0.9285714285714286</v>
      </c>
      <c r="CF78">
        <v>3</v>
      </c>
      <c r="CG78" t="s">
        <v>30</v>
      </c>
      <c r="CH78" t="s">
        <v>2</v>
      </c>
      <c r="CI78" t="s">
        <v>68</v>
      </c>
      <c r="CJ78" s="68">
        <v>1</v>
      </c>
      <c r="CL78" t="s">
        <v>150</v>
      </c>
      <c r="CM78" t="s">
        <v>18</v>
      </c>
      <c r="CN78" t="s">
        <v>21</v>
      </c>
      <c r="CO78">
        <v>7</v>
      </c>
      <c r="CP78" s="146">
        <f t="shared" si="1"/>
        <v>0.9</v>
      </c>
      <c r="DC78" s="71"/>
    </row>
    <row r="79" spans="2:107" x14ac:dyDescent="0.35">
      <c r="V79" t="s">
        <v>20</v>
      </c>
      <c r="W79" t="s">
        <v>39</v>
      </c>
      <c r="X79" s="70">
        <v>14</v>
      </c>
      <c r="Y79" s="69" cm="1">
        <f t="array" ref="Y79">IF(INDEX('Activity Plan'!$S$34:$AW$99,
MATCH("*"&amp;TRIM($V79)&amp;"*",'Activity Plan'!$D$35:$D$100,0)+MATCH($W79,{"PLAN";"ACTUAL";"ACHIVE"},0)-1,
MATCH($X79,DAY('Activity Plan'!$S$7:$AW$7),0))=0,
"N/A",
INDEX('Activity Plan'!$S$34:$AW$99,
MATCH("*"&amp;TRIM($V79)&amp;"*",'Activity Plan'!$D$35:$D$100,0)+MATCH($W79,{"PLAN";"ACTUAL";"ACHIVE"},0)-1,
MATCH($X79,DAY('Activity Plan'!$S$7:$AW$7),0)))</f>
        <v>1.0428571428571429</v>
      </c>
      <c r="CF79">
        <v>3</v>
      </c>
      <c r="CG79" t="s">
        <v>30</v>
      </c>
      <c r="CH79" t="s">
        <v>2</v>
      </c>
      <c r="CI79" t="s">
        <v>69</v>
      </c>
      <c r="CJ79" s="68">
        <v>1</v>
      </c>
      <c r="CL79" t="s">
        <v>150</v>
      </c>
      <c r="CM79" t="s">
        <v>18</v>
      </c>
      <c r="CN79" t="s">
        <v>22</v>
      </c>
      <c r="CO79">
        <v>7</v>
      </c>
      <c r="CP79" s="146">
        <f t="shared" si="1"/>
        <v>0.98</v>
      </c>
      <c r="DC79" s="71"/>
    </row>
    <row r="80" spans="2:107" x14ac:dyDescent="0.35">
      <c r="V80" t="s">
        <v>20</v>
      </c>
      <c r="W80" t="s">
        <v>39</v>
      </c>
      <c r="X80" s="70">
        <v>15</v>
      </c>
      <c r="Y80" s="69" cm="1">
        <f t="array" ref="Y80">IF(INDEX('Activity Plan'!$S$34:$AW$99,
MATCH("*"&amp;TRIM($V80)&amp;"*",'Activity Plan'!$D$35:$D$100,0)+MATCH($W80,{"PLAN";"ACTUAL";"ACHIVE"},0)-1,
MATCH($X80,DAY('Activity Plan'!$S$7:$AW$7),0))=0,
"N/A",
INDEX('Activity Plan'!$S$34:$AW$99,
MATCH("*"&amp;TRIM($V80)&amp;"*",'Activity Plan'!$D$35:$D$100,0)+MATCH($W80,{"PLAN";"ACTUAL";"ACHIVE"},0)-1,
MATCH($X80,DAY('Activity Plan'!$S$7:$AW$7),0)))</f>
        <v>1.1428571428571428</v>
      </c>
      <c r="CF80">
        <v>3</v>
      </c>
      <c r="CG80" t="s">
        <v>30</v>
      </c>
      <c r="CH80" t="s">
        <v>2</v>
      </c>
      <c r="CI80" t="s">
        <v>70</v>
      </c>
      <c r="CJ80" s="68">
        <v>1</v>
      </c>
      <c r="CL80" t="s">
        <v>150</v>
      </c>
      <c r="CM80" t="s">
        <v>18</v>
      </c>
      <c r="CN80" t="s">
        <v>21</v>
      </c>
      <c r="CO80">
        <v>8</v>
      </c>
      <c r="CP80" s="146">
        <f t="shared" si="1"/>
        <v>0.9</v>
      </c>
      <c r="DC80" s="71"/>
    </row>
    <row r="81" spans="22:107" x14ac:dyDescent="0.35">
      <c r="V81" t="s">
        <v>20</v>
      </c>
      <c r="W81" t="s">
        <v>39</v>
      </c>
      <c r="X81" s="70">
        <v>16</v>
      </c>
      <c r="Y81" s="69" cm="1">
        <f t="array" ref="Y81">IF(INDEX('Activity Plan'!$S$34:$AW$99,
MATCH("*"&amp;TRIM($V81)&amp;"*",'Activity Plan'!$D$35:$D$100,0)+MATCH($W81,{"PLAN";"ACTUAL";"ACHIVE"},0)-1,
MATCH($X81,DAY('Activity Plan'!$S$7:$AW$7),0))=0,
"N/A",
INDEX('Activity Plan'!$S$34:$AW$99,
MATCH("*"&amp;TRIM($V81)&amp;"*",'Activity Plan'!$D$35:$D$100,0)+MATCH($W81,{"PLAN";"ACTUAL";"ACHIVE"},0)-1,
MATCH($X81,DAY('Activity Plan'!$S$7:$AW$7),0)))</f>
        <v>0.8571428571428571</v>
      </c>
      <c r="CF81">
        <v>3</v>
      </c>
      <c r="CG81" t="s">
        <v>30</v>
      </c>
      <c r="CH81" t="s">
        <v>2</v>
      </c>
      <c r="CI81" t="s">
        <v>71</v>
      </c>
      <c r="CJ81" s="68">
        <v>1</v>
      </c>
      <c r="CL81" t="s">
        <v>150</v>
      </c>
      <c r="CM81" t="s">
        <v>18</v>
      </c>
      <c r="CN81" t="s">
        <v>22</v>
      </c>
      <c r="CO81">
        <v>8</v>
      </c>
      <c r="CP81" s="146">
        <f t="shared" si="1"/>
        <v>0.93</v>
      </c>
      <c r="DC81" s="71"/>
    </row>
    <row r="82" spans="22:107" x14ac:dyDescent="0.35">
      <c r="V82" t="s">
        <v>20</v>
      </c>
      <c r="W82" t="s">
        <v>39</v>
      </c>
      <c r="X82" s="70">
        <v>17</v>
      </c>
      <c r="Y82" s="69" cm="1">
        <f t="array" ref="Y82">IF(INDEX('Activity Plan'!$S$34:$AW$99,
MATCH("*"&amp;TRIM($V82)&amp;"*",'Activity Plan'!$D$35:$D$100,0)+MATCH($W82,{"PLAN";"ACTUAL";"ACHIVE"},0)-1,
MATCH($X82,DAY('Activity Plan'!$S$7:$AW$7),0))=0,
"N/A",
INDEX('Activity Plan'!$S$34:$AW$99,
MATCH("*"&amp;TRIM($V82)&amp;"*",'Activity Plan'!$D$35:$D$100,0)+MATCH($W82,{"PLAN";"ACTUAL";"ACHIVE"},0)-1,
MATCH($X82,DAY('Activity Plan'!$S$7:$AW$7),0)))</f>
        <v>0.7142857142857143</v>
      </c>
      <c r="CF82">
        <v>3</v>
      </c>
      <c r="CG82" t="s">
        <v>30</v>
      </c>
      <c r="CH82" t="s">
        <v>2</v>
      </c>
      <c r="CI82" t="s">
        <v>72</v>
      </c>
      <c r="CJ82" s="68">
        <v>1</v>
      </c>
      <c r="CL82" t="s">
        <v>150</v>
      </c>
      <c r="CM82" t="s">
        <v>18</v>
      </c>
      <c r="CN82" t="s">
        <v>21</v>
      </c>
      <c r="CO82">
        <v>9</v>
      </c>
      <c r="CP82" s="146">
        <f t="shared" si="1"/>
        <v>0.9</v>
      </c>
      <c r="DC82" s="71"/>
    </row>
    <row r="83" spans="22:107" x14ac:dyDescent="0.35">
      <c r="V83" t="s">
        <v>20</v>
      </c>
      <c r="W83" t="s">
        <v>39</v>
      </c>
      <c r="X83" s="70">
        <v>18</v>
      </c>
      <c r="Y83" s="69" cm="1">
        <f t="array" ref="Y83">IF(INDEX('Activity Plan'!$S$34:$AW$99,
MATCH("*"&amp;TRIM($V83)&amp;"*",'Activity Plan'!$D$35:$D$100,0)+MATCH($W83,{"PLAN";"ACTUAL";"ACHIVE"},0)-1,
MATCH($X83,DAY('Activity Plan'!$S$7:$AW$7),0))=0,
"N/A",
INDEX('Activity Plan'!$S$34:$AW$99,
MATCH("*"&amp;TRIM($V83)&amp;"*",'Activity Plan'!$D$35:$D$100,0)+MATCH($W83,{"PLAN";"ACTUAL";"ACHIVE"},0)-1,
MATCH($X83,DAY('Activity Plan'!$S$7:$AW$7),0)))</f>
        <v>1.0714285714285714</v>
      </c>
      <c r="CF83">
        <v>3</v>
      </c>
      <c r="CG83" t="s">
        <v>30</v>
      </c>
      <c r="CH83" t="s">
        <v>2</v>
      </c>
      <c r="CI83" t="s">
        <v>73</v>
      </c>
      <c r="CJ83" s="68">
        <v>1</v>
      </c>
      <c r="CL83" t="s">
        <v>150</v>
      </c>
      <c r="CM83" t="s">
        <v>18</v>
      </c>
      <c r="CN83" t="s">
        <v>22</v>
      </c>
      <c r="CO83">
        <v>9</v>
      </c>
      <c r="CP83" s="146">
        <f t="shared" si="1"/>
        <v>0.87</v>
      </c>
      <c r="DC83" s="71"/>
    </row>
    <row r="84" spans="22:107" x14ac:dyDescent="0.35">
      <c r="V84" t="s">
        <v>20</v>
      </c>
      <c r="W84" t="s">
        <v>39</v>
      </c>
      <c r="X84" s="70">
        <v>19</v>
      </c>
      <c r="Y84" s="69" cm="1">
        <f t="array" ref="Y84">IF(INDEX('Activity Plan'!$S$34:$AW$99,
MATCH("*"&amp;TRIM($V84)&amp;"*",'Activity Plan'!$D$35:$D$100,0)+MATCH($W84,{"PLAN";"ACTUAL";"ACHIVE"},0)-1,
MATCH($X84,DAY('Activity Plan'!$S$7:$AW$7),0))=0,
"N/A",
INDEX('Activity Plan'!$S$34:$AW$99,
MATCH("*"&amp;TRIM($V84)&amp;"*",'Activity Plan'!$D$35:$D$100,0)+MATCH($W84,{"PLAN";"ACTUAL";"ACHIVE"},0)-1,
MATCH($X84,DAY('Activity Plan'!$S$7:$AW$7),0)))</f>
        <v>1.1857142857142857</v>
      </c>
      <c r="CF84">
        <v>3</v>
      </c>
      <c r="CG84" t="s">
        <v>30</v>
      </c>
      <c r="CH84" t="s">
        <v>2</v>
      </c>
      <c r="CI84" t="s">
        <v>74</v>
      </c>
      <c r="CJ84" s="68">
        <v>1</v>
      </c>
      <c r="CL84" t="s">
        <v>150</v>
      </c>
      <c r="CM84" t="s">
        <v>18</v>
      </c>
      <c r="CN84" t="s">
        <v>21</v>
      </c>
      <c r="CO84">
        <v>10</v>
      </c>
      <c r="CP84" s="146">
        <f t="shared" si="1"/>
        <v>0.9</v>
      </c>
      <c r="DC84" s="71"/>
    </row>
    <row r="85" spans="22:107" x14ac:dyDescent="0.35">
      <c r="V85" t="s">
        <v>20</v>
      </c>
      <c r="W85" t="s">
        <v>39</v>
      </c>
      <c r="X85" s="70">
        <v>20</v>
      </c>
      <c r="Y85" s="69" cm="1">
        <f t="array" ref="Y85">IF(INDEX('Activity Plan'!$S$34:$AW$99,
MATCH("*"&amp;TRIM($V85)&amp;"*",'Activity Plan'!$D$35:$D$100,0)+MATCH($W85,{"PLAN";"ACTUAL";"ACHIVE"},0)-1,
MATCH($X85,DAY('Activity Plan'!$S$7:$AW$7),0))=0,
"N/A",
INDEX('Activity Plan'!$S$34:$AW$99,
MATCH("*"&amp;TRIM($V85)&amp;"*",'Activity Plan'!$D$35:$D$100,0)+MATCH($W85,{"PLAN";"ACTUAL";"ACHIVE"},0)-1,
MATCH($X85,DAY('Activity Plan'!$S$7:$AW$7),0)))</f>
        <v>0.9285714285714286</v>
      </c>
      <c r="CF85">
        <v>3</v>
      </c>
      <c r="CG85" t="s">
        <v>30</v>
      </c>
      <c r="CH85" t="s">
        <v>2</v>
      </c>
      <c r="CI85" t="s">
        <v>75</v>
      </c>
      <c r="CJ85" s="68">
        <v>1</v>
      </c>
      <c r="CL85" t="s">
        <v>150</v>
      </c>
      <c r="CM85" t="s">
        <v>18</v>
      </c>
      <c r="CN85" t="s">
        <v>22</v>
      </c>
      <c r="CO85">
        <v>10</v>
      </c>
      <c r="CP85" s="146">
        <f t="shared" si="1"/>
        <v>0.8</v>
      </c>
      <c r="DC85" s="71"/>
    </row>
    <row r="86" spans="22:107" x14ac:dyDescent="0.35">
      <c r="V86" t="s">
        <v>20</v>
      </c>
      <c r="W86" t="s">
        <v>39</v>
      </c>
      <c r="X86" s="70">
        <v>21</v>
      </c>
      <c r="Y86" s="69" cm="1">
        <f t="array" ref="Y86">IF(INDEX('Activity Plan'!$S$34:$AW$99,
MATCH("*"&amp;TRIM($V86)&amp;"*",'Activity Plan'!$D$35:$D$100,0)+MATCH($W86,{"PLAN";"ACTUAL";"ACHIVE"},0)-1,
MATCH($X86,DAY('Activity Plan'!$S$7:$AW$7),0))=0,
"N/A",
INDEX('Activity Plan'!$S$34:$AW$99,
MATCH("*"&amp;TRIM($V86)&amp;"*",'Activity Plan'!$D$35:$D$100,0)+MATCH($W86,{"PLAN";"ACTUAL";"ACHIVE"},0)-1,
MATCH($X86,DAY('Activity Plan'!$S$7:$AW$7),0)))</f>
        <v>1.0428571428571429</v>
      </c>
      <c r="CF86">
        <v>3</v>
      </c>
      <c r="CG86" t="s">
        <v>30</v>
      </c>
      <c r="CH86" t="s">
        <v>2</v>
      </c>
      <c r="CI86" t="s">
        <v>76</v>
      </c>
      <c r="CJ86" s="68">
        <v>1</v>
      </c>
      <c r="CL86" t="s">
        <v>150</v>
      </c>
      <c r="CM86" t="s">
        <v>18</v>
      </c>
      <c r="CN86" t="s">
        <v>21</v>
      </c>
      <c r="CO86">
        <v>11</v>
      </c>
      <c r="CP86" s="146">
        <f t="shared" si="1"/>
        <v>0.9</v>
      </c>
      <c r="DC86" s="71"/>
    </row>
    <row r="87" spans="22:107" x14ac:dyDescent="0.35">
      <c r="V87" t="s">
        <v>20</v>
      </c>
      <c r="W87" t="s">
        <v>39</v>
      </c>
      <c r="X87" s="70">
        <v>22</v>
      </c>
      <c r="Y87" s="69" cm="1">
        <f t="array" ref="Y87">IF(INDEX('Activity Plan'!$S$34:$AW$99,
MATCH("*"&amp;TRIM($V87)&amp;"*",'Activity Plan'!$D$35:$D$100,0)+MATCH($W87,{"PLAN";"ACTUAL";"ACHIVE"},0)-1,
MATCH($X87,DAY('Activity Plan'!$S$7:$AW$7),0))=0,
"N/A",
INDEX('Activity Plan'!$S$34:$AW$99,
MATCH("*"&amp;TRIM($V87)&amp;"*",'Activity Plan'!$D$35:$D$100,0)+MATCH($W87,{"PLAN";"ACTUAL";"ACHIVE"},0)-1,
MATCH($X87,DAY('Activity Plan'!$S$7:$AW$7),0)))</f>
        <v>1.1428571428571428</v>
      </c>
      <c r="CF87">
        <v>3</v>
      </c>
      <c r="CG87" t="s">
        <v>30</v>
      </c>
      <c r="CH87" t="s">
        <v>2</v>
      </c>
      <c r="CI87" t="s">
        <v>77</v>
      </c>
      <c r="CJ87" s="68">
        <v>1</v>
      </c>
      <c r="CL87" t="s">
        <v>150</v>
      </c>
      <c r="CM87" t="s">
        <v>18</v>
      </c>
      <c r="CN87" t="s">
        <v>22</v>
      </c>
      <c r="CO87">
        <v>11</v>
      </c>
      <c r="CP87" s="146">
        <f t="shared" si="1"/>
        <v>0.83</v>
      </c>
      <c r="DC87" s="71"/>
    </row>
    <row r="88" spans="22:107" x14ac:dyDescent="0.35">
      <c r="V88" t="s">
        <v>20</v>
      </c>
      <c r="W88" t="s">
        <v>39</v>
      </c>
      <c r="X88" s="70">
        <v>23</v>
      </c>
      <c r="Y88" s="69" cm="1">
        <f t="array" ref="Y88">IF(INDEX('Activity Plan'!$S$34:$AW$99,
MATCH("*"&amp;TRIM($V88)&amp;"*",'Activity Plan'!$D$35:$D$100,0)+MATCH($W88,{"PLAN";"ACTUAL";"ACHIVE"},0)-1,
MATCH($X88,DAY('Activity Plan'!$S$7:$AW$7),0))=0,
"N/A",
INDEX('Activity Plan'!$S$34:$AW$99,
MATCH("*"&amp;TRIM($V88)&amp;"*",'Activity Plan'!$D$35:$D$100,0)+MATCH($W88,{"PLAN";"ACTUAL";"ACHIVE"},0)-1,
MATCH($X88,DAY('Activity Plan'!$S$7:$AW$7),0)))</f>
        <v>0.8571428571428571</v>
      </c>
      <c r="CF88">
        <v>3</v>
      </c>
      <c r="CG88" t="s">
        <v>30</v>
      </c>
      <c r="CH88" t="s">
        <v>2</v>
      </c>
      <c r="CI88" t="s">
        <v>78</v>
      </c>
      <c r="CJ88" s="68">
        <v>1</v>
      </c>
      <c r="CL88" t="s">
        <v>150</v>
      </c>
      <c r="CM88" t="s">
        <v>18</v>
      </c>
      <c r="CN88" t="s">
        <v>21</v>
      </c>
      <c r="CO88">
        <v>12</v>
      </c>
      <c r="CP88" s="146">
        <f t="shared" si="1"/>
        <v>0.9</v>
      </c>
      <c r="DC88" s="71"/>
    </row>
    <row r="89" spans="22:107" x14ac:dyDescent="0.35">
      <c r="V89" t="s">
        <v>20</v>
      </c>
      <c r="W89" t="s">
        <v>39</v>
      </c>
      <c r="X89" s="70">
        <v>24</v>
      </c>
      <c r="Y89" s="69" cm="1">
        <f t="array" ref="Y89">IF(INDEX('Activity Plan'!$S$34:$AW$99,
MATCH("*"&amp;TRIM($V89)&amp;"*",'Activity Plan'!$D$35:$D$100,0)+MATCH($W89,{"PLAN";"ACTUAL";"ACHIVE"},0)-1,
MATCH($X89,DAY('Activity Plan'!$S$7:$AW$7),0))=0,
"N/A",
INDEX('Activity Plan'!$S$34:$AW$99,
MATCH("*"&amp;TRIM($V89)&amp;"*",'Activity Plan'!$D$35:$D$100,0)+MATCH($W89,{"PLAN";"ACTUAL";"ACHIVE"},0)-1,
MATCH($X89,DAY('Activity Plan'!$S$7:$AW$7),0)))</f>
        <v>0.7142857142857143</v>
      </c>
      <c r="CF89">
        <v>3</v>
      </c>
      <c r="CG89" t="s">
        <v>30</v>
      </c>
      <c r="CH89" t="s">
        <v>2</v>
      </c>
      <c r="CI89" t="s">
        <v>79</v>
      </c>
      <c r="CJ89" s="68">
        <v>1</v>
      </c>
      <c r="CL89" t="s">
        <v>150</v>
      </c>
      <c r="CM89" t="s">
        <v>18</v>
      </c>
      <c r="CN89" t="s">
        <v>22</v>
      </c>
      <c r="CO89">
        <v>12</v>
      </c>
      <c r="CP89" s="146">
        <f t="shared" si="1"/>
        <v>0.72</v>
      </c>
      <c r="DC89" s="71"/>
    </row>
    <row r="90" spans="22:107" x14ac:dyDescent="0.35">
      <c r="V90" t="s">
        <v>20</v>
      </c>
      <c r="W90" t="s">
        <v>39</v>
      </c>
      <c r="X90" s="70">
        <v>25</v>
      </c>
      <c r="Y90" s="69" cm="1">
        <f t="array" ref="Y90">IF(INDEX('Activity Plan'!$S$34:$AW$99,
MATCH("*"&amp;TRIM($V90)&amp;"*",'Activity Plan'!$D$35:$D$100,0)+MATCH($W90,{"PLAN";"ACTUAL";"ACHIVE"},0)-1,
MATCH($X90,DAY('Activity Plan'!$S$7:$AW$7),0))=0,
"N/A",
INDEX('Activity Plan'!$S$34:$AW$99,
MATCH("*"&amp;TRIM($V90)&amp;"*",'Activity Plan'!$D$35:$D$100,0)+MATCH($W90,{"PLAN";"ACTUAL";"ACHIVE"},0)-1,
MATCH($X90,DAY('Activity Plan'!$S$7:$AW$7),0)))</f>
        <v>1.0714285714285714</v>
      </c>
      <c r="CF90">
        <v>3</v>
      </c>
      <c r="CG90" t="s">
        <v>30</v>
      </c>
      <c r="CH90" t="s">
        <v>2</v>
      </c>
      <c r="CI90" t="s">
        <v>80</v>
      </c>
      <c r="CJ90" s="68">
        <v>1</v>
      </c>
      <c r="CL90" t="s">
        <v>150</v>
      </c>
      <c r="CM90" t="s">
        <v>18</v>
      </c>
      <c r="CN90" t="s">
        <v>21</v>
      </c>
      <c r="CO90">
        <v>13</v>
      </c>
      <c r="CP90" s="146">
        <f t="shared" si="1"/>
        <v>0.9</v>
      </c>
      <c r="DC90" s="71"/>
    </row>
    <row r="91" spans="22:107" x14ac:dyDescent="0.35">
      <c r="V91" t="s">
        <v>20</v>
      </c>
      <c r="W91" t="s">
        <v>39</v>
      </c>
      <c r="X91" s="70">
        <v>26</v>
      </c>
      <c r="Y91" s="69" cm="1">
        <f t="array" ref="Y91">IF(INDEX('Activity Plan'!$S$34:$AW$99,
MATCH("*"&amp;TRIM($V91)&amp;"*",'Activity Plan'!$D$35:$D$100,0)+MATCH($W91,{"PLAN";"ACTUAL";"ACHIVE"},0)-1,
MATCH($X91,DAY('Activity Plan'!$S$7:$AW$7),0))=0,
"N/A",
INDEX('Activity Plan'!$S$34:$AW$99,
MATCH("*"&amp;TRIM($V91)&amp;"*",'Activity Plan'!$D$35:$D$100,0)+MATCH($W91,{"PLAN";"ACTUAL";"ACHIVE"},0)-1,
MATCH($X91,DAY('Activity Plan'!$S$7:$AW$7),0)))</f>
        <v>1.1857142857142857</v>
      </c>
      <c r="CF91">
        <v>4</v>
      </c>
      <c r="CG91" t="s">
        <v>30</v>
      </c>
      <c r="CH91" t="s">
        <v>2</v>
      </c>
      <c r="CI91" t="s">
        <v>50</v>
      </c>
      <c r="CJ91" s="68">
        <v>1</v>
      </c>
      <c r="CL91" t="s">
        <v>150</v>
      </c>
      <c r="CM91" t="s">
        <v>18</v>
      </c>
      <c r="CN91" t="s">
        <v>22</v>
      </c>
      <c r="CO91">
        <v>13</v>
      </c>
      <c r="CP91" s="146">
        <f t="shared" si="1"/>
        <v>1</v>
      </c>
      <c r="DC91" s="71"/>
    </row>
    <row r="92" spans="22:107" x14ac:dyDescent="0.35">
      <c r="V92" t="s">
        <v>20</v>
      </c>
      <c r="W92" t="s">
        <v>39</v>
      </c>
      <c r="X92" s="70">
        <v>27</v>
      </c>
      <c r="Y92" s="69" cm="1">
        <f t="array" ref="Y92">IF(INDEX('Activity Plan'!$S$34:$AW$99,
MATCH("*"&amp;TRIM($V92)&amp;"*",'Activity Plan'!$D$35:$D$100,0)+MATCH($W92,{"PLAN";"ACTUAL";"ACHIVE"},0)-1,
MATCH($X92,DAY('Activity Plan'!$S$7:$AW$7),0))=0,
"N/A",
INDEX('Activity Plan'!$S$34:$AW$99,
MATCH("*"&amp;TRIM($V92)&amp;"*",'Activity Plan'!$D$35:$D$100,0)+MATCH($W92,{"PLAN";"ACTUAL";"ACHIVE"},0)-1,
MATCH($X92,DAY('Activity Plan'!$S$7:$AW$7),0)))</f>
        <v>0.9285714285714286</v>
      </c>
      <c r="CF92">
        <v>4</v>
      </c>
      <c r="CG92" t="s">
        <v>30</v>
      </c>
      <c r="CH92" t="s">
        <v>2</v>
      </c>
      <c r="CI92" t="s">
        <v>51</v>
      </c>
      <c r="CJ92" s="68">
        <v>1</v>
      </c>
      <c r="CL92" t="s">
        <v>150</v>
      </c>
      <c r="CM92" t="s">
        <v>18</v>
      </c>
      <c r="CN92" t="s">
        <v>21</v>
      </c>
      <c r="CO92">
        <v>14</v>
      </c>
      <c r="CP92" s="146">
        <f t="shared" si="1"/>
        <v>0.9</v>
      </c>
      <c r="DC92" s="71"/>
    </row>
    <row r="93" spans="22:107" x14ac:dyDescent="0.35">
      <c r="V93" t="s">
        <v>20</v>
      </c>
      <c r="W93" t="s">
        <v>39</v>
      </c>
      <c r="X93" s="70">
        <v>28</v>
      </c>
      <c r="Y93" s="69" cm="1">
        <f t="array" ref="Y93">IF(INDEX('Activity Plan'!$S$34:$AW$99,
MATCH("*"&amp;TRIM($V93)&amp;"*",'Activity Plan'!$D$35:$D$100,0)+MATCH($W93,{"PLAN";"ACTUAL";"ACHIVE"},0)-1,
MATCH($X93,DAY('Activity Plan'!$S$7:$AW$7),0))=0,
"N/A",
INDEX('Activity Plan'!$S$34:$AW$99,
MATCH("*"&amp;TRIM($V93)&amp;"*",'Activity Plan'!$D$35:$D$100,0)+MATCH($W93,{"PLAN";"ACTUAL";"ACHIVE"},0)-1,
MATCH($X93,DAY('Activity Plan'!$S$7:$AW$7),0)))</f>
        <v>1.0428571428571429</v>
      </c>
      <c r="CF93">
        <v>4</v>
      </c>
      <c r="CG93" t="s">
        <v>30</v>
      </c>
      <c r="CH93" t="s">
        <v>2</v>
      </c>
      <c r="CI93" t="s">
        <v>52</v>
      </c>
      <c r="CJ93" s="68">
        <v>1</v>
      </c>
      <c r="CL93" t="s">
        <v>150</v>
      </c>
      <c r="CM93" t="s">
        <v>18</v>
      </c>
      <c r="CN93" t="s">
        <v>22</v>
      </c>
      <c r="CO93">
        <v>14</v>
      </c>
      <c r="CP93" s="146">
        <f t="shared" si="1"/>
        <v>0.9</v>
      </c>
      <c r="DC93" s="71"/>
    </row>
    <row r="94" spans="22:107" x14ac:dyDescent="0.35">
      <c r="V94" t="s">
        <v>20</v>
      </c>
      <c r="W94" t="s">
        <v>39</v>
      </c>
      <c r="X94" s="70">
        <v>29</v>
      </c>
      <c r="Y94" s="69" cm="1">
        <f t="array" ref="Y94">IF(INDEX('Activity Plan'!$S$34:$AW$99,
MATCH("*"&amp;TRIM($V94)&amp;"*",'Activity Plan'!$D$35:$D$100,0)+MATCH($W94,{"PLAN";"ACTUAL";"ACHIVE"},0)-1,
MATCH($X94,DAY('Activity Plan'!$S$7:$AW$7),0))=0,
"N/A",
INDEX('Activity Plan'!$S$34:$AW$99,
MATCH("*"&amp;TRIM($V94)&amp;"*",'Activity Plan'!$D$35:$D$100,0)+MATCH($W94,{"PLAN";"ACTUAL";"ACHIVE"},0)-1,
MATCH($X94,DAY('Activity Plan'!$S$7:$AW$7),0)))</f>
        <v>1.0714285714285714</v>
      </c>
      <c r="CF94">
        <v>4</v>
      </c>
      <c r="CG94" t="s">
        <v>30</v>
      </c>
      <c r="CH94" t="s">
        <v>2</v>
      </c>
      <c r="CI94" t="s">
        <v>53</v>
      </c>
      <c r="CJ94" s="68">
        <v>1</v>
      </c>
      <c r="CL94" t="s">
        <v>150</v>
      </c>
      <c r="CM94" t="s">
        <v>18</v>
      </c>
      <c r="CN94" t="s">
        <v>21</v>
      </c>
      <c r="CO94">
        <v>15</v>
      </c>
      <c r="CP94" s="146">
        <f t="shared" si="1"/>
        <v>0.9</v>
      </c>
      <c r="DC94" s="71"/>
    </row>
    <row r="95" spans="22:107" x14ac:dyDescent="0.35">
      <c r="V95" t="s">
        <v>20</v>
      </c>
      <c r="W95" t="s">
        <v>39</v>
      </c>
      <c r="X95" s="70">
        <v>30</v>
      </c>
      <c r="Y95" s="69" cm="1">
        <f t="array" ref="Y95">IF(INDEX('Activity Plan'!$S$34:$AW$99,
MATCH("*"&amp;TRIM($V95)&amp;"*",'Activity Plan'!$D$35:$D$100,0)+MATCH($W95,{"PLAN";"ACTUAL";"ACHIVE"},0)-1,
MATCH($X95,DAY('Activity Plan'!$S$7:$AW$7),0))=0,
"N/A",
INDEX('Activity Plan'!$S$34:$AW$99,
MATCH("*"&amp;TRIM($V95)&amp;"*",'Activity Plan'!$D$35:$D$100,0)+MATCH($W95,{"PLAN";"ACTUAL";"ACHIVE"},0)-1,
MATCH($X95,DAY('Activity Plan'!$S$7:$AW$7),0)))</f>
        <v>1.1857142857142857</v>
      </c>
      <c r="CF95">
        <v>4</v>
      </c>
      <c r="CG95" t="s">
        <v>30</v>
      </c>
      <c r="CH95" t="s">
        <v>2</v>
      </c>
      <c r="CI95" t="s">
        <v>54</v>
      </c>
      <c r="CJ95" s="68">
        <v>1</v>
      </c>
      <c r="CL95" t="s">
        <v>150</v>
      </c>
      <c r="CM95" t="s">
        <v>18</v>
      </c>
      <c r="CN95" t="s">
        <v>22</v>
      </c>
      <c r="CO95">
        <v>15</v>
      </c>
      <c r="CP95" s="146">
        <f t="shared" si="1"/>
        <v>0.98</v>
      </c>
      <c r="DC95" s="71"/>
    </row>
    <row r="96" spans="22:107" x14ac:dyDescent="0.35">
      <c r="V96" t="s">
        <v>20</v>
      </c>
      <c r="W96" t="s">
        <v>39</v>
      </c>
      <c r="X96" s="70">
        <v>31</v>
      </c>
      <c r="Y96" s="69" t="e" cm="1">
        <f t="array" ref="Y96">IF(INDEX('Activity Plan'!$S$34:$AW$99,
MATCH("*"&amp;TRIM($V96)&amp;"*",'Activity Plan'!$D$35:$D$100,0)+MATCH($W96,{"PLAN";"ACTUAL";"ACHIVE"},0)-1,
MATCH($X96,DAY('Activity Plan'!$S$7:$AW$7),0))=0,
"N/A",
INDEX('Activity Plan'!$S$34:$AW$99,
MATCH("*"&amp;TRIM($V96)&amp;"*",'Activity Plan'!$D$35:$D$100,0)+MATCH($W96,{"PLAN";"ACTUAL";"ACHIVE"},0)-1,
MATCH($X96,DAY('Activity Plan'!$S$7:$AW$7),0)))</f>
        <v>#N/A</v>
      </c>
      <c r="CF96">
        <v>4</v>
      </c>
      <c r="CG96" t="s">
        <v>30</v>
      </c>
      <c r="CH96" t="s">
        <v>2</v>
      </c>
      <c r="CI96" t="s">
        <v>55</v>
      </c>
      <c r="CJ96" s="68">
        <v>1</v>
      </c>
      <c r="CL96" t="s">
        <v>150</v>
      </c>
      <c r="CM96" t="s">
        <v>18</v>
      </c>
      <c r="CN96" t="s">
        <v>21</v>
      </c>
      <c r="CO96">
        <v>16</v>
      </c>
      <c r="CP96" s="146">
        <f t="shared" si="1"/>
        <v>0.9</v>
      </c>
      <c r="DC96" s="71"/>
    </row>
    <row r="97" spans="22:107" x14ac:dyDescent="0.35">
      <c r="V97" t="s">
        <v>138</v>
      </c>
      <c r="W97" t="s">
        <v>39</v>
      </c>
      <c r="X97" s="70">
        <v>1</v>
      </c>
      <c r="Y97" s="69" cm="1">
        <f t="array" ref="Y97">IF(INDEX('Activity Plan'!$S$34:$AW$99,
MATCH("*"&amp;TRIM($V97)&amp;"*",'Activity Plan'!$D$35:$D$100,0)+MATCH($W97,{"PLAN";"ACTUAL";"ACHIVE"},0)-1,
MATCH($X97,DAY('Activity Plan'!$S$7:$AW$7),0))=0,
"N/A",
INDEX('Activity Plan'!$S$34:$AW$99,
MATCH("*"&amp;TRIM($V97)&amp;"*",'Activity Plan'!$D$35:$D$100,0)+MATCH($W97,{"PLAN";"ACTUAL";"ACHIVE"},0)-1,
MATCH($X97,DAY('Activity Plan'!$S$7:$AW$7),0)))</f>
        <v>1</v>
      </c>
      <c r="CF97">
        <v>4</v>
      </c>
      <c r="CG97" t="s">
        <v>30</v>
      </c>
      <c r="CH97" t="s">
        <v>2</v>
      </c>
      <c r="CI97" t="s">
        <v>56</v>
      </c>
      <c r="CJ97" s="68">
        <v>1</v>
      </c>
      <c r="CL97" t="s">
        <v>150</v>
      </c>
      <c r="CM97" t="s">
        <v>18</v>
      </c>
      <c r="CN97" t="s">
        <v>22</v>
      </c>
      <c r="CO97">
        <v>16</v>
      </c>
      <c r="CP97" s="146">
        <f t="shared" si="1"/>
        <v>0.93</v>
      </c>
      <c r="DC97" s="71"/>
    </row>
    <row r="98" spans="22:107" x14ac:dyDescent="0.35">
      <c r="V98" t="s">
        <v>138</v>
      </c>
      <c r="W98" t="s">
        <v>39</v>
      </c>
      <c r="X98" s="70">
        <v>2</v>
      </c>
      <c r="Y98" s="69" cm="1">
        <f t="array" ref="Y98">IF(INDEX('Activity Plan'!$S$34:$AW$99,
MATCH("*"&amp;TRIM($V98)&amp;"*",'Activity Plan'!$D$35:$D$100,0)+MATCH($W98,{"PLAN";"ACTUAL";"ACHIVE"},0)-1,
MATCH($X98,DAY('Activity Plan'!$S$7:$AW$7),0))=0,
"N/A",
INDEX('Activity Plan'!$S$34:$AW$99,
MATCH("*"&amp;TRIM($V98)&amp;"*",'Activity Plan'!$D$35:$D$100,0)+MATCH($W98,{"PLAN";"ACTUAL";"ACHIVE"},0)-1,
MATCH($X98,DAY('Activity Plan'!$S$7:$AW$7),0)))</f>
        <v>0.75</v>
      </c>
      <c r="CF98">
        <v>4</v>
      </c>
      <c r="CG98" t="s">
        <v>30</v>
      </c>
      <c r="CH98" t="s">
        <v>2</v>
      </c>
      <c r="CI98" t="s">
        <v>57</v>
      </c>
      <c r="CJ98" s="68">
        <v>1</v>
      </c>
      <c r="CL98" t="s">
        <v>150</v>
      </c>
      <c r="CM98" t="s">
        <v>18</v>
      </c>
      <c r="CN98" t="s">
        <v>21</v>
      </c>
      <c r="CO98">
        <v>17</v>
      </c>
      <c r="CP98" s="146">
        <f t="shared" si="1"/>
        <v>0.9</v>
      </c>
      <c r="DC98" s="71"/>
    </row>
    <row r="99" spans="22:107" x14ac:dyDescent="0.35">
      <c r="V99" t="s">
        <v>138</v>
      </c>
      <c r="W99" t="s">
        <v>39</v>
      </c>
      <c r="X99" s="70">
        <v>3</v>
      </c>
      <c r="Y99" s="69" cm="1">
        <f t="array" ref="Y99">IF(INDEX('Activity Plan'!$S$34:$AW$99,
MATCH("*"&amp;TRIM($V99)&amp;"*",'Activity Plan'!$D$35:$D$100,0)+MATCH($W99,{"PLAN";"ACTUAL";"ACHIVE"},0)-1,
MATCH($X99,DAY('Activity Plan'!$S$7:$AW$7),0))=0,
"N/A",
INDEX('Activity Plan'!$S$34:$AW$99,
MATCH("*"&amp;TRIM($V99)&amp;"*",'Activity Plan'!$D$35:$D$100,0)+MATCH($W99,{"PLAN";"ACTUAL";"ACHIVE"},0)-1,
MATCH($X99,DAY('Activity Plan'!$S$7:$AW$7),0)))</f>
        <v>0.625</v>
      </c>
      <c r="CF99">
        <v>4</v>
      </c>
      <c r="CG99" t="s">
        <v>30</v>
      </c>
      <c r="CH99" t="s">
        <v>2</v>
      </c>
      <c r="CI99" t="s">
        <v>58</v>
      </c>
      <c r="CJ99" s="68">
        <v>1</v>
      </c>
      <c r="CL99" t="s">
        <v>150</v>
      </c>
      <c r="CM99" t="s">
        <v>18</v>
      </c>
      <c r="CN99" t="s">
        <v>22</v>
      </c>
      <c r="CO99">
        <v>17</v>
      </c>
      <c r="CP99" s="146">
        <f t="shared" si="1"/>
        <v>0.87</v>
      </c>
      <c r="DC99" s="71"/>
    </row>
    <row r="100" spans="22:107" x14ac:dyDescent="0.35">
      <c r="V100" t="s">
        <v>138</v>
      </c>
      <c r="W100" t="s">
        <v>39</v>
      </c>
      <c r="X100" s="70">
        <v>4</v>
      </c>
      <c r="Y100" s="69" cm="1">
        <f t="array" ref="Y100">IF(INDEX('Activity Plan'!$S$34:$AW$99,
MATCH("*"&amp;TRIM($V100)&amp;"*",'Activity Plan'!$D$35:$D$100,0)+MATCH($W100,{"PLAN";"ACTUAL";"ACHIVE"},0)-1,
MATCH($X100,DAY('Activity Plan'!$S$7:$AW$7),0))=0,
"N/A",
INDEX('Activity Plan'!$S$34:$AW$99,
MATCH("*"&amp;TRIM($V100)&amp;"*",'Activity Plan'!$D$35:$D$100,0)+MATCH($W100,{"PLAN";"ACTUAL";"ACHIVE"},0)-1,
MATCH($X100,DAY('Activity Plan'!$S$7:$AW$7),0)))</f>
        <v>0.9375</v>
      </c>
      <c r="CF100">
        <v>4</v>
      </c>
      <c r="CG100" t="s">
        <v>30</v>
      </c>
      <c r="CH100" t="s">
        <v>2</v>
      </c>
      <c r="CI100" t="s">
        <v>59</v>
      </c>
      <c r="CJ100" s="68">
        <v>1</v>
      </c>
      <c r="CL100" t="s">
        <v>150</v>
      </c>
      <c r="CM100" t="s">
        <v>18</v>
      </c>
      <c r="CN100" t="s">
        <v>21</v>
      </c>
      <c r="CO100">
        <v>18</v>
      </c>
      <c r="CP100" s="146">
        <f t="shared" si="1"/>
        <v>0.9</v>
      </c>
      <c r="DC100" s="71"/>
    </row>
    <row r="101" spans="22:107" x14ac:dyDescent="0.35">
      <c r="V101" t="s">
        <v>138</v>
      </c>
      <c r="W101" t="s">
        <v>39</v>
      </c>
      <c r="X101" s="70">
        <v>5</v>
      </c>
      <c r="Y101" s="69" cm="1">
        <f t="array" ref="Y101">IF(INDEX('Activity Plan'!$S$34:$AW$99,
MATCH("*"&amp;TRIM($V101)&amp;"*",'Activity Plan'!$D$35:$D$100,0)+MATCH($W101,{"PLAN";"ACTUAL";"ACHIVE"},0)-1,
MATCH($X101,DAY('Activity Plan'!$S$7:$AW$7),0))=0,
"N/A",
INDEX('Activity Plan'!$S$34:$AW$99,
MATCH("*"&amp;TRIM($V101)&amp;"*",'Activity Plan'!$D$35:$D$100,0)+MATCH($W101,{"PLAN";"ACTUAL";"ACHIVE"},0)-1,
MATCH($X101,DAY('Activity Plan'!$S$7:$AW$7),0)))</f>
        <v>1.0375000000000001</v>
      </c>
      <c r="CF101">
        <v>4</v>
      </c>
      <c r="CG101" t="s">
        <v>30</v>
      </c>
      <c r="CH101" t="s">
        <v>2</v>
      </c>
      <c r="CI101" t="s">
        <v>60</v>
      </c>
      <c r="CJ101" s="68">
        <v>1</v>
      </c>
      <c r="CL101" t="s">
        <v>150</v>
      </c>
      <c r="CM101" t="s">
        <v>18</v>
      </c>
      <c r="CN101" t="s">
        <v>22</v>
      </c>
      <c r="CO101">
        <v>18</v>
      </c>
      <c r="CP101" s="146">
        <f t="shared" si="1"/>
        <v>0.8</v>
      </c>
      <c r="DC101" s="71"/>
    </row>
    <row r="102" spans="22:107" x14ac:dyDescent="0.35">
      <c r="V102" t="s">
        <v>138</v>
      </c>
      <c r="W102" t="s">
        <v>39</v>
      </c>
      <c r="X102" s="70">
        <v>6</v>
      </c>
      <c r="Y102" s="69" cm="1">
        <f t="array" ref="Y102">IF(INDEX('Activity Plan'!$S$34:$AW$99,
MATCH("*"&amp;TRIM($V102)&amp;"*",'Activity Plan'!$D$35:$D$100,0)+MATCH($W102,{"PLAN";"ACTUAL";"ACHIVE"},0)-1,
MATCH($X102,DAY('Activity Plan'!$S$7:$AW$7),0))=0,
"N/A",
INDEX('Activity Plan'!$S$34:$AW$99,
MATCH("*"&amp;TRIM($V102)&amp;"*",'Activity Plan'!$D$35:$D$100,0)+MATCH($W102,{"PLAN";"ACTUAL";"ACHIVE"},0)-1,
MATCH($X102,DAY('Activity Plan'!$S$7:$AW$7),0)))</f>
        <v>0.8125</v>
      </c>
      <c r="CF102">
        <v>4</v>
      </c>
      <c r="CG102" t="s">
        <v>30</v>
      </c>
      <c r="CH102" t="s">
        <v>2</v>
      </c>
      <c r="CI102" t="s">
        <v>61</v>
      </c>
      <c r="CJ102" s="68">
        <v>1</v>
      </c>
      <c r="CL102" t="s">
        <v>150</v>
      </c>
      <c r="CM102" t="s">
        <v>18</v>
      </c>
      <c r="CN102" t="s">
        <v>21</v>
      </c>
      <c r="CO102">
        <v>19</v>
      </c>
      <c r="CP102" s="146">
        <f t="shared" si="1"/>
        <v>0.9</v>
      </c>
      <c r="DC102" s="71"/>
    </row>
    <row r="103" spans="22:107" x14ac:dyDescent="0.35">
      <c r="V103" t="s">
        <v>138</v>
      </c>
      <c r="W103" t="s">
        <v>39</v>
      </c>
      <c r="X103" s="70">
        <v>7</v>
      </c>
      <c r="Y103" s="69" cm="1">
        <f t="array" ref="Y103">IF(INDEX('Activity Plan'!$S$34:$AW$99,
MATCH("*"&amp;TRIM($V103)&amp;"*",'Activity Plan'!$D$35:$D$100,0)+MATCH($W103,{"PLAN";"ACTUAL";"ACHIVE"},0)-1,
MATCH($X103,DAY('Activity Plan'!$S$7:$AW$7),0))=0,
"N/A",
INDEX('Activity Plan'!$S$34:$AW$99,
MATCH("*"&amp;TRIM($V103)&amp;"*",'Activity Plan'!$D$35:$D$100,0)+MATCH($W103,{"PLAN";"ACTUAL";"ACHIVE"},0)-1,
MATCH($X103,DAY('Activity Plan'!$S$7:$AW$7),0)))</f>
        <v>0.91249999999999998</v>
      </c>
      <c r="CF103">
        <v>4</v>
      </c>
      <c r="CG103" t="s">
        <v>30</v>
      </c>
      <c r="CH103" t="s">
        <v>2</v>
      </c>
      <c r="CI103" t="s">
        <v>62</v>
      </c>
      <c r="CJ103" s="68">
        <v>1</v>
      </c>
      <c r="CL103" t="s">
        <v>150</v>
      </c>
      <c r="CM103" t="s">
        <v>18</v>
      </c>
      <c r="CN103" t="s">
        <v>22</v>
      </c>
      <c r="CO103">
        <v>19</v>
      </c>
      <c r="CP103" s="146">
        <f t="shared" si="1"/>
        <v>0.83</v>
      </c>
      <c r="DC103" s="71"/>
    </row>
    <row r="104" spans="22:107" x14ac:dyDescent="0.35">
      <c r="V104" t="s">
        <v>138</v>
      </c>
      <c r="W104" t="s">
        <v>39</v>
      </c>
      <c r="X104" s="70">
        <v>8</v>
      </c>
      <c r="Y104" s="69" cm="1">
        <f t="array" ref="Y104">IF(INDEX('Activity Plan'!$S$34:$AW$99,
MATCH("*"&amp;TRIM($V104)&amp;"*",'Activity Plan'!$D$35:$D$100,0)+MATCH($W104,{"PLAN";"ACTUAL";"ACHIVE"},0)-1,
MATCH($X104,DAY('Activity Plan'!$S$7:$AW$7),0))=0,
"N/A",
INDEX('Activity Plan'!$S$34:$AW$99,
MATCH("*"&amp;TRIM($V104)&amp;"*",'Activity Plan'!$D$35:$D$100,0)+MATCH($W104,{"PLAN";"ACTUAL";"ACHIVE"},0)-1,
MATCH($X104,DAY('Activity Plan'!$S$7:$AW$7),0)))</f>
        <v>1</v>
      </c>
      <c r="CF104">
        <v>4</v>
      </c>
      <c r="CG104" t="s">
        <v>30</v>
      </c>
      <c r="CH104" t="s">
        <v>2</v>
      </c>
      <c r="CI104" t="s">
        <v>63</v>
      </c>
      <c r="CJ104" s="68">
        <v>1</v>
      </c>
      <c r="CL104" t="s">
        <v>150</v>
      </c>
      <c r="CM104" t="s">
        <v>18</v>
      </c>
      <c r="CN104" t="s">
        <v>21</v>
      </c>
      <c r="CO104">
        <v>20</v>
      </c>
      <c r="CP104" s="146">
        <f t="shared" si="1"/>
        <v>0.9</v>
      </c>
      <c r="DC104" s="71"/>
    </row>
    <row r="105" spans="22:107" x14ac:dyDescent="0.35">
      <c r="V105" t="s">
        <v>138</v>
      </c>
      <c r="W105" t="s">
        <v>39</v>
      </c>
      <c r="X105" s="70">
        <v>9</v>
      </c>
      <c r="Y105" s="69" cm="1">
        <f t="array" ref="Y105">IF(INDEX('Activity Plan'!$S$34:$AW$99,
MATCH("*"&amp;TRIM($V105)&amp;"*",'Activity Plan'!$D$35:$D$100,0)+MATCH($W105,{"PLAN";"ACTUAL";"ACHIVE"},0)-1,
MATCH($X105,DAY('Activity Plan'!$S$7:$AW$7),0))=0,
"N/A",
INDEX('Activity Plan'!$S$34:$AW$99,
MATCH("*"&amp;TRIM($V105)&amp;"*",'Activity Plan'!$D$35:$D$100,0)+MATCH($W105,{"PLAN";"ACTUAL";"ACHIVE"},0)-1,
MATCH($X105,DAY('Activity Plan'!$S$7:$AW$7),0)))</f>
        <v>0.75</v>
      </c>
      <c r="CF105">
        <v>4</v>
      </c>
      <c r="CG105" t="s">
        <v>30</v>
      </c>
      <c r="CH105" t="s">
        <v>2</v>
      </c>
      <c r="CI105" t="s">
        <v>64</v>
      </c>
      <c r="CJ105" s="68">
        <v>1</v>
      </c>
      <c r="CL105" t="s">
        <v>150</v>
      </c>
      <c r="CM105" t="s">
        <v>18</v>
      </c>
      <c r="CN105" t="s">
        <v>22</v>
      </c>
      <c r="CO105">
        <v>20</v>
      </c>
      <c r="CP105" s="146">
        <f t="shared" si="1"/>
        <v>0.72</v>
      </c>
      <c r="DC105" s="71"/>
    </row>
    <row r="106" spans="22:107" x14ac:dyDescent="0.35">
      <c r="V106" t="s">
        <v>138</v>
      </c>
      <c r="W106" t="s">
        <v>39</v>
      </c>
      <c r="X106" s="70">
        <v>10</v>
      </c>
      <c r="Y106" s="69" cm="1">
        <f t="array" ref="Y106">IF(INDEX('Activity Plan'!$S$34:$AW$99,
MATCH("*"&amp;TRIM($V106)&amp;"*",'Activity Plan'!$D$35:$D$100,0)+MATCH($W106,{"PLAN";"ACTUAL";"ACHIVE"},0)-1,
MATCH($X106,DAY('Activity Plan'!$S$7:$AW$7),0))=0,
"N/A",
INDEX('Activity Plan'!$S$34:$AW$99,
MATCH("*"&amp;TRIM($V106)&amp;"*",'Activity Plan'!$D$35:$D$100,0)+MATCH($W106,{"PLAN";"ACTUAL";"ACHIVE"},0)-1,
MATCH($X106,DAY('Activity Plan'!$S$7:$AW$7),0)))</f>
        <v>0.625</v>
      </c>
      <c r="CF106">
        <v>4</v>
      </c>
      <c r="CG106" t="s">
        <v>30</v>
      </c>
      <c r="CH106" t="s">
        <v>2</v>
      </c>
      <c r="CI106" t="s">
        <v>65</v>
      </c>
      <c r="CJ106" s="68">
        <v>1</v>
      </c>
      <c r="CL106" t="s">
        <v>150</v>
      </c>
      <c r="CM106" t="s">
        <v>18</v>
      </c>
      <c r="CN106" t="s">
        <v>21</v>
      </c>
      <c r="CO106">
        <v>21</v>
      </c>
      <c r="CP106" s="146">
        <f t="shared" si="1"/>
        <v>0.9</v>
      </c>
      <c r="DC106" s="71"/>
    </row>
    <row r="107" spans="22:107" x14ac:dyDescent="0.35">
      <c r="V107" t="s">
        <v>138</v>
      </c>
      <c r="W107" t="s">
        <v>39</v>
      </c>
      <c r="X107" s="70">
        <v>11</v>
      </c>
      <c r="Y107" s="69" cm="1">
        <f t="array" ref="Y107">IF(INDEX('Activity Plan'!$S$34:$AW$99,
MATCH("*"&amp;TRIM($V107)&amp;"*",'Activity Plan'!$D$35:$D$100,0)+MATCH($W107,{"PLAN";"ACTUAL";"ACHIVE"},0)-1,
MATCH($X107,DAY('Activity Plan'!$S$7:$AW$7),0))=0,
"N/A",
INDEX('Activity Plan'!$S$34:$AW$99,
MATCH("*"&amp;TRIM($V107)&amp;"*",'Activity Plan'!$D$35:$D$100,0)+MATCH($W107,{"PLAN";"ACTUAL";"ACHIVE"},0)-1,
MATCH($X107,DAY('Activity Plan'!$S$7:$AW$7),0)))</f>
        <v>0.9375</v>
      </c>
      <c r="CF107">
        <v>4</v>
      </c>
      <c r="CG107" t="s">
        <v>30</v>
      </c>
      <c r="CH107" t="s">
        <v>2</v>
      </c>
      <c r="CI107" t="s">
        <v>66</v>
      </c>
      <c r="CJ107" s="68">
        <v>1</v>
      </c>
      <c r="CL107" t="s">
        <v>150</v>
      </c>
      <c r="CM107" t="s">
        <v>18</v>
      </c>
      <c r="CN107" t="s">
        <v>22</v>
      </c>
      <c r="CO107">
        <v>21</v>
      </c>
      <c r="CP107" s="146">
        <f t="shared" si="1"/>
        <v>1</v>
      </c>
      <c r="DC107" s="71"/>
    </row>
    <row r="108" spans="22:107" x14ac:dyDescent="0.35">
      <c r="V108" t="s">
        <v>138</v>
      </c>
      <c r="W108" t="s">
        <v>39</v>
      </c>
      <c r="X108" s="70">
        <v>12</v>
      </c>
      <c r="Y108" s="69" cm="1">
        <f t="array" ref="Y108">IF(INDEX('Activity Plan'!$S$34:$AW$99,
MATCH("*"&amp;TRIM($V108)&amp;"*",'Activity Plan'!$D$35:$D$100,0)+MATCH($W108,{"PLAN";"ACTUAL";"ACHIVE"},0)-1,
MATCH($X108,DAY('Activity Plan'!$S$7:$AW$7),0))=0,
"N/A",
INDEX('Activity Plan'!$S$34:$AW$99,
MATCH("*"&amp;TRIM($V108)&amp;"*",'Activity Plan'!$D$35:$D$100,0)+MATCH($W108,{"PLAN";"ACTUAL";"ACHIVE"},0)-1,
MATCH($X108,DAY('Activity Plan'!$S$7:$AW$7),0)))</f>
        <v>1.0375000000000001</v>
      </c>
      <c r="CF108">
        <v>4</v>
      </c>
      <c r="CG108" t="s">
        <v>30</v>
      </c>
      <c r="CH108" t="s">
        <v>2</v>
      </c>
      <c r="CI108" t="s">
        <v>67</v>
      </c>
      <c r="CJ108" s="68">
        <v>1</v>
      </c>
      <c r="CL108" t="s">
        <v>150</v>
      </c>
      <c r="CM108" t="s">
        <v>18</v>
      </c>
      <c r="CN108" t="s">
        <v>21</v>
      </c>
      <c r="CO108">
        <v>22</v>
      </c>
      <c r="CP108" s="146">
        <f t="shared" si="1"/>
        <v>0.9</v>
      </c>
      <c r="DC108" s="71"/>
    </row>
    <row r="109" spans="22:107" x14ac:dyDescent="0.35">
      <c r="V109" t="s">
        <v>138</v>
      </c>
      <c r="W109" t="s">
        <v>39</v>
      </c>
      <c r="X109" s="70">
        <v>13</v>
      </c>
      <c r="Y109" s="69" cm="1">
        <f t="array" ref="Y109">IF(INDEX('Activity Plan'!$S$34:$AW$99,
MATCH("*"&amp;TRIM($V109)&amp;"*",'Activity Plan'!$D$35:$D$100,0)+MATCH($W109,{"PLAN";"ACTUAL";"ACHIVE"},0)-1,
MATCH($X109,DAY('Activity Plan'!$S$7:$AW$7),0))=0,
"N/A",
INDEX('Activity Plan'!$S$34:$AW$99,
MATCH("*"&amp;TRIM($V109)&amp;"*",'Activity Plan'!$D$35:$D$100,0)+MATCH($W109,{"PLAN";"ACTUAL";"ACHIVE"},0)-1,
MATCH($X109,DAY('Activity Plan'!$S$7:$AW$7),0)))</f>
        <v>0.8125</v>
      </c>
      <c r="CF109">
        <v>4</v>
      </c>
      <c r="CG109" t="s">
        <v>30</v>
      </c>
      <c r="CH109" t="s">
        <v>2</v>
      </c>
      <c r="CI109" t="s">
        <v>68</v>
      </c>
      <c r="CJ109" s="68">
        <v>1</v>
      </c>
      <c r="CL109" t="s">
        <v>150</v>
      </c>
      <c r="CM109" t="s">
        <v>18</v>
      </c>
      <c r="CN109" t="s">
        <v>22</v>
      </c>
      <c r="CO109">
        <v>22</v>
      </c>
      <c r="CP109" s="146">
        <f t="shared" si="1"/>
        <v>0.9</v>
      </c>
      <c r="DC109" s="71"/>
    </row>
    <row r="110" spans="22:107" x14ac:dyDescent="0.35">
      <c r="V110" t="s">
        <v>138</v>
      </c>
      <c r="W110" t="s">
        <v>39</v>
      </c>
      <c r="X110" s="70">
        <v>14</v>
      </c>
      <c r="Y110" s="69" cm="1">
        <f t="array" ref="Y110">IF(INDEX('Activity Plan'!$S$34:$AW$99,
MATCH("*"&amp;TRIM($V110)&amp;"*",'Activity Plan'!$D$35:$D$100,0)+MATCH($W110,{"PLAN";"ACTUAL";"ACHIVE"},0)-1,
MATCH($X110,DAY('Activity Plan'!$S$7:$AW$7),0))=0,
"N/A",
INDEX('Activity Plan'!$S$34:$AW$99,
MATCH("*"&amp;TRIM($V110)&amp;"*",'Activity Plan'!$D$35:$D$100,0)+MATCH($W110,{"PLAN";"ACTUAL";"ACHIVE"},0)-1,
MATCH($X110,DAY('Activity Plan'!$S$7:$AW$7),0)))</f>
        <v>0.91249999999999998</v>
      </c>
      <c r="CF110">
        <v>4</v>
      </c>
      <c r="CG110" t="s">
        <v>30</v>
      </c>
      <c r="CH110" t="s">
        <v>2</v>
      </c>
      <c r="CI110" t="s">
        <v>69</v>
      </c>
      <c r="CJ110" s="68">
        <v>1</v>
      </c>
      <c r="CL110" t="s">
        <v>150</v>
      </c>
      <c r="CM110" t="s">
        <v>18</v>
      </c>
      <c r="CN110" t="s">
        <v>21</v>
      </c>
      <c r="CO110">
        <v>23</v>
      </c>
      <c r="CP110" s="146">
        <f t="shared" si="1"/>
        <v>0.9</v>
      </c>
      <c r="DC110" s="71"/>
    </row>
    <row r="111" spans="22:107" x14ac:dyDescent="0.35">
      <c r="V111" t="s">
        <v>138</v>
      </c>
      <c r="W111" t="s">
        <v>39</v>
      </c>
      <c r="X111" s="70">
        <v>15</v>
      </c>
      <c r="Y111" s="69" cm="1">
        <f t="array" ref="Y111">IF(INDEX('Activity Plan'!$S$34:$AW$99,
MATCH("*"&amp;TRIM($V111)&amp;"*",'Activity Plan'!$D$35:$D$100,0)+MATCH($W111,{"PLAN";"ACTUAL";"ACHIVE"},0)-1,
MATCH($X111,DAY('Activity Plan'!$S$7:$AW$7),0))=0,
"N/A",
INDEX('Activity Plan'!$S$34:$AW$99,
MATCH("*"&amp;TRIM($V111)&amp;"*",'Activity Plan'!$D$35:$D$100,0)+MATCH($W111,{"PLAN";"ACTUAL";"ACHIVE"},0)-1,
MATCH($X111,DAY('Activity Plan'!$S$7:$AW$7),0)))</f>
        <v>1</v>
      </c>
      <c r="CF111">
        <v>4</v>
      </c>
      <c r="CG111" t="s">
        <v>30</v>
      </c>
      <c r="CH111" t="s">
        <v>2</v>
      </c>
      <c r="CI111" t="s">
        <v>70</v>
      </c>
      <c r="CJ111" s="68">
        <v>1</v>
      </c>
      <c r="CL111" t="s">
        <v>150</v>
      </c>
      <c r="CM111" t="s">
        <v>18</v>
      </c>
      <c r="CN111" t="s">
        <v>22</v>
      </c>
      <c r="CO111">
        <v>23</v>
      </c>
      <c r="CP111" s="146">
        <f t="shared" si="1"/>
        <v>0.98</v>
      </c>
      <c r="DC111" s="71"/>
    </row>
    <row r="112" spans="22:107" x14ac:dyDescent="0.35">
      <c r="V112" t="s">
        <v>138</v>
      </c>
      <c r="W112" t="s">
        <v>39</v>
      </c>
      <c r="X112" s="70">
        <v>16</v>
      </c>
      <c r="Y112" s="69" cm="1">
        <f t="array" ref="Y112">IF(INDEX('Activity Plan'!$S$34:$AW$99,
MATCH("*"&amp;TRIM($V112)&amp;"*",'Activity Plan'!$D$35:$D$100,0)+MATCH($W112,{"PLAN";"ACTUAL";"ACHIVE"},0)-1,
MATCH($X112,DAY('Activity Plan'!$S$7:$AW$7),0))=0,
"N/A",
INDEX('Activity Plan'!$S$34:$AW$99,
MATCH("*"&amp;TRIM($V112)&amp;"*",'Activity Plan'!$D$35:$D$100,0)+MATCH($W112,{"PLAN";"ACTUAL";"ACHIVE"},0)-1,
MATCH($X112,DAY('Activity Plan'!$S$7:$AW$7),0)))</f>
        <v>0.75</v>
      </c>
      <c r="CF112">
        <v>4</v>
      </c>
      <c r="CG112" t="s">
        <v>30</v>
      </c>
      <c r="CH112" t="s">
        <v>2</v>
      </c>
      <c r="CI112" t="s">
        <v>71</v>
      </c>
      <c r="CJ112" s="68">
        <v>1</v>
      </c>
      <c r="CL112" t="s">
        <v>150</v>
      </c>
      <c r="CM112" t="s">
        <v>18</v>
      </c>
      <c r="CN112" t="s">
        <v>21</v>
      </c>
      <c r="CO112">
        <v>24</v>
      </c>
      <c r="CP112" s="146">
        <f t="shared" si="1"/>
        <v>0.9</v>
      </c>
      <c r="DC112" s="71"/>
    </row>
    <row r="113" spans="22:107" x14ac:dyDescent="0.35">
      <c r="V113" t="s">
        <v>138</v>
      </c>
      <c r="W113" t="s">
        <v>39</v>
      </c>
      <c r="X113" s="70">
        <v>17</v>
      </c>
      <c r="Y113" s="69" cm="1">
        <f t="array" ref="Y113">IF(INDEX('Activity Plan'!$S$34:$AW$99,
MATCH("*"&amp;TRIM($V113)&amp;"*",'Activity Plan'!$D$35:$D$100,0)+MATCH($W113,{"PLAN";"ACTUAL";"ACHIVE"},0)-1,
MATCH($X113,DAY('Activity Plan'!$S$7:$AW$7),0))=0,
"N/A",
INDEX('Activity Plan'!$S$34:$AW$99,
MATCH("*"&amp;TRIM($V113)&amp;"*",'Activity Plan'!$D$35:$D$100,0)+MATCH($W113,{"PLAN";"ACTUAL";"ACHIVE"},0)-1,
MATCH($X113,DAY('Activity Plan'!$S$7:$AW$7),0)))</f>
        <v>0.625</v>
      </c>
      <c r="CF113">
        <v>4</v>
      </c>
      <c r="CG113" t="s">
        <v>30</v>
      </c>
      <c r="CH113" t="s">
        <v>2</v>
      </c>
      <c r="CI113" t="s">
        <v>72</v>
      </c>
      <c r="CJ113" s="68">
        <v>1</v>
      </c>
      <c r="CL113" t="s">
        <v>150</v>
      </c>
      <c r="CM113" t="s">
        <v>18</v>
      </c>
      <c r="CN113" t="s">
        <v>22</v>
      </c>
      <c r="CO113">
        <v>24</v>
      </c>
      <c r="CP113" s="146">
        <f t="shared" si="1"/>
        <v>0.93</v>
      </c>
      <c r="DC113" s="71"/>
    </row>
    <row r="114" spans="22:107" x14ac:dyDescent="0.35">
      <c r="V114" t="s">
        <v>138</v>
      </c>
      <c r="W114" t="s">
        <v>39</v>
      </c>
      <c r="X114" s="70">
        <v>18</v>
      </c>
      <c r="Y114" s="69" cm="1">
        <f t="array" ref="Y114">IF(INDEX('Activity Plan'!$S$34:$AW$99,
MATCH("*"&amp;TRIM($V114)&amp;"*",'Activity Plan'!$D$35:$D$100,0)+MATCH($W114,{"PLAN";"ACTUAL";"ACHIVE"},0)-1,
MATCH($X114,DAY('Activity Plan'!$S$7:$AW$7),0))=0,
"N/A",
INDEX('Activity Plan'!$S$34:$AW$99,
MATCH("*"&amp;TRIM($V114)&amp;"*",'Activity Plan'!$D$35:$D$100,0)+MATCH($W114,{"PLAN";"ACTUAL";"ACHIVE"},0)-1,
MATCH($X114,DAY('Activity Plan'!$S$7:$AW$7),0)))</f>
        <v>0.9375</v>
      </c>
      <c r="CF114">
        <v>4</v>
      </c>
      <c r="CG114" t="s">
        <v>30</v>
      </c>
      <c r="CH114" t="s">
        <v>2</v>
      </c>
      <c r="CI114" t="s">
        <v>73</v>
      </c>
      <c r="CJ114" s="68">
        <v>1</v>
      </c>
      <c r="CL114" t="s">
        <v>150</v>
      </c>
      <c r="CM114" t="s">
        <v>18</v>
      </c>
      <c r="CN114" t="s">
        <v>21</v>
      </c>
      <c r="CO114">
        <v>25</v>
      </c>
      <c r="CP114" s="146">
        <f t="shared" si="1"/>
        <v>0.9</v>
      </c>
      <c r="DC114" s="71"/>
    </row>
    <row r="115" spans="22:107" x14ac:dyDescent="0.35">
      <c r="V115" t="s">
        <v>138</v>
      </c>
      <c r="W115" t="s">
        <v>39</v>
      </c>
      <c r="X115" s="70">
        <v>19</v>
      </c>
      <c r="Y115" s="69" cm="1">
        <f t="array" ref="Y115">IF(INDEX('Activity Plan'!$S$34:$AW$99,
MATCH("*"&amp;TRIM($V115)&amp;"*",'Activity Plan'!$D$35:$D$100,0)+MATCH($W115,{"PLAN";"ACTUAL";"ACHIVE"},0)-1,
MATCH($X115,DAY('Activity Plan'!$S$7:$AW$7),0))=0,
"N/A",
INDEX('Activity Plan'!$S$34:$AW$99,
MATCH("*"&amp;TRIM($V115)&amp;"*",'Activity Plan'!$D$35:$D$100,0)+MATCH($W115,{"PLAN";"ACTUAL";"ACHIVE"},0)-1,
MATCH($X115,DAY('Activity Plan'!$S$7:$AW$7),0)))</f>
        <v>1.0375000000000001</v>
      </c>
      <c r="CF115">
        <v>4</v>
      </c>
      <c r="CG115" t="s">
        <v>30</v>
      </c>
      <c r="CH115" t="s">
        <v>2</v>
      </c>
      <c r="CI115" t="s">
        <v>74</v>
      </c>
      <c r="CJ115" s="68">
        <v>1</v>
      </c>
      <c r="CL115" t="s">
        <v>150</v>
      </c>
      <c r="CM115" t="s">
        <v>18</v>
      </c>
      <c r="CN115" t="s">
        <v>22</v>
      </c>
      <c r="CO115">
        <v>25</v>
      </c>
      <c r="CP115" s="146">
        <f t="shared" si="1"/>
        <v>0.87</v>
      </c>
      <c r="DC115" s="71"/>
    </row>
    <row r="116" spans="22:107" x14ac:dyDescent="0.35">
      <c r="V116" t="s">
        <v>138</v>
      </c>
      <c r="W116" t="s">
        <v>39</v>
      </c>
      <c r="X116" s="70">
        <v>20</v>
      </c>
      <c r="Y116" s="69" cm="1">
        <f t="array" ref="Y116">IF(INDEX('Activity Plan'!$S$34:$AW$99,
MATCH("*"&amp;TRIM($V116)&amp;"*",'Activity Plan'!$D$35:$D$100,0)+MATCH($W116,{"PLAN";"ACTUAL";"ACHIVE"},0)-1,
MATCH($X116,DAY('Activity Plan'!$S$7:$AW$7),0))=0,
"N/A",
INDEX('Activity Plan'!$S$34:$AW$99,
MATCH("*"&amp;TRIM($V116)&amp;"*",'Activity Plan'!$D$35:$D$100,0)+MATCH($W116,{"PLAN";"ACTUAL";"ACHIVE"},0)-1,
MATCH($X116,DAY('Activity Plan'!$S$7:$AW$7),0)))</f>
        <v>0.8125</v>
      </c>
      <c r="CF116">
        <v>4</v>
      </c>
      <c r="CG116" t="s">
        <v>30</v>
      </c>
      <c r="CH116" t="s">
        <v>2</v>
      </c>
      <c r="CI116" t="s">
        <v>75</v>
      </c>
      <c r="CJ116" s="68">
        <v>1</v>
      </c>
      <c r="CL116" t="s">
        <v>150</v>
      </c>
      <c r="CM116" t="s">
        <v>18</v>
      </c>
      <c r="CN116" t="s">
        <v>21</v>
      </c>
      <c r="CO116">
        <v>26</v>
      </c>
      <c r="CP116" s="146">
        <f t="shared" si="1"/>
        <v>0.9</v>
      </c>
      <c r="DC116" s="71"/>
    </row>
    <row r="117" spans="22:107" x14ac:dyDescent="0.35">
      <c r="V117" t="s">
        <v>138</v>
      </c>
      <c r="W117" t="s">
        <v>39</v>
      </c>
      <c r="X117" s="70">
        <v>21</v>
      </c>
      <c r="Y117" s="69" cm="1">
        <f t="array" ref="Y117">IF(INDEX('Activity Plan'!$S$34:$AW$99,
MATCH("*"&amp;TRIM($V117)&amp;"*",'Activity Plan'!$D$35:$D$100,0)+MATCH($W117,{"PLAN";"ACTUAL";"ACHIVE"},0)-1,
MATCH($X117,DAY('Activity Plan'!$S$7:$AW$7),0))=0,
"N/A",
INDEX('Activity Plan'!$S$34:$AW$99,
MATCH("*"&amp;TRIM($V117)&amp;"*",'Activity Plan'!$D$35:$D$100,0)+MATCH($W117,{"PLAN";"ACTUAL";"ACHIVE"},0)-1,
MATCH($X117,DAY('Activity Plan'!$S$7:$AW$7),0)))</f>
        <v>0.91249999999999998</v>
      </c>
      <c r="CF117">
        <v>4</v>
      </c>
      <c r="CG117" t="s">
        <v>30</v>
      </c>
      <c r="CH117" t="s">
        <v>2</v>
      </c>
      <c r="CI117" t="s">
        <v>76</v>
      </c>
      <c r="CJ117" s="68">
        <v>1</v>
      </c>
      <c r="CL117" t="s">
        <v>150</v>
      </c>
      <c r="CM117" t="s">
        <v>18</v>
      </c>
      <c r="CN117" t="s">
        <v>22</v>
      </c>
      <c r="CO117">
        <v>26</v>
      </c>
      <c r="CP117" s="146">
        <f t="shared" si="1"/>
        <v>0.8</v>
      </c>
      <c r="DC117" s="71"/>
    </row>
    <row r="118" spans="22:107" x14ac:dyDescent="0.35">
      <c r="V118" t="s">
        <v>138</v>
      </c>
      <c r="W118" t="s">
        <v>39</v>
      </c>
      <c r="X118" s="70">
        <v>22</v>
      </c>
      <c r="Y118" s="69" cm="1">
        <f t="array" ref="Y118">IF(INDEX('Activity Plan'!$S$34:$AW$99,
MATCH("*"&amp;TRIM($V118)&amp;"*",'Activity Plan'!$D$35:$D$100,0)+MATCH($W118,{"PLAN";"ACTUAL";"ACHIVE"},0)-1,
MATCH($X118,DAY('Activity Plan'!$S$7:$AW$7),0))=0,
"N/A",
INDEX('Activity Plan'!$S$34:$AW$99,
MATCH("*"&amp;TRIM($V118)&amp;"*",'Activity Plan'!$D$35:$D$100,0)+MATCH($W118,{"PLAN";"ACTUAL";"ACHIVE"},0)-1,
MATCH($X118,DAY('Activity Plan'!$S$7:$AW$7),0)))</f>
        <v>1</v>
      </c>
      <c r="CF118">
        <v>4</v>
      </c>
      <c r="CG118" t="s">
        <v>30</v>
      </c>
      <c r="CH118" t="s">
        <v>2</v>
      </c>
      <c r="CI118" t="s">
        <v>77</v>
      </c>
      <c r="CJ118" s="68">
        <v>1</v>
      </c>
      <c r="CL118" t="s">
        <v>150</v>
      </c>
      <c r="CM118" t="s">
        <v>18</v>
      </c>
      <c r="CN118" t="s">
        <v>21</v>
      </c>
      <c r="CO118">
        <v>27</v>
      </c>
      <c r="CP118" s="146">
        <f t="shared" si="1"/>
        <v>0.9</v>
      </c>
      <c r="DC118" s="71"/>
    </row>
    <row r="119" spans="22:107" x14ac:dyDescent="0.35">
      <c r="V119" t="s">
        <v>138</v>
      </c>
      <c r="W119" t="s">
        <v>39</v>
      </c>
      <c r="X119" s="70">
        <v>23</v>
      </c>
      <c r="Y119" s="69" cm="1">
        <f t="array" ref="Y119">IF(INDEX('Activity Plan'!$S$34:$AW$99,
MATCH("*"&amp;TRIM($V119)&amp;"*",'Activity Plan'!$D$35:$D$100,0)+MATCH($W119,{"PLAN";"ACTUAL";"ACHIVE"},0)-1,
MATCH($X119,DAY('Activity Plan'!$S$7:$AW$7),0))=0,
"N/A",
INDEX('Activity Plan'!$S$34:$AW$99,
MATCH("*"&amp;TRIM($V119)&amp;"*",'Activity Plan'!$D$35:$D$100,0)+MATCH($W119,{"PLAN";"ACTUAL";"ACHIVE"},0)-1,
MATCH($X119,DAY('Activity Plan'!$S$7:$AW$7),0)))</f>
        <v>0.75</v>
      </c>
      <c r="CF119">
        <v>4</v>
      </c>
      <c r="CG119" t="s">
        <v>30</v>
      </c>
      <c r="CH119" t="s">
        <v>2</v>
      </c>
      <c r="CI119" t="s">
        <v>78</v>
      </c>
      <c r="CJ119" s="68">
        <v>1</v>
      </c>
      <c r="CL119" t="s">
        <v>150</v>
      </c>
      <c r="CM119" t="s">
        <v>18</v>
      </c>
      <c r="CN119" t="s">
        <v>22</v>
      </c>
      <c r="CO119">
        <v>27</v>
      </c>
      <c r="CP119" s="146">
        <f t="shared" si="1"/>
        <v>0.83</v>
      </c>
      <c r="DC119" s="71"/>
    </row>
    <row r="120" spans="22:107" x14ac:dyDescent="0.35">
      <c r="V120" t="s">
        <v>138</v>
      </c>
      <c r="W120" t="s">
        <v>39</v>
      </c>
      <c r="X120" s="70">
        <v>24</v>
      </c>
      <c r="Y120" s="69" cm="1">
        <f t="array" ref="Y120">IF(INDEX('Activity Plan'!$S$34:$AW$99,
MATCH("*"&amp;TRIM($V120)&amp;"*",'Activity Plan'!$D$35:$D$100,0)+MATCH($W120,{"PLAN";"ACTUAL";"ACHIVE"},0)-1,
MATCH($X120,DAY('Activity Plan'!$S$7:$AW$7),0))=0,
"N/A",
INDEX('Activity Plan'!$S$34:$AW$99,
MATCH("*"&amp;TRIM($V120)&amp;"*",'Activity Plan'!$D$35:$D$100,0)+MATCH($W120,{"PLAN";"ACTUAL";"ACHIVE"},0)-1,
MATCH($X120,DAY('Activity Plan'!$S$7:$AW$7),0)))</f>
        <v>0.625</v>
      </c>
      <c r="CF120">
        <v>4</v>
      </c>
      <c r="CG120" t="s">
        <v>30</v>
      </c>
      <c r="CH120" t="s">
        <v>2</v>
      </c>
      <c r="CI120" t="s">
        <v>79</v>
      </c>
      <c r="CJ120" s="68">
        <v>1</v>
      </c>
      <c r="CL120" t="s">
        <v>150</v>
      </c>
      <c r="CM120" t="s">
        <v>18</v>
      </c>
      <c r="CN120" t="s">
        <v>21</v>
      </c>
      <c r="CO120">
        <v>28</v>
      </c>
      <c r="CP120" s="146">
        <f t="shared" si="1"/>
        <v>0.9</v>
      </c>
      <c r="DC120" s="71"/>
    </row>
    <row r="121" spans="22:107" x14ac:dyDescent="0.35">
      <c r="V121" t="s">
        <v>138</v>
      </c>
      <c r="W121" t="s">
        <v>39</v>
      </c>
      <c r="X121" s="70">
        <v>25</v>
      </c>
      <c r="Y121" s="69" cm="1">
        <f t="array" ref="Y121">IF(INDEX('Activity Plan'!$S$34:$AW$99,
MATCH("*"&amp;TRIM($V121)&amp;"*",'Activity Plan'!$D$35:$D$100,0)+MATCH($W121,{"PLAN";"ACTUAL";"ACHIVE"},0)-1,
MATCH($X121,DAY('Activity Plan'!$S$7:$AW$7),0))=0,
"N/A",
INDEX('Activity Plan'!$S$34:$AW$99,
MATCH("*"&amp;TRIM($V121)&amp;"*",'Activity Plan'!$D$35:$D$100,0)+MATCH($W121,{"PLAN";"ACTUAL";"ACHIVE"},0)-1,
MATCH($X121,DAY('Activity Plan'!$S$7:$AW$7),0)))</f>
        <v>0.9375</v>
      </c>
      <c r="CF121">
        <v>4</v>
      </c>
      <c r="CG121" t="s">
        <v>30</v>
      </c>
      <c r="CH121" t="s">
        <v>2</v>
      </c>
      <c r="CI121" t="s">
        <v>80</v>
      </c>
      <c r="CJ121" s="68">
        <v>1</v>
      </c>
      <c r="CL121" t="s">
        <v>150</v>
      </c>
      <c r="CM121" t="s">
        <v>18</v>
      </c>
      <c r="CN121" t="s">
        <v>22</v>
      </c>
      <c r="CO121">
        <v>28</v>
      </c>
      <c r="CP121" s="146">
        <f t="shared" si="1"/>
        <v>0.72</v>
      </c>
      <c r="DC121" s="71"/>
    </row>
    <row r="122" spans="22:107" x14ac:dyDescent="0.35">
      <c r="V122" t="s">
        <v>138</v>
      </c>
      <c r="W122" t="s">
        <v>39</v>
      </c>
      <c r="X122" s="70">
        <v>26</v>
      </c>
      <c r="Y122" s="69" cm="1">
        <f t="array" ref="Y122">IF(INDEX('Activity Plan'!$S$34:$AW$99,
MATCH("*"&amp;TRIM($V122)&amp;"*",'Activity Plan'!$D$35:$D$100,0)+MATCH($W122,{"PLAN";"ACTUAL";"ACHIVE"},0)-1,
MATCH($X122,DAY('Activity Plan'!$S$7:$AW$7),0))=0,
"N/A",
INDEX('Activity Plan'!$S$34:$AW$99,
MATCH("*"&amp;TRIM($V122)&amp;"*",'Activity Plan'!$D$35:$D$100,0)+MATCH($W122,{"PLAN";"ACTUAL";"ACHIVE"},0)-1,
MATCH($X122,DAY('Activity Plan'!$S$7:$AW$7),0)))</f>
        <v>1.0375000000000001</v>
      </c>
      <c r="CF122">
        <v>5</v>
      </c>
      <c r="CG122" t="s">
        <v>30</v>
      </c>
      <c r="CH122" t="s">
        <v>3</v>
      </c>
      <c r="CI122" t="s">
        <v>52</v>
      </c>
      <c r="CJ122" s="68">
        <v>1</v>
      </c>
      <c r="CL122" t="s">
        <v>150</v>
      </c>
      <c r="CM122" t="s">
        <v>18</v>
      </c>
      <c r="CN122" t="s">
        <v>21</v>
      </c>
      <c r="CO122">
        <v>29</v>
      </c>
      <c r="CP122" s="146">
        <f t="shared" si="1"/>
        <v>0.9</v>
      </c>
      <c r="DC122" s="71"/>
    </row>
    <row r="123" spans="22:107" x14ac:dyDescent="0.35">
      <c r="V123" t="s">
        <v>138</v>
      </c>
      <c r="W123" t="s">
        <v>39</v>
      </c>
      <c r="X123" s="70">
        <v>27</v>
      </c>
      <c r="Y123" s="69" cm="1">
        <f t="array" ref="Y123">IF(INDEX('Activity Plan'!$S$34:$AW$99,
MATCH("*"&amp;TRIM($V123)&amp;"*",'Activity Plan'!$D$35:$D$100,0)+MATCH($W123,{"PLAN";"ACTUAL";"ACHIVE"},0)-1,
MATCH($X123,DAY('Activity Plan'!$S$7:$AW$7),0))=0,
"N/A",
INDEX('Activity Plan'!$S$34:$AW$99,
MATCH("*"&amp;TRIM($V123)&amp;"*",'Activity Plan'!$D$35:$D$100,0)+MATCH($W123,{"PLAN";"ACTUAL";"ACHIVE"},0)-1,
MATCH($X123,DAY('Activity Plan'!$S$7:$AW$7),0)))</f>
        <v>0.8125</v>
      </c>
      <c r="CF123">
        <v>5</v>
      </c>
      <c r="CG123" t="s">
        <v>30</v>
      </c>
      <c r="CH123" t="s">
        <v>3</v>
      </c>
      <c r="CI123" t="s">
        <v>53</v>
      </c>
      <c r="CJ123" s="68">
        <v>1</v>
      </c>
      <c r="CL123" t="s">
        <v>150</v>
      </c>
      <c r="CM123" t="s">
        <v>18</v>
      </c>
      <c r="CN123" t="s">
        <v>22</v>
      </c>
      <c r="CO123">
        <v>29</v>
      </c>
      <c r="CP123" s="146">
        <f t="shared" si="1"/>
        <v>1</v>
      </c>
      <c r="DC123" s="71"/>
    </row>
    <row r="124" spans="22:107" x14ac:dyDescent="0.35">
      <c r="V124" t="s">
        <v>138</v>
      </c>
      <c r="W124" t="s">
        <v>39</v>
      </c>
      <c r="X124" s="70">
        <v>28</v>
      </c>
      <c r="Y124" s="69" cm="1">
        <f t="array" ref="Y124">IF(INDEX('Activity Plan'!$S$34:$AW$99,
MATCH("*"&amp;TRIM($V124)&amp;"*",'Activity Plan'!$D$35:$D$100,0)+MATCH($W124,{"PLAN";"ACTUAL";"ACHIVE"},0)-1,
MATCH($X124,DAY('Activity Plan'!$S$7:$AW$7),0))=0,
"N/A",
INDEX('Activity Plan'!$S$34:$AW$99,
MATCH("*"&amp;TRIM($V124)&amp;"*",'Activity Plan'!$D$35:$D$100,0)+MATCH($W124,{"PLAN";"ACTUAL";"ACHIVE"},0)-1,
MATCH($X124,DAY('Activity Plan'!$S$7:$AW$7),0)))</f>
        <v>0.91249999999999998</v>
      </c>
      <c r="CF124">
        <v>5</v>
      </c>
      <c r="CG124" t="s">
        <v>30</v>
      </c>
      <c r="CH124" t="s">
        <v>3</v>
      </c>
      <c r="CI124" t="s">
        <v>54</v>
      </c>
      <c r="CJ124" s="68">
        <v>1</v>
      </c>
      <c r="CL124" t="s">
        <v>150</v>
      </c>
      <c r="CM124" t="s">
        <v>18</v>
      </c>
      <c r="CN124" t="s">
        <v>21</v>
      </c>
      <c r="CO124">
        <v>30</v>
      </c>
      <c r="CP124" s="146">
        <f t="shared" si="1"/>
        <v>0.9</v>
      </c>
      <c r="DC124" s="71"/>
    </row>
    <row r="125" spans="22:107" x14ac:dyDescent="0.35">
      <c r="V125" t="s">
        <v>138</v>
      </c>
      <c r="W125" t="s">
        <v>39</v>
      </c>
      <c r="X125" s="70">
        <v>29</v>
      </c>
      <c r="Y125" s="69" cm="1">
        <f t="array" ref="Y125">IF(INDEX('Activity Plan'!$S$34:$AW$99,
MATCH("*"&amp;TRIM($V125)&amp;"*",'Activity Plan'!$D$35:$D$100,0)+MATCH($W125,{"PLAN";"ACTUAL";"ACHIVE"},0)-1,
MATCH($X125,DAY('Activity Plan'!$S$7:$AW$7),0))=0,
"N/A",
INDEX('Activity Plan'!$S$34:$AW$99,
MATCH("*"&amp;TRIM($V125)&amp;"*",'Activity Plan'!$D$35:$D$100,0)+MATCH($W125,{"PLAN";"ACTUAL";"ACHIVE"},0)-1,
MATCH($X125,DAY('Activity Plan'!$S$7:$AW$7),0)))</f>
        <v>0.9375</v>
      </c>
      <c r="CF125">
        <v>5</v>
      </c>
      <c r="CG125" t="s">
        <v>30</v>
      </c>
      <c r="CH125" t="s">
        <v>3</v>
      </c>
      <c r="CI125" t="s">
        <v>55</v>
      </c>
      <c r="CJ125" s="68">
        <v>1</v>
      </c>
      <c r="CL125" t="s">
        <v>150</v>
      </c>
      <c r="CM125" t="s">
        <v>18</v>
      </c>
      <c r="CN125" t="s">
        <v>22</v>
      </c>
      <c r="CO125">
        <v>30</v>
      </c>
      <c r="CP125" s="146">
        <f t="shared" si="1"/>
        <v>0.9</v>
      </c>
      <c r="DC125" s="71"/>
    </row>
    <row r="126" spans="22:107" x14ac:dyDescent="0.35">
      <c r="V126" t="s">
        <v>138</v>
      </c>
      <c r="W126" t="s">
        <v>39</v>
      </c>
      <c r="X126" s="70">
        <v>30</v>
      </c>
      <c r="Y126" s="69" cm="1">
        <f t="array" ref="Y126">IF(INDEX('Activity Plan'!$S$34:$AW$99,
MATCH("*"&amp;TRIM($V126)&amp;"*",'Activity Plan'!$D$35:$D$100,0)+MATCH($W126,{"PLAN";"ACTUAL";"ACHIVE"},0)-1,
MATCH($X126,DAY('Activity Plan'!$S$7:$AW$7),0))=0,
"N/A",
INDEX('Activity Plan'!$S$34:$AW$99,
MATCH("*"&amp;TRIM($V126)&amp;"*",'Activity Plan'!$D$35:$D$100,0)+MATCH($W126,{"PLAN";"ACTUAL";"ACHIVE"},0)-1,
MATCH($X126,DAY('Activity Plan'!$S$7:$AW$7),0)))</f>
        <v>1.0375000000000001</v>
      </c>
      <c r="CF126">
        <v>5</v>
      </c>
      <c r="CG126" t="s">
        <v>30</v>
      </c>
      <c r="CH126" t="s">
        <v>3</v>
      </c>
      <c r="CI126" t="s">
        <v>56</v>
      </c>
      <c r="CJ126" s="68">
        <v>1</v>
      </c>
      <c r="CL126" t="s">
        <v>150</v>
      </c>
      <c r="CM126" t="s">
        <v>18</v>
      </c>
      <c r="CN126" t="s">
        <v>21</v>
      </c>
      <c r="CO126">
        <v>31</v>
      </c>
      <c r="CP126" s="146" t="e">
        <f t="shared" si="1"/>
        <v>#N/A</v>
      </c>
      <c r="DC126" s="71"/>
    </row>
    <row r="127" spans="22:107" x14ac:dyDescent="0.35">
      <c r="V127" t="s">
        <v>138</v>
      </c>
      <c r="W127" t="s">
        <v>39</v>
      </c>
      <c r="X127" s="70">
        <v>31</v>
      </c>
      <c r="Y127" s="69" t="e" cm="1">
        <f t="array" ref="Y127">IF(INDEX('Activity Plan'!$S$34:$AW$99,
MATCH("*"&amp;TRIM($V127)&amp;"*",'Activity Plan'!$D$35:$D$100,0)+MATCH($W127,{"PLAN";"ACTUAL";"ACHIVE"},0)-1,
MATCH($X127,DAY('Activity Plan'!$S$7:$AW$7),0))=0,
"N/A",
INDEX('Activity Plan'!$S$34:$AW$99,
MATCH("*"&amp;TRIM($V127)&amp;"*",'Activity Plan'!$D$35:$D$100,0)+MATCH($W127,{"PLAN";"ACTUAL";"ACHIVE"},0)-1,
MATCH($X127,DAY('Activity Plan'!$S$7:$AW$7),0)))</f>
        <v>#N/A</v>
      </c>
      <c r="CF127">
        <v>5</v>
      </c>
      <c r="CG127" t="s">
        <v>30</v>
      </c>
      <c r="CH127" t="s">
        <v>3</v>
      </c>
      <c r="CI127" t="s">
        <v>57</v>
      </c>
      <c r="CJ127" s="68">
        <v>1</v>
      </c>
      <c r="CL127" t="s">
        <v>150</v>
      </c>
      <c r="CM127" t="s">
        <v>18</v>
      </c>
      <c r="CN127" t="s">
        <v>22</v>
      </c>
      <c r="CO127">
        <v>31</v>
      </c>
      <c r="CP127" s="146" t="e">
        <f t="shared" si="1"/>
        <v>#N/A</v>
      </c>
      <c r="DC127" s="71"/>
    </row>
    <row r="128" spans="22:107" x14ac:dyDescent="0.35">
      <c r="CF128">
        <v>5</v>
      </c>
      <c r="CG128" t="s">
        <v>30</v>
      </c>
      <c r="CH128" t="s">
        <v>3</v>
      </c>
      <c r="CI128" t="s">
        <v>58</v>
      </c>
      <c r="CJ128" s="68">
        <v>1</v>
      </c>
      <c r="CL128" t="s">
        <v>150</v>
      </c>
      <c r="CM128" t="s">
        <v>20</v>
      </c>
      <c r="CN128" t="s">
        <v>21</v>
      </c>
      <c r="CO128">
        <v>1</v>
      </c>
      <c r="CP128" s="147">
        <f>O4</f>
        <v>70</v>
      </c>
    </row>
    <row r="129" spans="84:94" x14ac:dyDescent="0.35">
      <c r="CF129">
        <v>5</v>
      </c>
      <c r="CG129" t="s">
        <v>30</v>
      </c>
      <c r="CH129" t="s">
        <v>3</v>
      </c>
      <c r="CI129" t="s">
        <v>59</v>
      </c>
      <c r="CJ129" s="68">
        <v>1</v>
      </c>
      <c r="CL129" t="s">
        <v>150</v>
      </c>
      <c r="CM129" t="s">
        <v>20</v>
      </c>
      <c r="CN129" t="s">
        <v>22</v>
      </c>
      <c r="CO129">
        <v>1</v>
      </c>
      <c r="CP129" s="147">
        <f t="shared" ref="CP129:CP189" si="2">O5</f>
        <v>80</v>
      </c>
    </row>
    <row r="130" spans="84:94" x14ac:dyDescent="0.35">
      <c r="CF130">
        <v>5</v>
      </c>
      <c r="CG130" t="s">
        <v>30</v>
      </c>
      <c r="CH130" t="s">
        <v>3</v>
      </c>
      <c r="CI130" t="s">
        <v>60</v>
      </c>
      <c r="CJ130" s="68">
        <v>1</v>
      </c>
      <c r="CL130" t="s">
        <v>150</v>
      </c>
      <c r="CM130" t="s">
        <v>20</v>
      </c>
      <c r="CN130" t="s">
        <v>21</v>
      </c>
      <c r="CO130">
        <v>2</v>
      </c>
      <c r="CP130" s="147">
        <f t="shared" si="2"/>
        <v>70</v>
      </c>
    </row>
    <row r="131" spans="84:94" x14ac:dyDescent="0.35">
      <c r="CF131">
        <v>5</v>
      </c>
      <c r="CG131" t="s">
        <v>30</v>
      </c>
      <c r="CH131" t="s">
        <v>3</v>
      </c>
      <c r="CI131" t="s">
        <v>61</v>
      </c>
      <c r="CJ131" s="68">
        <v>1</v>
      </c>
      <c r="CL131" t="s">
        <v>150</v>
      </c>
      <c r="CM131" t="s">
        <v>20</v>
      </c>
      <c r="CN131" t="s">
        <v>22</v>
      </c>
      <c r="CO131">
        <v>2</v>
      </c>
      <c r="CP131" s="147">
        <f t="shared" si="2"/>
        <v>60</v>
      </c>
    </row>
    <row r="132" spans="84:94" x14ac:dyDescent="0.35">
      <c r="CF132">
        <v>5</v>
      </c>
      <c r="CG132" t="s">
        <v>30</v>
      </c>
      <c r="CH132" t="s">
        <v>3</v>
      </c>
      <c r="CI132" t="s">
        <v>62</v>
      </c>
      <c r="CJ132" s="68">
        <v>1</v>
      </c>
      <c r="CL132" t="s">
        <v>150</v>
      </c>
      <c r="CM132" t="s">
        <v>20</v>
      </c>
      <c r="CN132" t="s">
        <v>21</v>
      </c>
      <c r="CO132">
        <v>3</v>
      </c>
      <c r="CP132" s="147">
        <f t="shared" si="2"/>
        <v>70</v>
      </c>
    </row>
    <row r="133" spans="84:94" x14ac:dyDescent="0.35">
      <c r="CF133">
        <v>5</v>
      </c>
      <c r="CG133" t="s">
        <v>30</v>
      </c>
      <c r="CH133" t="s">
        <v>3</v>
      </c>
      <c r="CI133" t="s">
        <v>63</v>
      </c>
      <c r="CJ133" s="68">
        <v>1</v>
      </c>
      <c r="CL133" t="s">
        <v>150</v>
      </c>
      <c r="CM133" t="s">
        <v>20</v>
      </c>
      <c r="CN133" t="s">
        <v>22</v>
      </c>
      <c r="CO133">
        <v>3</v>
      </c>
      <c r="CP133" s="147">
        <f t="shared" si="2"/>
        <v>50</v>
      </c>
    </row>
    <row r="134" spans="84:94" x14ac:dyDescent="0.35">
      <c r="CF134">
        <v>5</v>
      </c>
      <c r="CG134" t="s">
        <v>30</v>
      </c>
      <c r="CH134" t="s">
        <v>3</v>
      </c>
      <c r="CI134" t="s">
        <v>64</v>
      </c>
      <c r="CJ134" s="68">
        <v>1</v>
      </c>
      <c r="CL134" t="s">
        <v>150</v>
      </c>
      <c r="CM134" t="s">
        <v>20</v>
      </c>
      <c r="CN134" t="s">
        <v>21</v>
      </c>
      <c r="CO134">
        <v>4</v>
      </c>
      <c r="CP134" s="147">
        <f t="shared" si="2"/>
        <v>70</v>
      </c>
    </row>
    <row r="135" spans="84:94" x14ac:dyDescent="0.35">
      <c r="CF135">
        <v>5</v>
      </c>
      <c r="CG135" t="s">
        <v>30</v>
      </c>
      <c r="CH135" t="s">
        <v>3</v>
      </c>
      <c r="CI135" t="s">
        <v>65</v>
      </c>
      <c r="CJ135" s="68">
        <v>1</v>
      </c>
      <c r="CL135" t="s">
        <v>150</v>
      </c>
      <c r="CM135" t="s">
        <v>20</v>
      </c>
      <c r="CN135" t="s">
        <v>22</v>
      </c>
      <c r="CO135">
        <v>4</v>
      </c>
      <c r="CP135" s="147">
        <f t="shared" si="2"/>
        <v>75</v>
      </c>
    </row>
    <row r="136" spans="84:94" x14ac:dyDescent="0.35">
      <c r="CF136">
        <v>5</v>
      </c>
      <c r="CG136" t="s">
        <v>30</v>
      </c>
      <c r="CH136" t="s">
        <v>3</v>
      </c>
      <c r="CI136" t="s">
        <v>66</v>
      </c>
      <c r="CJ136" s="68">
        <v>1</v>
      </c>
      <c r="CL136" t="s">
        <v>150</v>
      </c>
      <c r="CM136" t="s">
        <v>20</v>
      </c>
      <c r="CN136" t="s">
        <v>21</v>
      </c>
      <c r="CO136">
        <v>5</v>
      </c>
      <c r="CP136" s="147">
        <f t="shared" si="2"/>
        <v>70</v>
      </c>
    </row>
    <row r="137" spans="84:94" x14ac:dyDescent="0.35">
      <c r="CF137">
        <v>5</v>
      </c>
      <c r="CG137" t="s">
        <v>30</v>
      </c>
      <c r="CH137" t="s">
        <v>3</v>
      </c>
      <c r="CI137" t="s">
        <v>67</v>
      </c>
      <c r="CJ137" s="68">
        <v>1</v>
      </c>
      <c r="CL137" t="s">
        <v>150</v>
      </c>
      <c r="CM137" t="s">
        <v>20</v>
      </c>
      <c r="CN137" t="s">
        <v>22</v>
      </c>
      <c r="CO137">
        <v>5</v>
      </c>
      <c r="CP137" s="147">
        <f t="shared" si="2"/>
        <v>83</v>
      </c>
    </row>
    <row r="138" spans="84:94" x14ac:dyDescent="0.35">
      <c r="CF138">
        <v>5</v>
      </c>
      <c r="CG138" t="s">
        <v>30</v>
      </c>
      <c r="CH138" t="s">
        <v>3</v>
      </c>
      <c r="CI138" t="s">
        <v>68</v>
      </c>
      <c r="CJ138" s="68">
        <v>1</v>
      </c>
      <c r="CL138" t="s">
        <v>150</v>
      </c>
      <c r="CM138" t="s">
        <v>20</v>
      </c>
      <c r="CN138" t="s">
        <v>21</v>
      </c>
      <c r="CO138">
        <v>6</v>
      </c>
      <c r="CP138" s="147">
        <f t="shared" si="2"/>
        <v>70</v>
      </c>
    </row>
    <row r="139" spans="84:94" x14ac:dyDescent="0.35">
      <c r="CF139">
        <v>5</v>
      </c>
      <c r="CG139" t="s">
        <v>30</v>
      </c>
      <c r="CH139" t="s">
        <v>3</v>
      </c>
      <c r="CI139" t="s">
        <v>69</v>
      </c>
      <c r="CJ139" s="68">
        <v>1</v>
      </c>
      <c r="CL139" t="s">
        <v>150</v>
      </c>
      <c r="CM139" t="s">
        <v>20</v>
      </c>
      <c r="CN139" t="s">
        <v>22</v>
      </c>
      <c r="CO139">
        <v>6</v>
      </c>
      <c r="CP139" s="147">
        <f t="shared" si="2"/>
        <v>65</v>
      </c>
    </row>
    <row r="140" spans="84:94" x14ac:dyDescent="0.35">
      <c r="CF140">
        <v>5</v>
      </c>
      <c r="CG140" t="s">
        <v>30</v>
      </c>
      <c r="CH140" t="s">
        <v>3</v>
      </c>
      <c r="CI140" t="s">
        <v>70</v>
      </c>
      <c r="CJ140" s="68">
        <v>1</v>
      </c>
      <c r="CL140" t="s">
        <v>150</v>
      </c>
      <c r="CM140" t="s">
        <v>20</v>
      </c>
      <c r="CN140" t="s">
        <v>21</v>
      </c>
      <c r="CO140">
        <v>7</v>
      </c>
      <c r="CP140" s="147">
        <f t="shared" si="2"/>
        <v>70</v>
      </c>
    </row>
    <row r="141" spans="84:94" x14ac:dyDescent="0.35">
      <c r="CF141">
        <v>5</v>
      </c>
      <c r="CG141" t="s">
        <v>30</v>
      </c>
      <c r="CH141" t="s">
        <v>3</v>
      </c>
      <c r="CI141" t="s">
        <v>71</v>
      </c>
      <c r="CJ141" s="68">
        <v>1</v>
      </c>
      <c r="CL141" t="s">
        <v>150</v>
      </c>
      <c r="CM141" t="s">
        <v>20</v>
      </c>
      <c r="CN141" t="s">
        <v>22</v>
      </c>
      <c r="CO141">
        <v>7</v>
      </c>
      <c r="CP141" s="147">
        <f t="shared" si="2"/>
        <v>73</v>
      </c>
    </row>
    <row r="142" spans="84:94" x14ac:dyDescent="0.35">
      <c r="CF142">
        <v>5</v>
      </c>
      <c r="CG142" t="s">
        <v>30</v>
      </c>
      <c r="CH142" t="s">
        <v>3</v>
      </c>
      <c r="CI142" t="s">
        <v>72</v>
      </c>
      <c r="CJ142" s="68">
        <v>1</v>
      </c>
      <c r="CL142" t="s">
        <v>150</v>
      </c>
      <c r="CM142" t="s">
        <v>20</v>
      </c>
      <c r="CN142" t="s">
        <v>21</v>
      </c>
      <c r="CO142">
        <v>8</v>
      </c>
      <c r="CP142" s="147">
        <f t="shared" si="2"/>
        <v>70</v>
      </c>
    </row>
    <row r="143" spans="84:94" x14ac:dyDescent="0.35">
      <c r="CF143">
        <v>5</v>
      </c>
      <c r="CG143" t="s">
        <v>30</v>
      </c>
      <c r="CH143" t="s">
        <v>3</v>
      </c>
      <c r="CI143" t="s">
        <v>73</v>
      </c>
      <c r="CJ143" s="68">
        <v>1</v>
      </c>
      <c r="CL143" t="s">
        <v>150</v>
      </c>
      <c r="CM143" t="s">
        <v>20</v>
      </c>
      <c r="CN143" t="s">
        <v>22</v>
      </c>
      <c r="CO143">
        <v>8</v>
      </c>
      <c r="CP143" s="147">
        <f t="shared" si="2"/>
        <v>80</v>
      </c>
    </row>
    <row r="144" spans="84:94" x14ac:dyDescent="0.35">
      <c r="CF144">
        <v>5</v>
      </c>
      <c r="CG144" t="s">
        <v>30</v>
      </c>
      <c r="CH144" t="s">
        <v>3</v>
      </c>
      <c r="CI144" t="s">
        <v>74</v>
      </c>
      <c r="CJ144" s="68">
        <v>1</v>
      </c>
      <c r="CL144" t="s">
        <v>150</v>
      </c>
      <c r="CM144" t="s">
        <v>20</v>
      </c>
      <c r="CN144" t="s">
        <v>21</v>
      </c>
      <c r="CO144">
        <v>9</v>
      </c>
      <c r="CP144" s="147">
        <f t="shared" si="2"/>
        <v>70</v>
      </c>
    </row>
    <row r="145" spans="84:94" x14ac:dyDescent="0.35">
      <c r="CF145">
        <v>5</v>
      </c>
      <c r="CG145" t="s">
        <v>30</v>
      </c>
      <c r="CH145" t="s">
        <v>3</v>
      </c>
      <c r="CI145" t="s">
        <v>75</v>
      </c>
      <c r="CJ145" s="68">
        <v>1</v>
      </c>
      <c r="CL145" t="s">
        <v>150</v>
      </c>
      <c r="CM145" t="s">
        <v>20</v>
      </c>
      <c r="CN145" t="s">
        <v>22</v>
      </c>
      <c r="CO145">
        <v>9</v>
      </c>
      <c r="CP145" s="147">
        <f t="shared" si="2"/>
        <v>60</v>
      </c>
    </row>
    <row r="146" spans="84:94" x14ac:dyDescent="0.35">
      <c r="CF146">
        <v>5</v>
      </c>
      <c r="CG146" t="s">
        <v>30</v>
      </c>
      <c r="CH146" t="s">
        <v>3</v>
      </c>
      <c r="CI146" t="s">
        <v>76</v>
      </c>
      <c r="CJ146" s="68">
        <v>1</v>
      </c>
      <c r="CL146" t="s">
        <v>150</v>
      </c>
      <c r="CM146" t="s">
        <v>20</v>
      </c>
      <c r="CN146" t="s">
        <v>21</v>
      </c>
      <c r="CO146">
        <v>10</v>
      </c>
      <c r="CP146" s="147">
        <f t="shared" si="2"/>
        <v>70</v>
      </c>
    </row>
    <row r="147" spans="84:94" x14ac:dyDescent="0.35">
      <c r="CF147">
        <v>5</v>
      </c>
      <c r="CG147" t="s">
        <v>30</v>
      </c>
      <c r="CH147" t="s">
        <v>3</v>
      </c>
      <c r="CI147" t="s">
        <v>77</v>
      </c>
      <c r="CJ147" s="68">
        <v>1</v>
      </c>
      <c r="CL147" t="s">
        <v>150</v>
      </c>
      <c r="CM147" t="s">
        <v>20</v>
      </c>
      <c r="CN147" t="s">
        <v>22</v>
      </c>
      <c r="CO147">
        <v>10</v>
      </c>
      <c r="CP147" s="147">
        <f t="shared" si="2"/>
        <v>50</v>
      </c>
    </row>
    <row r="148" spans="84:94" x14ac:dyDescent="0.35">
      <c r="CF148">
        <v>5</v>
      </c>
      <c r="CG148" t="s">
        <v>30</v>
      </c>
      <c r="CH148" t="s">
        <v>3</v>
      </c>
      <c r="CI148" t="s">
        <v>78</v>
      </c>
      <c r="CJ148" s="68">
        <v>1</v>
      </c>
      <c r="CL148" t="s">
        <v>150</v>
      </c>
      <c r="CM148" t="s">
        <v>20</v>
      </c>
      <c r="CN148" t="s">
        <v>21</v>
      </c>
      <c r="CO148">
        <v>11</v>
      </c>
      <c r="CP148" s="147">
        <f t="shared" si="2"/>
        <v>70</v>
      </c>
    </row>
    <row r="149" spans="84:94" x14ac:dyDescent="0.35">
      <c r="CF149">
        <v>5</v>
      </c>
      <c r="CG149" t="s">
        <v>30</v>
      </c>
      <c r="CH149" t="s">
        <v>3</v>
      </c>
      <c r="CI149" t="s">
        <v>79</v>
      </c>
      <c r="CJ149" s="68">
        <v>1</v>
      </c>
      <c r="CL149" t="s">
        <v>150</v>
      </c>
      <c r="CM149" t="s">
        <v>20</v>
      </c>
      <c r="CN149" t="s">
        <v>22</v>
      </c>
      <c r="CO149">
        <v>11</v>
      </c>
      <c r="CP149" s="147">
        <f t="shared" si="2"/>
        <v>75</v>
      </c>
    </row>
    <row r="150" spans="84:94" x14ac:dyDescent="0.35">
      <c r="CF150">
        <v>5</v>
      </c>
      <c r="CG150" t="s">
        <v>30</v>
      </c>
      <c r="CH150" t="s">
        <v>3</v>
      </c>
      <c r="CI150" t="s">
        <v>80</v>
      </c>
      <c r="CJ150" s="68">
        <v>1</v>
      </c>
      <c r="CL150" t="s">
        <v>150</v>
      </c>
      <c r="CM150" t="s">
        <v>20</v>
      </c>
      <c r="CN150" t="s">
        <v>21</v>
      </c>
      <c r="CO150">
        <v>12</v>
      </c>
      <c r="CP150" s="147">
        <f t="shared" si="2"/>
        <v>70</v>
      </c>
    </row>
    <row r="151" spans="84:94" x14ac:dyDescent="0.35">
      <c r="CF151">
        <v>6</v>
      </c>
      <c r="CG151" t="s">
        <v>30</v>
      </c>
      <c r="CH151" t="s">
        <v>3</v>
      </c>
      <c r="CI151" t="s">
        <v>51</v>
      </c>
      <c r="CJ151" s="68">
        <v>0</v>
      </c>
      <c r="CL151" t="s">
        <v>150</v>
      </c>
      <c r="CM151" t="s">
        <v>20</v>
      </c>
      <c r="CN151" t="s">
        <v>22</v>
      </c>
      <c r="CO151">
        <v>12</v>
      </c>
      <c r="CP151" s="147">
        <f t="shared" si="2"/>
        <v>83</v>
      </c>
    </row>
    <row r="152" spans="84:94" x14ac:dyDescent="0.35">
      <c r="CF152">
        <v>6</v>
      </c>
      <c r="CG152" t="s">
        <v>30</v>
      </c>
      <c r="CH152" t="s">
        <v>3</v>
      </c>
      <c r="CI152" t="s">
        <v>52</v>
      </c>
      <c r="CJ152" s="68">
        <v>0</v>
      </c>
      <c r="CL152" t="s">
        <v>150</v>
      </c>
      <c r="CM152" t="s">
        <v>20</v>
      </c>
      <c r="CN152" t="s">
        <v>21</v>
      </c>
      <c r="CO152">
        <v>13</v>
      </c>
      <c r="CP152" s="147">
        <f t="shared" si="2"/>
        <v>70</v>
      </c>
    </row>
    <row r="153" spans="84:94" x14ac:dyDescent="0.35">
      <c r="CF153">
        <v>6</v>
      </c>
      <c r="CG153" t="s">
        <v>30</v>
      </c>
      <c r="CH153" t="s">
        <v>3</v>
      </c>
      <c r="CI153" t="s">
        <v>53</v>
      </c>
      <c r="CJ153" s="68">
        <v>0</v>
      </c>
      <c r="CL153" t="s">
        <v>150</v>
      </c>
      <c r="CM153" t="s">
        <v>20</v>
      </c>
      <c r="CN153" t="s">
        <v>22</v>
      </c>
      <c r="CO153">
        <v>13</v>
      </c>
      <c r="CP153" s="147">
        <f t="shared" si="2"/>
        <v>65</v>
      </c>
    </row>
    <row r="154" spans="84:94" x14ac:dyDescent="0.35">
      <c r="CF154">
        <v>6</v>
      </c>
      <c r="CG154" t="s">
        <v>30</v>
      </c>
      <c r="CH154" t="s">
        <v>3</v>
      </c>
      <c r="CI154" t="s">
        <v>54</v>
      </c>
      <c r="CJ154" s="68">
        <v>1</v>
      </c>
      <c r="CL154" t="s">
        <v>150</v>
      </c>
      <c r="CM154" t="s">
        <v>20</v>
      </c>
      <c r="CN154" t="s">
        <v>21</v>
      </c>
      <c r="CO154">
        <v>14</v>
      </c>
      <c r="CP154" s="147">
        <f t="shared" si="2"/>
        <v>70</v>
      </c>
    </row>
    <row r="155" spans="84:94" x14ac:dyDescent="0.35">
      <c r="CF155">
        <v>6</v>
      </c>
      <c r="CG155" t="s">
        <v>30</v>
      </c>
      <c r="CH155" t="s">
        <v>3</v>
      </c>
      <c r="CI155" t="s">
        <v>55</v>
      </c>
      <c r="CJ155" s="68">
        <v>1</v>
      </c>
      <c r="CL155" t="s">
        <v>150</v>
      </c>
      <c r="CM155" t="s">
        <v>20</v>
      </c>
      <c r="CN155" t="s">
        <v>22</v>
      </c>
      <c r="CO155">
        <v>14</v>
      </c>
      <c r="CP155" s="147">
        <f t="shared" si="2"/>
        <v>73</v>
      </c>
    </row>
    <row r="156" spans="84:94" x14ac:dyDescent="0.35">
      <c r="CF156">
        <v>6</v>
      </c>
      <c r="CG156" t="s">
        <v>30</v>
      </c>
      <c r="CH156" t="s">
        <v>3</v>
      </c>
      <c r="CI156" t="s">
        <v>56</v>
      </c>
      <c r="CJ156" s="68">
        <v>1</v>
      </c>
      <c r="CL156" t="s">
        <v>150</v>
      </c>
      <c r="CM156" t="s">
        <v>20</v>
      </c>
      <c r="CN156" t="s">
        <v>21</v>
      </c>
      <c r="CO156">
        <v>15</v>
      </c>
      <c r="CP156" s="147">
        <f t="shared" si="2"/>
        <v>70</v>
      </c>
    </row>
    <row r="157" spans="84:94" x14ac:dyDescent="0.35">
      <c r="CF157">
        <v>6</v>
      </c>
      <c r="CG157" t="s">
        <v>30</v>
      </c>
      <c r="CH157" t="s">
        <v>3</v>
      </c>
      <c r="CI157" t="s">
        <v>57</v>
      </c>
      <c r="CJ157" s="68">
        <v>1</v>
      </c>
      <c r="CL157" t="s">
        <v>150</v>
      </c>
      <c r="CM157" t="s">
        <v>20</v>
      </c>
      <c r="CN157" t="s">
        <v>22</v>
      </c>
      <c r="CO157">
        <v>15</v>
      </c>
      <c r="CP157" s="147">
        <f t="shared" si="2"/>
        <v>80</v>
      </c>
    </row>
    <row r="158" spans="84:94" x14ac:dyDescent="0.35">
      <c r="CF158">
        <v>6</v>
      </c>
      <c r="CG158" t="s">
        <v>30</v>
      </c>
      <c r="CH158" t="s">
        <v>3</v>
      </c>
      <c r="CI158" t="s">
        <v>58</v>
      </c>
      <c r="CJ158" s="68">
        <v>1</v>
      </c>
      <c r="CL158" t="s">
        <v>150</v>
      </c>
      <c r="CM158" t="s">
        <v>20</v>
      </c>
      <c r="CN158" t="s">
        <v>21</v>
      </c>
      <c r="CO158">
        <v>16</v>
      </c>
      <c r="CP158" s="147">
        <f t="shared" si="2"/>
        <v>70</v>
      </c>
    </row>
    <row r="159" spans="84:94" x14ac:dyDescent="0.35">
      <c r="CF159">
        <v>6</v>
      </c>
      <c r="CG159" t="s">
        <v>30</v>
      </c>
      <c r="CH159" t="s">
        <v>3</v>
      </c>
      <c r="CI159" t="s">
        <v>59</v>
      </c>
      <c r="CJ159" s="68">
        <v>1</v>
      </c>
      <c r="CL159" t="s">
        <v>150</v>
      </c>
      <c r="CM159" t="s">
        <v>20</v>
      </c>
      <c r="CN159" t="s">
        <v>22</v>
      </c>
      <c r="CO159">
        <v>16</v>
      </c>
      <c r="CP159" s="147">
        <f t="shared" si="2"/>
        <v>60</v>
      </c>
    </row>
    <row r="160" spans="84:94" x14ac:dyDescent="0.35">
      <c r="CF160">
        <v>6</v>
      </c>
      <c r="CG160" t="s">
        <v>30</v>
      </c>
      <c r="CH160" t="s">
        <v>3</v>
      </c>
      <c r="CI160" t="s">
        <v>60</v>
      </c>
      <c r="CJ160" s="68">
        <v>1</v>
      </c>
      <c r="CL160" t="s">
        <v>150</v>
      </c>
      <c r="CM160" t="s">
        <v>20</v>
      </c>
      <c r="CN160" t="s">
        <v>21</v>
      </c>
      <c r="CO160">
        <v>17</v>
      </c>
      <c r="CP160" s="147">
        <f t="shared" si="2"/>
        <v>70</v>
      </c>
    </row>
    <row r="161" spans="84:94" x14ac:dyDescent="0.35">
      <c r="CF161">
        <v>6</v>
      </c>
      <c r="CG161" t="s">
        <v>30</v>
      </c>
      <c r="CH161" t="s">
        <v>3</v>
      </c>
      <c r="CI161" t="s">
        <v>61</v>
      </c>
      <c r="CJ161" s="68">
        <v>1</v>
      </c>
      <c r="CL161" t="s">
        <v>150</v>
      </c>
      <c r="CM161" t="s">
        <v>20</v>
      </c>
      <c r="CN161" t="s">
        <v>22</v>
      </c>
      <c r="CO161">
        <v>17</v>
      </c>
      <c r="CP161" s="147">
        <f t="shared" si="2"/>
        <v>50</v>
      </c>
    </row>
    <row r="162" spans="84:94" x14ac:dyDescent="0.35">
      <c r="CF162">
        <v>6</v>
      </c>
      <c r="CG162" t="s">
        <v>30</v>
      </c>
      <c r="CH162" t="s">
        <v>3</v>
      </c>
      <c r="CI162" t="s">
        <v>62</v>
      </c>
      <c r="CJ162" s="68">
        <v>1</v>
      </c>
      <c r="CL162" t="s">
        <v>150</v>
      </c>
      <c r="CM162" t="s">
        <v>20</v>
      </c>
      <c r="CN162" t="s">
        <v>21</v>
      </c>
      <c r="CO162">
        <v>18</v>
      </c>
      <c r="CP162" s="147">
        <f t="shared" si="2"/>
        <v>70</v>
      </c>
    </row>
    <row r="163" spans="84:94" x14ac:dyDescent="0.35">
      <c r="CF163">
        <v>6</v>
      </c>
      <c r="CG163" t="s">
        <v>30</v>
      </c>
      <c r="CH163" t="s">
        <v>3</v>
      </c>
      <c r="CI163" t="s">
        <v>63</v>
      </c>
      <c r="CJ163" s="68">
        <v>1</v>
      </c>
      <c r="CL163" t="s">
        <v>150</v>
      </c>
      <c r="CM163" t="s">
        <v>20</v>
      </c>
      <c r="CN163" t="s">
        <v>22</v>
      </c>
      <c r="CO163">
        <v>18</v>
      </c>
      <c r="CP163" s="147">
        <f t="shared" si="2"/>
        <v>75</v>
      </c>
    </row>
    <row r="164" spans="84:94" x14ac:dyDescent="0.35">
      <c r="CF164">
        <v>6</v>
      </c>
      <c r="CG164" t="s">
        <v>30</v>
      </c>
      <c r="CH164" t="s">
        <v>3</v>
      </c>
      <c r="CI164" t="s">
        <v>64</v>
      </c>
      <c r="CJ164" s="68">
        <v>1</v>
      </c>
      <c r="CL164" t="s">
        <v>150</v>
      </c>
      <c r="CM164" t="s">
        <v>20</v>
      </c>
      <c r="CN164" t="s">
        <v>21</v>
      </c>
      <c r="CO164">
        <v>19</v>
      </c>
      <c r="CP164" s="147">
        <f t="shared" si="2"/>
        <v>70</v>
      </c>
    </row>
    <row r="165" spans="84:94" x14ac:dyDescent="0.35">
      <c r="CF165">
        <v>6</v>
      </c>
      <c r="CG165" t="s">
        <v>30</v>
      </c>
      <c r="CH165" t="s">
        <v>3</v>
      </c>
      <c r="CI165" t="s">
        <v>65</v>
      </c>
      <c r="CJ165" s="68">
        <v>1</v>
      </c>
      <c r="CL165" t="s">
        <v>150</v>
      </c>
      <c r="CM165" t="s">
        <v>20</v>
      </c>
      <c r="CN165" t="s">
        <v>22</v>
      </c>
      <c r="CO165">
        <v>19</v>
      </c>
      <c r="CP165" s="147">
        <f t="shared" si="2"/>
        <v>83</v>
      </c>
    </row>
    <row r="166" spans="84:94" x14ac:dyDescent="0.35">
      <c r="CF166">
        <v>6</v>
      </c>
      <c r="CG166" t="s">
        <v>30</v>
      </c>
      <c r="CH166" t="s">
        <v>3</v>
      </c>
      <c r="CI166" t="s">
        <v>66</v>
      </c>
      <c r="CJ166" s="68">
        <v>1</v>
      </c>
      <c r="CL166" t="s">
        <v>150</v>
      </c>
      <c r="CM166" t="s">
        <v>20</v>
      </c>
      <c r="CN166" t="s">
        <v>21</v>
      </c>
      <c r="CO166">
        <v>20</v>
      </c>
      <c r="CP166" s="147">
        <f t="shared" si="2"/>
        <v>70</v>
      </c>
    </row>
    <row r="167" spans="84:94" x14ac:dyDescent="0.35">
      <c r="CF167">
        <v>6</v>
      </c>
      <c r="CG167" t="s">
        <v>30</v>
      </c>
      <c r="CH167" t="s">
        <v>3</v>
      </c>
      <c r="CI167" t="s">
        <v>67</v>
      </c>
      <c r="CJ167" s="68">
        <v>1</v>
      </c>
      <c r="CL167" t="s">
        <v>150</v>
      </c>
      <c r="CM167" t="s">
        <v>20</v>
      </c>
      <c r="CN167" t="s">
        <v>22</v>
      </c>
      <c r="CO167">
        <v>20</v>
      </c>
      <c r="CP167" s="147">
        <f t="shared" si="2"/>
        <v>65</v>
      </c>
    </row>
    <row r="168" spans="84:94" x14ac:dyDescent="0.35">
      <c r="CF168">
        <v>6</v>
      </c>
      <c r="CG168" t="s">
        <v>30</v>
      </c>
      <c r="CH168" t="s">
        <v>3</v>
      </c>
      <c r="CI168" t="s">
        <v>68</v>
      </c>
      <c r="CJ168" s="68">
        <v>1</v>
      </c>
      <c r="CL168" t="s">
        <v>150</v>
      </c>
      <c r="CM168" t="s">
        <v>20</v>
      </c>
      <c r="CN168" t="s">
        <v>21</v>
      </c>
      <c r="CO168">
        <v>21</v>
      </c>
      <c r="CP168" s="147">
        <f t="shared" si="2"/>
        <v>70</v>
      </c>
    </row>
    <row r="169" spans="84:94" x14ac:dyDescent="0.35">
      <c r="CF169">
        <v>6</v>
      </c>
      <c r="CG169" t="s">
        <v>30</v>
      </c>
      <c r="CH169" t="s">
        <v>3</v>
      </c>
      <c r="CI169" t="s">
        <v>69</v>
      </c>
      <c r="CJ169" s="68">
        <v>1</v>
      </c>
      <c r="CL169" t="s">
        <v>150</v>
      </c>
      <c r="CM169" t="s">
        <v>20</v>
      </c>
      <c r="CN169" t="s">
        <v>22</v>
      </c>
      <c r="CO169">
        <v>21</v>
      </c>
      <c r="CP169" s="147">
        <f t="shared" si="2"/>
        <v>73</v>
      </c>
    </row>
    <row r="170" spans="84:94" x14ac:dyDescent="0.35">
      <c r="CF170">
        <v>6</v>
      </c>
      <c r="CG170" t="s">
        <v>30</v>
      </c>
      <c r="CH170" t="s">
        <v>3</v>
      </c>
      <c r="CI170" t="s">
        <v>70</v>
      </c>
      <c r="CJ170" s="68">
        <v>1</v>
      </c>
      <c r="CL170" t="s">
        <v>150</v>
      </c>
      <c r="CM170" t="s">
        <v>20</v>
      </c>
      <c r="CN170" t="s">
        <v>21</v>
      </c>
      <c r="CO170">
        <v>22</v>
      </c>
      <c r="CP170" s="147">
        <f t="shared" si="2"/>
        <v>70</v>
      </c>
    </row>
    <row r="171" spans="84:94" x14ac:dyDescent="0.35">
      <c r="CF171">
        <v>6</v>
      </c>
      <c r="CG171" t="s">
        <v>30</v>
      </c>
      <c r="CH171" t="s">
        <v>3</v>
      </c>
      <c r="CI171" t="s">
        <v>71</v>
      </c>
      <c r="CJ171" s="68">
        <v>1</v>
      </c>
      <c r="CL171" t="s">
        <v>150</v>
      </c>
      <c r="CM171" t="s">
        <v>20</v>
      </c>
      <c r="CN171" t="s">
        <v>22</v>
      </c>
      <c r="CO171">
        <v>22</v>
      </c>
      <c r="CP171" s="147">
        <f t="shared" si="2"/>
        <v>80</v>
      </c>
    </row>
    <row r="172" spans="84:94" x14ac:dyDescent="0.35">
      <c r="CF172">
        <v>6</v>
      </c>
      <c r="CG172" t="s">
        <v>30</v>
      </c>
      <c r="CH172" t="s">
        <v>3</v>
      </c>
      <c r="CI172" t="s">
        <v>72</v>
      </c>
      <c r="CJ172" s="68">
        <v>1</v>
      </c>
      <c r="CL172" t="s">
        <v>150</v>
      </c>
      <c r="CM172" t="s">
        <v>20</v>
      </c>
      <c r="CN172" t="s">
        <v>21</v>
      </c>
      <c r="CO172">
        <v>23</v>
      </c>
      <c r="CP172" s="147">
        <f t="shared" si="2"/>
        <v>70</v>
      </c>
    </row>
    <row r="173" spans="84:94" x14ac:dyDescent="0.35">
      <c r="CF173">
        <v>6</v>
      </c>
      <c r="CG173" t="s">
        <v>30</v>
      </c>
      <c r="CH173" t="s">
        <v>3</v>
      </c>
      <c r="CI173" t="s">
        <v>73</v>
      </c>
      <c r="CJ173" s="68">
        <v>1</v>
      </c>
      <c r="CL173" t="s">
        <v>150</v>
      </c>
      <c r="CM173" t="s">
        <v>20</v>
      </c>
      <c r="CN173" t="s">
        <v>22</v>
      </c>
      <c r="CO173">
        <v>23</v>
      </c>
      <c r="CP173" s="147">
        <f t="shared" si="2"/>
        <v>60</v>
      </c>
    </row>
    <row r="174" spans="84:94" x14ac:dyDescent="0.35">
      <c r="CF174">
        <v>6</v>
      </c>
      <c r="CG174" t="s">
        <v>30</v>
      </c>
      <c r="CH174" t="s">
        <v>3</v>
      </c>
      <c r="CI174" t="s">
        <v>74</v>
      </c>
      <c r="CJ174" s="68">
        <v>1</v>
      </c>
      <c r="CL174" t="s">
        <v>150</v>
      </c>
      <c r="CM174" t="s">
        <v>20</v>
      </c>
      <c r="CN174" t="s">
        <v>21</v>
      </c>
      <c r="CO174">
        <v>24</v>
      </c>
      <c r="CP174" s="147">
        <f t="shared" si="2"/>
        <v>70</v>
      </c>
    </row>
    <row r="175" spans="84:94" x14ac:dyDescent="0.35">
      <c r="CF175">
        <v>6</v>
      </c>
      <c r="CG175" t="s">
        <v>30</v>
      </c>
      <c r="CH175" t="s">
        <v>3</v>
      </c>
      <c r="CI175" t="s">
        <v>75</v>
      </c>
      <c r="CJ175" s="68">
        <v>1</v>
      </c>
      <c r="CL175" t="s">
        <v>150</v>
      </c>
      <c r="CM175" t="s">
        <v>20</v>
      </c>
      <c r="CN175" t="s">
        <v>22</v>
      </c>
      <c r="CO175">
        <v>24</v>
      </c>
      <c r="CP175" s="147">
        <f t="shared" si="2"/>
        <v>50</v>
      </c>
    </row>
    <row r="176" spans="84:94" x14ac:dyDescent="0.35">
      <c r="CF176">
        <v>6</v>
      </c>
      <c r="CG176" t="s">
        <v>30</v>
      </c>
      <c r="CH176" t="s">
        <v>3</v>
      </c>
      <c r="CI176" t="s">
        <v>76</v>
      </c>
      <c r="CJ176" s="68">
        <v>1</v>
      </c>
      <c r="CL176" t="s">
        <v>150</v>
      </c>
      <c r="CM176" t="s">
        <v>20</v>
      </c>
      <c r="CN176" t="s">
        <v>21</v>
      </c>
      <c r="CO176">
        <v>25</v>
      </c>
      <c r="CP176" s="147">
        <f t="shared" si="2"/>
        <v>70</v>
      </c>
    </row>
    <row r="177" spans="84:94" x14ac:dyDescent="0.35">
      <c r="CF177">
        <v>6</v>
      </c>
      <c r="CG177" t="s">
        <v>30</v>
      </c>
      <c r="CH177" t="s">
        <v>3</v>
      </c>
      <c r="CI177" t="s">
        <v>77</v>
      </c>
      <c r="CJ177" s="68">
        <v>1</v>
      </c>
      <c r="CL177" t="s">
        <v>150</v>
      </c>
      <c r="CM177" t="s">
        <v>20</v>
      </c>
      <c r="CN177" t="s">
        <v>22</v>
      </c>
      <c r="CO177">
        <v>25</v>
      </c>
      <c r="CP177" s="147">
        <f t="shared" si="2"/>
        <v>75</v>
      </c>
    </row>
    <row r="178" spans="84:94" x14ac:dyDescent="0.35">
      <c r="CF178">
        <v>6</v>
      </c>
      <c r="CG178" t="s">
        <v>30</v>
      </c>
      <c r="CH178" t="s">
        <v>3</v>
      </c>
      <c r="CI178" t="s">
        <v>78</v>
      </c>
      <c r="CJ178" s="68">
        <v>1</v>
      </c>
      <c r="CL178" t="s">
        <v>150</v>
      </c>
      <c r="CM178" t="s">
        <v>20</v>
      </c>
      <c r="CN178" t="s">
        <v>21</v>
      </c>
      <c r="CO178">
        <v>26</v>
      </c>
      <c r="CP178" s="147">
        <f t="shared" si="2"/>
        <v>70</v>
      </c>
    </row>
    <row r="179" spans="84:94" x14ac:dyDescent="0.35">
      <c r="CF179">
        <v>6</v>
      </c>
      <c r="CG179" t="s">
        <v>30</v>
      </c>
      <c r="CH179" t="s">
        <v>3</v>
      </c>
      <c r="CI179" t="s">
        <v>79</v>
      </c>
      <c r="CJ179" s="68">
        <v>1</v>
      </c>
      <c r="CL179" t="s">
        <v>150</v>
      </c>
      <c r="CM179" t="s">
        <v>20</v>
      </c>
      <c r="CN179" t="s">
        <v>22</v>
      </c>
      <c r="CO179">
        <v>26</v>
      </c>
      <c r="CP179" s="147">
        <f t="shared" si="2"/>
        <v>83</v>
      </c>
    </row>
    <row r="180" spans="84:94" x14ac:dyDescent="0.35">
      <c r="CF180">
        <v>6</v>
      </c>
      <c r="CG180" t="s">
        <v>30</v>
      </c>
      <c r="CH180" t="s">
        <v>3</v>
      </c>
      <c r="CI180" t="s">
        <v>80</v>
      </c>
      <c r="CJ180" s="68">
        <v>1</v>
      </c>
      <c r="CL180" t="s">
        <v>150</v>
      </c>
      <c r="CM180" t="s">
        <v>20</v>
      </c>
      <c r="CN180" t="s">
        <v>21</v>
      </c>
      <c r="CO180">
        <v>27</v>
      </c>
      <c r="CP180" s="147">
        <f t="shared" si="2"/>
        <v>70</v>
      </c>
    </row>
    <row r="181" spans="84:94" x14ac:dyDescent="0.35">
      <c r="CF181">
        <v>7</v>
      </c>
      <c r="CG181" t="s">
        <v>30</v>
      </c>
      <c r="CH181" t="s">
        <v>3</v>
      </c>
      <c r="CI181" t="s">
        <v>50</v>
      </c>
      <c r="CJ181" s="68">
        <v>0</v>
      </c>
      <c r="CL181" t="s">
        <v>150</v>
      </c>
      <c r="CM181" t="s">
        <v>20</v>
      </c>
      <c r="CN181" t="s">
        <v>22</v>
      </c>
      <c r="CO181">
        <v>27</v>
      </c>
      <c r="CP181" s="147">
        <f t="shared" si="2"/>
        <v>65</v>
      </c>
    </row>
    <row r="182" spans="84:94" x14ac:dyDescent="0.35">
      <c r="CF182">
        <v>7</v>
      </c>
      <c r="CG182" t="s">
        <v>30</v>
      </c>
      <c r="CH182" t="s">
        <v>3</v>
      </c>
      <c r="CI182" t="s">
        <v>51</v>
      </c>
      <c r="CJ182" s="68">
        <v>0</v>
      </c>
      <c r="CL182" t="s">
        <v>150</v>
      </c>
      <c r="CM182" t="s">
        <v>20</v>
      </c>
      <c r="CN182" t="s">
        <v>21</v>
      </c>
      <c r="CO182">
        <v>28</v>
      </c>
      <c r="CP182" s="147">
        <f t="shared" si="2"/>
        <v>70</v>
      </c>
    </row>
    <row r="183" spans="84:94" x14ac:dyDescent="0.35">
      <c r="CF183">
        <v>7</v>
      </c>
      <c r="CG183" t="s">
        <v>30</v>
      </c>
      <c r="CH183" t="s">
        <v>3</v>
      </c>
      <c r="CI183" t="s">
        <v>52</v>
      </c>
      <c r="CJ183" s="68">
        <v>0</v>
      </c>
      <c r="CL183" t="s">
        <v>150</v>
      </c>
      <c r="CM183" t="s">
        <v>20</v>
      </c>
      <c r="CN183" t="s">
        <v>22</v>
      </c>
      <c r="CO183">
        <v>28</v>
      </c>
      <c r="CP183" s="147">
        <f t="shared" si="2"/>
        <v>73</v>
      </c>
    </row>
    <row r="184" spans="84:94" x14ac:dyDescent="0.35">
      <c r="CF184">
        <v>7</v>
      </c>
      <c r="CG184" t="s">
        <v>30</v>
      </c>
      <c r="CH184" t="s">
        <v>3</v>
      </c>
      <c r="CI184" t="s">
        <v>53</v>
      </c>
      <c r="CJ184" s="68">
        <v>0</v>
      </c>
      <c r="CL184" t="s">
        <v>150</v>
      </c>
      <c r="CM184" t="s">
        <v>20</v>
      </c>
      <c r="CN184" t="s">
        <v>21</v>
      </c>
      <c r="CO184">
        <v>29</v>
      </c>
      <c r="CP184" s="147">
        <f t="shared" si="2"/>
        <v>70</v>
      </c>
    </row>
    <row r="185" spans="84:94" x14ac:dyDescent="0.35">
      <c r="CF185">
        <v>7</v>
      </c>
      <c r="CG185" t="s">
        <v>30</v>
      </c>
      <c r="CH185" t="s">
        <v>3</v>
      </c>
      <c r="CI185" t="s">
        <v>54</v>
      </c>
      <c r="CJ185" s="68">
        <v>0</v>
      </c>
      <c r="CL185" t="s">
        <v>150</v>
      </c>
      <c r="CM185" t="s">
        <v>20</v>
      </c>
      <c r="CN185" t="s">
        <v>22</v>
      </c>
      <c r="CO185">
        <v>29</v>
      </c>
      <c r="CP185" s="147">
        <f t="shared" si="2"/>
        <v>75</v>
      </c>
    </row>
    <row r="186" spans="84:94" x14ac:dyDescent="0.35">
      <c r="CF186">
        <v>7</v>
      </c>
      <c r="CG186" t="s">
        <v>30</v>
      </c>
      <c r="CH186" t="s">
        <v>3</v>
      </c>
      <c r="CI186" t="s">
        <v>55</v>
      </c>
      <c r="CJ186" s="68">
        <v>0</v>
      </c>
      <c r="CL186" t="s">
        <v>150</v>
      </c>
      <c r="CM186" t="s">
        <v>20</v>
      </c>
      <c r="CN186" t="s">
        <v>21</v>
      </c>
      <c r="CO186">
        <v>30</v>
      </c>
      <c r="CP186" s="147">
        <f t="shared" si="2"/>
        <v>70</v>
      </c>
    </row>
    <row r="187" spans="84:94" x14ac:dyDescent="0.35">
      <c r="CF187">
        <v>7</v>
      </c>
      <c r="CG187" t="s">
        <v>30</v>
      </c>
      <c r="CH187" t="s">
        <v>3</v>
      </c>
      <c r="CI187" t="s">
        <v>56</v>
      </c>
      <c r="CJ187" s="68">
        <v>0</v>
      </c>
      <c r="CL187" t="s">
        <v>150</v>
      </c>
      <c r="CM187" t="s">
        <v>20</v>
      </c>
      <c r="CN187" t="s">
        <v>22</v>
      </c>
      <c r="CO187">
        <v>30</v>
      </c>
      <c r="CP187" s="147">
        <f t="shared" si="2"/>
        <v>83</v>
      </c>
    </row>
    <row r="188" spans="84:94" x14ac:dyDescent="0.35">
      <c r="CF188">
        <v>7</v>
      </c>
      <c r="CG188" t="s">
        <v>30</v>
      </c>
      <c r="CH188" t="s">
        <v>3</v>
      </c>
      <c r="CI188" t="s">
        <v>57</v>
      </c>
      <c r="CJ188" s="68">
        <v>0</v>
      </c>
      <c r="CL188" t="s">
        <v>150</v>
      </c>
      <c r="CM188" t="s">
        <v>20</v>
      </c>
      <c r="CN188" t="s">
        <v>21</v>
      </c>
      <c r="CO188">
        <v>31</v>
      </c>
      <c r="CP188" s="147" t="e">
        <f t="shared" si="2"/>
        <v>#N/A</v>
      </c>
    </row>
    <row r="189" spans="84:94" x14ac:dyDescent="0.35">
      <c r="CF189">
        <v>7</v>
      </c>
      <c r="CG189" t="s">
        <v>30</v>
      </c>
      <c r="CH189" t="s">
        <v>3</v>
      </c>
      <c r="CI189" t="s">
        <v>58</v>
      </c>
      <c r="CJ189" s="68">
        <v>1</v>
      </c>
      <c r="CL189" t="s">
        <v>150</v>
      </c>
      <c r="CM189" t="s">
        <v>20</v>
      </c>
      <c r="CN189" t="s">
        <v>22</v>
      </c>
      <c r="CO189">
        <v>31</v>
      </c>
      <c r="CP189" s="147" t="e">
        <f t="shared" si="2"/>
        <v>#N/A</v>
      </c>
    </row>
    <row r="190" spans="84:94" x14ac:dyDescent="0.35">
      <c r="CF190">
        <v>7</v>
      </c>
      <c r="CG190" t="s">
        <v>30</v>
      </c>
      <c r="CH190" t="s">
        <v>3</v>
      </c>
      <c r="CI190" t="s">
        <v>59</v>
      </c>
      <c r="CJ190" s="68">
        <v>1</v>
      </c>
      <c r="CL190" t="s">
        <v>48</v>
      </c>
      <c r="CM190" t="s">
        <v>40</v>
      </c>
      <c r="CN190" t="s">
        <v>21</v>
      </c>
      <c r="CO190" s="70">
        <v>1</v>
      </c>
      <c r="CP190" s="148">
        <f>AD4</f>
        <v>5.0000000000000017E-2</v>
      </c>
    </row>
    <row r="191" spans="84:94" x14ac:dyDescent="0.35">
      <c r="CF191">
        <v>7</v>
      </c>
      <c r="CG191" t="s">
        <v>30</v>
      </c>
      <c r="CH191" t="s">
        <v>3</v>
      </c>
      <c r="CI191" t="s">
        <v>60</v>
      </c>
      <c r="CJ191" s="68">
        <v>1</v>
      </c>
      <c r="CL191" t="s">
        <v>48</v>
      </c>
      <c r="CM191" t="s">
        <v>40</v>
      </c>
      <c r="CN191" t="s">
        <v>21</v>
      </c>
      <c r="CO191" s="70">
        <v>2</v>
      </c>
      <c r="CP191" s="148">
        <f t="shared" ref="CP191:CP251" si="3">AD5</f>
        <v>8.0000000000000029E-2</v>
      </c>
    </row>
    <row r="192" spans="84:94" x14ac:dyDescent="0.35">
      <c r="CF192">
        <v>7</v>
      </c>
      <c r="CG192" t="s">
        <v>30</v>
      </c>
      <c r="CH192" t="s">
        <v>3</v>
      </c>
      <c r="CI192" t="s">
        <v>61</v>
      </c>
      <c r="CJ192" s="68">
        <v>1</v>
      </c>
      <c r="CL192" t="s">
        <v>48</v>
      </c>
      <c r="CM192" t="s">
        <v>40</v>
      </c>
      <c r="CN192" t="s">
        <v>21</v>
      </c>
      <c r="CO192" s="70">
        <v>3</v>
      </c>
      <c r="CP192" s="148">
        <f t="shared" si="3"/>
        <v>0.10000000000000003</v>
      </c>
    </row>
    <row r="193" spans="84:94" x14ac:dyDescent="0.35">
      <c r="CF193">
        <v>7</v>
      </c>
      <c r="CG193" t="s">
        <v>30</v>
      </c>
      <c r="CH193" t="s">
        <v>3</v>
      </c>
      <c r="CI193" t="s">
        <v>62</v>
      </c>
      <c r="CJ193" s="68">
        <v>1</v>
      </c>
      <c r="CL193" t="s">
        <v>48</v>
      </c>
      <c r="CM193" t="s">
        <v>40</v>
      </c>
      <c r="CN193" t="s">
        <v>21</v>
      </c>
      <c r="CO193" s="70">
        <v>4</v>
      </c>
      <c r="CP193" s="148">
        <f t="shared" si="3"/>
        <v>0.12666666666666695</v>
      </c>
    </row>
    <row r="194" spans="84:94" x14ac:dyDescent="0.35">
      <c r="CF194">
        <v>7</v>
      </c>
      <c r="CG194" t="s">
        <v>30</v>
      </c>
      <c r="CH194" t="s">
        <v>3</v>
      </c>
      <c r="CI194" t="s">
        <v>63</v>
      </c>
      <c r="CJ194" s="68">
        <v>1</v>
      </c>
      <c r="CL194" t="s">
        <v>48</v>
      </c>
      <c r="CM194" t="s">
        <v>40</v>
      </c>
      <c r="CN194" t="s">
        <v>21</v>
      </c>
      <c r="CO194" s="70">
        <v>5</v>
      </c>
      <c r="CP194" s="148">
        <f t="shared" si="3"/>
        <v>0.15166666666666695</v>
      </c>
    </row>
    <row r="195" spans="84:94" x14ac:dyDescent="0.35">
      <c r="CF195">
        <v>7</v>
      </c>
      <c r="CG195" t="s">
        <v>30</v>
      </c>
      <c r="CH195" t="s">
        <v>3</v>
      </c>
      <c r="CI195" t="s">
        <v>64</v>
      </c>
      <c r="CJ195" s="68">
        <v>1</v>
      </c>
      <c r="CL195" t="s">
        <v>48</v>
      </c>
      <c r="CM195" t="s">
        <v>40</v>
      </c>
      <c r="CN195" t="s">
        <v>21</v>
      </c>
      <c r="CO195" s="70">
        <v>6</v>
      </c>
      <c r="CP195" s="148">
        <f t="shared" si="3"/>
        <v>0.17666666666666708</v>
      </c>
    </row>
    <row r="196" spans="84:94" x14ac:dyDescent="0.35">
      <c r="CF196">
        <v>7</v>
      </c>
      <c r="CG196" t="s">
        <v>30</v>
      </c>
      <c r="CH196" t="s">
        <v>3</v>
      </c>
      <c r="CI196" t="s">
        <v>65</v>
      </c>
      <c r="CJ196" s="68">
        <v>1</v>
      </c>
      <c r="CL196" t="s">
        <v>48</v>
      </c>
      <c r="CM196" t="s">
        <v>40</v>
      </c>
      <c r="CN196" t="s">
        <v>21</v>
      </c>
      <c r="CO196" s="70">
        <v>7</v>
      </c>
      <c r="CP196" s="148">
        <f t="shared" si="3"/>
        <v>0.20166666666666708</v>
      </c>
    </row>
    <row r="197" spans="84:94" x14ac:dyDescent="0.35">
      <c r="CF197">
        <v>7</v>
      </c>
      <c r="CG197" t="s">
        <v>30</v>
      </c>
      <c r="CH197" t="s">
        <v>3</v>
      </c>
      <c r="CI197" t="s">
        <v>66</v>
      </c>
      <c r="CJ197" s="68">
        <v>1</v>
      </c>
      <c r="CL197" t="s">
        <v>48</v>
      </c>
      <c r="CM197" t="s">
        <v>40</v>
      </c>
      <c r="CN197" t="s">
        <v>21</v>
      </c>
      <c r="CO197" s="70">
        <v>8</v>
      </c>
      <c r="CP197" s="148">
        <f t="shared" si="3"/>
        <v>0.22666666666666688</v>
      </c>
    </row>
    <row r="198" spans="84:94" x14ac:dyDescent="0.35">
      <c r="CF198">
        <v>7</v>
      </c>
      <c r="CG198" t="s">
        <v>30</v>
      </c>
      <c r="CH198" t="s">
        <v>3</v>
      </c>
      <c r="CI198" t="s">
        <v>67</v>
      </c>
      <c r="CJ198" s="68">
        <v>1</v>
      </c>
      <c r="CL198" t="s">
        <v>48</v>
      </c>
      <c r="CM198" t="s">
        <v>40</v>
      </c>
      <c r="CN198" t="s">
        <v>21</v>
      </c>
      <c r="CO198" s="70">
        <v>9</v>
      </c>
      <c r="CP198" s="148">
        <f t="shared" si="3"/>
        <v>0.25166666666666698</v>
      </c>
    </row>
    <row r="199" spans="84:94" x14ac:dyDescent="0.35">
      <c r="CF199">
        <v>7</v>
      </c>
      <c r="CG199" t="s">
        <v>30</v>
      </c>
      <c r="CH199" t="s">
        <v>3</v>
      </c>
      <c r="CI199" t="s">
        <v>68</v>
      </c>
      <c r="CJ199" s="68">
        <v>1</v>
      </c>
      <c r="CL199" t="s">
        <v>48</v>
      </c>
      <c r="CM199" t="s">
        <v>40</v>
      </c>
      <c r="CN199" t="s">
        <v>21</v>
      </c>
      <c r="CO199" s="70">
        <v>10</v>
      </c>
      <c r="CP199" s="148">
        <f t="shared" si="3"/>
        <v>0.27666666666666706</v>
      </c>
    </row>
    <row r="200" spans="84:94" x14ac:dyDescent="0.35">
      <c r="CF200">
        <v>7</v>
      </c>
      <c r="CG200" t="s">
        <v>30</v>
      </c>
      <c r="CH200" t="s">
        <v>3</v>
      </c>
      <c r="CI200" t="s">
        <v>69</v>
      </c>
      <c r="CJ200" s="68">
        <v>1</v>
      </c>
      <c r="CL200" t="s">
        <v>48</v>
      </c>
      <c r="CM200" t="s">
        <v>40</v>
      </c>
      <c r="CN200" t="s">
        <v>21</v>
      </c>
      <c r="CO200" s="70">
        <v>11</v>
      </c>
      <c r="CP200" s="148">
        <f t="shared" si="3"/>
        <v>0.30166666666666692</v>
      </c>
    </row>
    <row r="201" spans="84:94" x14ac:dyDescent="0.35">
      <c r="CF201">
        <v>7</v>
      </c>
      <c r="CG201" t="s">
        <v>30</v>
      </c>
      <c r="CH201" t="s">
        <v>3</v>
      </c>
      <c r="CI201" t="s">
        <v>70</v>
      </c>
      <c r="CJ201" s="68">
        <v>1</v>
      </c>
      <c r="CL201" t="s">
        <v>48</v>
      </c>
      <c r="CM201" t="s">
        <v>40</v>
      </c>
      <c r="CN201" t="s">
        <v>21</v>
      </c>
      <c r="CO201" s="70">
        <v>12</v>
      </c>
      <c r="CP201" s="148">
        <f t="shared" si="3"/>
        <v>0.32666666666666705</v>
      </c>
    </row>
    <row r="202" spans="84:94" x14ac:dyDescent="0.35">
      <c r="CF202">
        <v>7</v>
      </c>
      <c r="CG202" t="s">
        <v>30</v>
      </c>
      <c r="CH202" t="s">
        <v>3</v>
      </c>
      <c r="CI202" t="s">
        <v>71</v>
      </c>
      <c r="CJ202" s="68">
        <v>1</v>
      </c>
      <c r="CL202" t="s">
        <v>48</v>
      </c>
      <c r="CM202" t="s">
        <v>40</v>
      </c>
      <c r="CN202" t="s">
        <v>21</v>
      </c>
      <c r="CO202" s="70">
        <v>13</v>
      </c>
      <c r="CP202" s="148">
        <f t="shared" si="3"/>
        <v>0.35166666666666679</v>
      </c>
    </row>
    <row r="203" spans="84:94" x14ac:dyDescent="0.35">
      <c r="CF203">
        <v>7</v>
      </c>
      <c r="CG203" t="s">
        <v>30</v>
      </c>
      <c r="CH203" t="s">
        <v>3</v>
      </c>
      <c r="CI203" t="s">
        <v>72</v>
      </c>
      <c r="CJ203" s="68">
        <v>1</v>
      </c>
      <c r="CL203" t="s">
        <v>48</v>
      </c>
      <c r="CM203" t="s">
        <v>40</v>
      </c>
      <c r="CN203" t="s">
        <v>21</v>
      </c>
      <c r="CO203" s="70">
        <v>14</v>
      </c>
      <c r="CP203" s="148">
        <f t="shared" si="3"/>
        <v>0.37666666666666698</v>
      </c>
    </row>
    <row r="204" spans="84:94" x14ac:dyDescent="0.35">
      <c r="CF204">
        <v>7</v>
      </c>
      <c r="CG204" t="s">
        <v>30</v>
      </c>
      <c r="CH204" t="s">
        <v>3</v>
      </c>
      <c r="CI204" t="s">
        <v>73</v>
      </c>
      <c r="CJ204" s="68">
        <v>1</v>
      </c>
      <c r="CL204" t="s">
        <v>48</v>
      </c>
      <c r="CM204" t="s">
        <v>40</v>
      </c>
      <c r="CN204" t="s">
        <v>21</v>
      </c>
      <c r="CO204" s="70">
        <v>15</v>
      </c>
      <c r="CP204" s="148">
        <f t="shared" si="3"/>
        <v>0.40166666666666712</v>
      </c>
    </row>
    <row r="205" spans="84:94" x14ac:dyDescent="0.35">
      <c r="CF205">
        <v>7</v>
      </c>
      <c r="CG205" t="s">
        <v>30</v>
      </c>
      <c r="CH205" t="s">
        <v>3</v>
      </c>
      <c r="CI205" t="s">
        <v>74</v>
      </c>
      <c r="CJ205" s="68">
        <v>1</v>
      </c>
      <c r="CL205" t="s">
        <v>48</v>
      </c>
      <c r="CM205" t="s">
        <v>40</v>
      </c>
      <c r="CN205" t="s">
        <v>21</v>
      </c>
      <c r="CO205" s="70">
        <v>16</v>
      </c>
      <c r="CP205" s="148">
        <f t="shared" si="3"/>
        <v>0.42666666666666714</v>
      </c>
    </row>
    <row r="206" spans="84:94" x14ac:dyDescent="0.35">
      <c r="CF206">
        <v>7</v>
      </c>
      <c r="CG206" t="s">
        <v>30</v>
      </c>
      <c r="CH206" t="s">
        <v>3</v>
      </c>
      <c r="CI206" t="s">
        <v>75</v>
      </c>
      <c r="CJ206" s="68">
        <v>1</v>
      </c>
      <c r="CL206" t="s">
        <v>48</v>
      </c>
      <c r="CM206" t="s">
        <v>40</v>
      </c>
      <c r="CN206" t="s">
        <v>21</v>
      </c>
      <c r="CO206" s="70">
        <v>17</v>
      </c>
      <c r="CP206" s="148">
        <f t="shared" si="3"/>
        <v>0.45166666666666683</v>
      </c>
    </row>
    <row r="207" spans="84:94" x14ac:dyDescent="0.35">
      <c r="CF207">
        <v>7</v>
      </c>
      <c r="CG207" t="s">
        <v>30</v>
      </c>
      <c r="CH207" t="s">
        <v>3</v>
      </c>
      <c r="CI207" t="s">
        <v>76</v>
      </c>
      <c r="CJ207" s="68">
        <v>1</v>
      </c>
      <c r="CL207" t="s">
        <v>48</v>
      </c>
      <c r="CM207" t="s">
        <v>40</v>
      </c>
      <c r="CN207" t="s">
        <v>21</v>
      </c>
      <c r="CO207" s="70">
        <v>18</v>
      </c>
      <c r="CP207" s="148">
        <f t="shared" si="3"/>
        <v>0.47666666666666674</v>
      </c>
    </row>
    <row r="208" spans="84:94" x14ac:dyDescent="0.35">
      <c r="CF208">
        <v>7</v>
      </c>
      <c r="CG208" t="s">
        <v>30</v>
      </c>
      <c r="CH208" t="s">
        <v>3</v>
      </c>
      <c r="CI208" t="s">
        <v>77</v>
      </c>
      <c r="CJ208" s="68">
        <v>1</v>
      </c>
      <c r="CL208" t="s">
        <v>48</v>
      </c>
      <c r="CM208" t="s">
        <v>40</v>
      </c>
      <c r="CN208" t="s">
        <v>21</v>
      </c>
      <c r="CO208" s="70">
        <v>19</v>
      </c>
      <c r="CP208" s="148">
        <f t="shared" si="3"/>
        <v>0.50166666666666704</v>
      </c>
    </row>
    <row r="209" spans="84:94" x14ac:dyDescent="0.35">
      <c r="CF209">
        <v>7</v>
      </c>
      <c r="CG209" t="s">
        <v>30</v>
      </c>
      <c r="CH209" t="s">
        <v>3</v>
      </c>
      <c r="CI209" t="s">
        <v>78</v>
      </c>
      <c r="CJ209" s="68">
        <v>1</v>
      </c>
      <c r="CL209" t="s">
        <v>48</v>
      </c>
      <c r="CM209" t="s">
        <v>40</v>
      </c>
      <c r="CN209" t="s">
        <v>21</v>
      </c>
      <c r="CO209" s="70">
        <v>20</v>
      </c>
      <c r="CP209" s="148">
        <f t="shared" si="3"/>
        <v>0.50166666666666704</v>
      </c>
    </row>
    <row r="210" spans="84:94" x14ac:dyDescent="0.35">
      <c r="CF210">
        <v>7</v>
      </c>
      <c r="CG210" t="s">
        <v>30</v>
      </c>
      <c r="CH210" t="s">
        <v>3</v>
      </c>
      <c r="CI210" t="s">
        <v>79</v>
      </c>
      <c r="CJ210" s="68">
        <v>1</v>
      </c>
      <c r="CL210" t="s">
        <v>48</v>
      </c>
      <c r="CM210" t="s">
        <v>40</v>
      </c>
      <c r="CN210" t="s">
        <v>21</v>
      </c>
      <c r="CO210" s="70">
        <v>21</v>
      </c>
      <c r="CP210" s="148">
        <f t="shared" si="3"/>
        <v>0.50166666666666704</v>
      </c>
    </row>
    <row r="211" spans="84:94" x14ac:dyDescent="0.35">
      <c r="CF211">
        <v>7</v>
      </c>
      <c r="CG211" t="s">
        <v>30</v>
      </c>
      <c r="CH211" t="s">
        <v>3</v>
      </c>
      <c r="CI211" t="s">
        <v>80</v>
      </c>
      <c r="CJ211" s="68">
        <v>1</v>
      </c>
      <c r="CL211" t="s">
        <v>48</v>
      </c>
      <c r="CM211" t="s">
        <v>40</v>
      </c>
      <c r="CN211" t="s">
        <v>21</v>
      </c>
      <c r="CO211" s="70">
        <v>22</v>
      </c>
      <c r="CP211" s="148">
        <f t="shared" si="3"/>
        <v>0.50166666666666704</v>
      </c>
    </row>
    <row r="212" spans="84:94" x14ac:dyDescent="0.35">
      <c r="CF212">
        <v>8</v>
      </c>
      <c r="CG212" t="s">
        <v>30</v>
      </c>
      <c r="CH212" t="s">
        <v>3</v>
      </c>
      <c r="CI212" t="s">
        <v>52</v>
      </c>
      <c r="CJ212" s="68">
        <v>0</v>
      </c>
      <c r="CL212" t="s">
        <v>48</v>
      </c>
      <c r="CM212" t="s">
        <v>40</v>
      </c>
      <c r="CN212" t="s">
        <v>21</v>
      </c>
      <c r="CO212" s="70">
        <v>23</v>
      </c>
      <c r="CP212" s="148">
        <f t="shared" si="3"/>
        <v>0.50166666666666704</v>
      </c>
    </row>
    <row r="213" spans="84:94" x14ac:dyDescent="0.35">
      <c r="CF213">
        <v>8</v>
      </c>
      <c r="CG213" t="s">
        <v>30</v>
      </c>
      <c r="CH213" t="s">
        <v>3</v>
      </c>
      <c r="CI213" t="s">
        <v>53</v>
      </c>
      <c r="CJ213" s="68">
        <v>0</v>
      </c>
      <c r="CL213" t="s">
        <v>48</v>
      </c>
      <c r="CM213" t="s">
        <v>40</v>
      </c>
      <c r="CN213" t="s">
        <v>21</v>
      </c>
      <c r="CO213" s="70">
        <v>24</v>
      </c>
      <c r="CP213" s="148">
        <f t="shared" si="3"/>
        <v>0.50166666666666704</v>
      </c>
    </row>
    <row r="214" spans="84:94" x14ac:dyDescent="0.35">
      <c r="CF214">
        <v>8</v>
      </c>
      <c r="CG214" t="s">
        <v>30</v>
      </c>
      <c r="CH214" t="s">
        <v>3</v>
      </c>
      <c r="CI214" t="s">
        <v>54</v>
      </c>
      <c r="CJ214" s="68">
        <v>0</v>
      </c>
      <c r="CL214" t="s">
        <v>48</v>
      </c>
      <c r="CM214" t="s">
        <v>40</v>
      </c>
      <c r="CN214" t="s">
        <v>21</v>
      </c>
      <c r="CO214" s="70">
        <v>25</v>
      </c>
      <c r="CP214" s="148">
        <f t="shared" si="3"/>
        <v>0.50166666666666704</v>
      </c>
    </row>
    <row r="215" spans="84:94" x14ac:dyDescent="0.35">
      <c r="CF215">
        <v>8</v>
      </c>
      <c r="CG215" t="s">
        <v>30</v>
      </c>
      <c r="CH215" t="s">
        <v>3</v>
      </c>
      <c r="CI215" t="s">
        <v>55</v>
      </c>
      <c r="CJ215" s="68">
        <v>0</v>
      </c>
      <c r="CL215" t="s">
        <v>48</v>
      </c>
      <c r="CM215" t="s">
        <v>40</v>
      </c>
      <c r="CN215" t="s">
        <v>21</v>
      </c>
      <c r="CO215" s="70">
        <v>26</v>
      </c>
      <c r="CP215" s="148">
        <f t="shared" si="3"/>
        <v>0.50166666666666704</v>
      </c>
    </row>
    <row r="216" spans="84:94" x14ac:dyDescent="0.35">
      <c r="CF216">
        <v>8</v>
      </c>
      <c r="CG216" t="s">
        <v>30</v>
      </c>
      <c r="CH216" t="s">
        <v>3</v>
      </c>
      <c r="CI216" t="s">
        <v>56</v>
      </c>
      <c r="CJ216" s="68">
        <v>0</v>
      </c>
      <c r="CL216" t="s">
        <v>48</v>
      </c>
      <c r="CM216" t="s">
        <v>40</v>
      </c>
      <c r="CN216" t="s">
        <v>21</v>
      </c>
      <c r="CO216" s="70">
        <v>27</v>
      </c>
      <c r="CP216" s="148">
        <f t="shared" si="3"/>
        <v>0.50166666666666704</v>
      </c>
    </row>
    <row r="217" spans="84:94" x14ac:dyDescent="0.35">
      <c r="CF217">
        <v>8</v>
      </c>
      <c r="CG217" t="s">
        <v>30</v>
      </c>
      <c r="CH217" t="s">
        <v>3</v>
      </c>
      <c r="CI217" t="s">
        <v>57</v>
      </c>
      <c r="CJ217" s="68">
        <v>0</v>
      </c>
      <c r="CL217" t="s">
        <v>48</v>
      </c>
      <c r="CM217" t="s">
        <v>40</v>
      </c>
      <c r="CN217" t="s">
        <v>21</v>
      </c>
      <c r="CO217" s="70">
        <v>28</v>
      </c>
      <c r="CP217" s="148">
        <f t="shared" si="3"/>
        <v>0.50166666666666704</v>
      </c>
    </row>
    <row r="218" spans="84:94" x14ac:dyDescent="0.35">
      <c r="CF218">
        <v>8</v>
      </c>
      <c r="CG218" t="s">
        <v>30</v>
      </c>
      <c r="CH218" t="s">
        <v>3</v>
      </c>
      <c r="CI218" t="s">
        <v>58</v>
      </c>
      <c r="CJ218" s="68">
        <v>1</v>
      </c>
      <c r="CL218" t="s">
        <v>48</v>
      </c>
      <c r="CM218" t="s">
        <v>40</v>
      </c>
      <c r="CN218" t="s">
        <v>21</v>
      </c>
      <c r="CO218" s="70">
        <v>29</v>
      </c>
      <c r="CP218" s="148">
        <f t="shared" si="3"/>
        <v>0.5099999999999999</v>
      </c>
    </row>
    <row r="219" spans="84:94" x14ac:dyDescent="0.35">
      <c r="CF219">
        <v>8</v>
      </c>
      <c r="CG219" t="s">
        <v>30</v>
      </c>
      <c r="CH219" t="s">
        <v>3</v>
      </c>
      <c r="CI219" t="s">
        <v>59</v>
      </c>
      <c r="CJ219" s="68">
        <v>1</v>
      </c>
      <c r="CL219" t="s">
        <v>48</v>
      </c>
      <c r="CM219" t="s">
        <v>40</v>
      </c>
      <c r="CN219" t="s">
        <v>21</v>
      </c>
      <c r="CO219" s="70">
        <v>30</v>
      </c>
      <c r="CP219" s="148">
        <f t="shared" si="3"/>
        <v>0.51833333333333276</v>
      </c>
    </row>
    <row r="220" spans="84:94" x14ac:dyDescent="0.35">
      <c r="CF220">
        <v>8</v>
      </c>
      <c r="CG220" t="s">
        <v>30</v>
      </c>
      <c r="CH220" t="s">
        <v>3</v>
      </c>
      <c r="CI220" t="s">
        <v>60</v>
      </c>
      <c r="CJ220" s="68">
        <v>1</v>
      </c>
      <c r="CL220" t="s">
        <v>48</v>
      </c>
      <c r="CM220" t="s">
        <v>40</v>
      </c>
      <c r="CN220" t="s">
        <v>21</v>
      </c>
      <c r="CO220" s="70">
        <v>31</v>
      </c>
      <c r="CP220" s="148">
        <f t="shared" si="3"/>
        <v>0.52666666666666562</v>
      </c>
    </row>
    <row r="221" spans="84:94" x14ac:dyDescent="0.35">
      <c r="CF221">
        <v>8</v>
      </c>
      <c r="CG221" t="s">
        <v>30</v>
      </c>
      <c r="CH221" t="s">
        <v>3</v>
      </c>
      <c r="CI221" t="s">
        <v>61</v>
      </c>
      <c r="CJ221" s="68">
        <v>1</v>
      </c>
      <c r="CL221" t="s">
        <v>48</v>
      </c>
      <c r="CM221" t="s">
        <v>40</v>
      </c>
      <c r="CN221" t="s">
        <v>22</v>
      </c>
      <c r="CO221" s="70">
        <v>1</v>
      </c>
      <c r="CP221" s="148">
        <f t="shared" si="3"/>
        <v>0.53499999999999892</v>
      </c>
    </row>
    <row r="222" spans="84:94" x14ac:dyDescent="0.35">
      <c r="CF222">
        <v>8</v>
      </c>
      <c r="CG222" t="s">
        <v>30</v>
      </c>
      <c r="CH222" t="s">
        <v>3</v>
      </c>
      <c r="CI222" t="s">
        <v>62</v>
      </c>
      <c r="CJ222" s="68">
        <v>1</v>
      </c>
      <c r="CL222" t="s">
        <v>48</v>
      </c>
      <c r="CM222" t="s">
        <v>40</v>
      </c>
      <c r="CN222" t="s">
        <v>22</v>
      </c>
      <c r="CO222" s="70">
        <v>2</v>
      </c>
      <c r="CP222" s="148">
        <f t="shared" si="3"/>
        <v>0.54333333333333178</v>
      </c>
    </row>
    <row r="223" spans="84:94" x14ac:dyDescent="0.35">
      <c r="CF223">
        <v>8</v>
      </c>
      <c r="CG223" t="s">
        <v>30</v>
      </c>
      <c r="CH223" t="s">
        <v>3</v>
      </c>
      <c r="CI223" t="s">
        <v>63</v>
      </c>
      <c r="CJ223" s="68">
        <v>1</v>
      </c>
      <c r="CL223" t="s">
        <v>48</v>
      </c>
      <c r="CM223" t="s">
        <v>40</v>
      </c>
      <c r="CN223" t="s">
        <v>22</v>
      </c>
      <c r="CO223" s="70">
        <v>3</v>
      </c>
      <c r="CP223" s="148">
        <f t="shared" si="3"/>
        <v>0.55166666666666531</v>
      </c>
    </row>
    <row r="224" spans="84:94" x14ac:dyDescent="0.35">
      <c r="CF224">
        <v>8</v>
      </c>
      <c r="CG224" t="s">
        <v>30</v>
      </c>
      <c r="CH224" t="s">
        <v>3</v>
      </c>
      <c r="CI224" t="s">
        <v>64</v>
      </c>
      <c r="CJ224" s="68">
        <v>1</v>
      </c>
      <c r="CL224" t="s">
        <v>48</v>
      </c>
      <c r="CM224" t="s">
        <v>40</v>
      </c>
      <c r="CN224" t="s">
        <v>22</v>
      </c>
      <c r="CO224" s="70">
        <v>4</v>
      </c>
      <c r="CP224" s="148">
        <f t="shared" si="3"/>
        <v>0.55999999999999817</v>
      </c>
    </row>
    <row r="225" spans="84:94" x14ac:dyDescent="0.35">
      <c r="CF225">
        <v>8</v>
      </c>
      <c r="CG225" t="s">
        <v>30</v>
      </c>
      <c r="CH225" t="s">
        <v>3</v>
      </c>
      <c r="CI225" t="s">
        <v>65</v>
      </c>
      <c r="CJ225" s="68">
        <v>1</v>
      </c>
      <c r="CL225" t="s">
        <v>48</v>
      </c>
      <c r="CM225" t="s">
        <v>40</v>
      </c>
      <c r="CN225" t="s">
        <v>22</v>
      </c>
      <c r="CO225" s="70">
        <v>5</v>
      </c>
      <c r="CP225" s="148">
        <f t="shared" si="3"/>
        <v>0.56833333333333114</v>
      </c>
    </row>
    <row r="226" spans="84:94" x14ac:dyDescent="0.35">
      <c r="CF226">
        <v>8</v>
      </c>
      <c r="CG226" t="s">
        <v>30</v>
      </c>
      <c r="CH226" t="s">
        <v>3</v>
      </c>
      <c r="CI226" t="s">
        <v>66</v>
      </c>
      <c r="CJ226" s="68">
        <v>1</v>
      </c>
      <c r="CL226" t="s">
        <v>48</v>
      </c>
      <c r="CM226" t="s">
        <v>40</v>
      </c>
      <c r="CN226" t="s">
        <v>22</v>
      </c>
      <c r="CO226" s="70">
        <v>6</v>
      </c>
      <c r="CP226" s="148">
        <f t="shared" si="3"/>
        <v>0.59999999999999976</v>
      </c>
    </row>
    <row r="227" spans="84:94" x14ac:dyDescent="0.35">
      <c r="CF227">
        <v>8</v>
      </c>
      <c r="CG227" t="s">
        <v>30</v>
      </c>
      <c r="CH227" t="s">
        <v>3</v>
      </c>
      <c r="CI227" t="s">
        <v>67</v>
      </c>
      <c r="CJ227" s="68">
        <v>1</v>
      </c>
      <c r="CL227" t="s">
        <v>48</v>
      </c>
      <c r="CM227" t="s">
        <v>40</v>
      </c>
      <c r="CN227" t="s">
        <v>22</v>
      </c>
      <c r="CO227" s="70">
        <v>7</v>
      </c>
      <c r="CP227" s="148">
        <f t="shared" si="3"/>
        <v>0.63000000000000034</v>
      </c>
    </row>
    <row r="228" spans="84:94" x14ac:dyDescent="0.35">
      <c r="CF228">
        <v>8</v>
      </c>
      <c r="CG228" t="s">
        <v>30</v>
      </c>
      <c r="CH228" t="s">
        <v>3</v>
      </c>
      <c r="CI228" t="s">
        <v>68</v>
      </c>
      <c r="CJ228" s="68">
        <v>1</v>
      </c>
      <c r="CL228" t="s">
        <v>48</v>
      </c>
      <c r="CM228" t="s">
        <v>40</v>
      </c>
      <c r="CN228" t="s">
        <v>22</v>
      </c>
      <c r="CO228" s="70">
        <v>8</v>
      </c>
      <c r="CP228" s="148">
        <f t="shared" si="3"/>
        <v>0.66</v>
      </c>
    </row>
    <row r="229" spans="84:94" x14ac:dyDescent="0.35">
      <c r="CF229">
        <v>8</v>
      </c>
      <c r="CG229" t="s">
        <v>30</v>
      </c>
      <c r="CH229" t="s">
        <v>3</v>
      </c>
      <c r="CI229" t="s">
        <v>69</v>
      </c>
      <c r="CJ229" s="68">
        <v>1</v>
      </c>
      <c r="CL229" t="s">
        <v>48</v>
      </c>
      <c r="CM229" t="s">
        <v>40</v>
      </c>
      <c r="CN229" t="s">
        <v>22</v>
      </c>
      <c r="CO229" s="70">
        <v>9</v>
      </c>
      <c r="CP229" s="148">
        <f t="shared" si="3"/>
        <v>0.68999999999999961</v>
      </c>
    </row>
    <row r="230" spans="84:94" x14ac:dyDescent="0.35">
      <c r="CF230">
        <v>8</v>
      </c>
      <c r="CG230" t="s">
        <v>30</v>
      </c>
      <c r="CH230" t="s">
        <v>3</v>
      </c>
      <c r="CI230" t="s">
        <v>70</v>
      </c>
      <c r="CJ230" s="68">
        <v>1</v>
      </c>
      <c r="CL230" t="s">
        <v>48</v>
      </c>
      <c r="CM230" t="s">
        <v>40</v>
      </c>
      <c r="CN230" t="s">
        <v>22</v>
      </c>
      <c r="CO230" s="70">
        <v>10</v>
      </c>
      <c r="CP230" s="148">
        <f t="shared" si="3"/>
        <v>0.7200000000000002</v>
      </c>
    </row>
    <row r="231" spans="84:94" x14ac:dyDescent="0.35">
      <c r="CF231">
        <v>8</v>
      </c>
      <c r="CG231" t="s">
        <v>30</v>
      </c>
      <c r="CH231" t="s">
        <v>3</v>
      </c>
      <c r="CI231" t="s">
        <v>71</v>
      </c>
      <c r="CJ231" s="68">
        <v>1</v>
      </c>
      <c r="CL231" t="s">
        <v>48</v>
      </c>
      <c r="CM231" t="s">
        <v>40</v>
      </c>
      <c r="CN231" t="s">
        <v>22</v>
      </c>
      <c r="CO231" s="70">
        <v>11</v>
      </c>
      <c r="CP231" s="148">
        <f t="shared" si="3"/>
        <v>0.75</v>
      </c>
    </row>
    <row r="232" spans="84:94" x14ac:dyDescent="0.35">
      <c r="CF232">
        <v>8</v>
      </c>
      <c r="CG232" t="s">
        <v>30</v>
      </c>
      <c r="CH232" t="s">
        <v>3</v>
      </c>
      <c r="CI232" t="s">
        <v>72</v>
      </c>
      <c r="CJ232" s="68">
        <v>1</v>
      </c>
      <c r="CL232" t="s">
        <v>48</v>
      </c>
      <c r="CM232" t="s">
        <v>40</v>
      </c>
      <c r="CN232" t="s">
        <v>22</v>
      </c>
      <c r="CO232" s="70">
        <v>12</v>
      </c>
      <c r="CP232" s="148">
        <f t="shared" si="3"/>
        <v>0.77999999999999992</v>
      </c>
    </row>
    <row r="233" spans="84:94" x14ac:dyDescent="0.35">
      <c r="CF233">
        <v>8</v>
      </c>
      <c r="CG233" t="s">
        <v>30</v>
      </c>
      <c r="CH233" t="s">
        <v>3</v>
      </c>
      <c r="CI233" t="s">
        <v>73</v>
      </c>
      <c r="CJ233" s="68">
        <v>1</v>
      </c>
      <c r="CL233" t="s">
        <v>48</v>
      </c>
      <c r="CM233" t="s">
        <v>40</v>
      </c>
      <c r="CN233" t="s">
        <v>22</v>
      </c>
      <c r="CO233" s="70">
        <v>13</v>
      </c>
      <c r="CP233" s="148">
        <f t="shared" si="3"/>
        <v>0.81</v>
      </c>
    </row>
    <row r="234" spans="84:94" x14ac:dyDescent="0.35">
      <c r="CF234">
        <v>8</v>
      </c>
      <c r="CG234" t="s">
        <v>30</v>
      </c>
      <c r="CH234" t="s">
        <v>3</v>
      </c>
      <c r="CI234" t="s">
        <v>74</v>
      </c>
      <c r="CJ234" s="68">
        <v>1</v>
      </c>
      <c r="CL234" t="s">
        <v>48</v>
      </c>
      <c r="CM234" t="s">
        <v>40</v>
      </c>
      <c r="CN234" t="s">
        <v>22</v>
      </c>
      <c r="CO234" s="70">
        <v>14</v>
      </c>
      <c r="CP234" s="148">
        <f t="shared" si="3"/>
        <v>0.84</v>
      </c>
    </row>
    <row r="235" spans="84:94" x14ac:dyDescent="0.35">
      <c r="CF235">
        <v>8</v>
      </c>
      <c r="CG235" t="s">
        <v>30</v>
      </c>
      <c r="CH235" t="s">
        <v>3</v>
      </c>
      <c r="CI235" t="s">
        <v>75</v>
      </c>
      <c r="CJ235" s="68">
        <v>1</v>
      </c>
      <c r="CL235" t="s">
        <v>48</v>
      </c>
      <c r="CM235" t="s">
        <v>40</v>
      </c>
      <c r="CN235" t="s">
        <v>22</v>
      </c>
      <c r="CO235" s="70">
        <v>15</v>
      </c>
      <c r="CP235" s="148">
        <f t="shared" si="3"/>
        <v>0.87</v>
      </c>
    </row>
    <row r="236" spans="84:94" x14ac:dyDescent="0.35">
      <c r="CF236">
        <v>8</v>
      </c>
      <c r="CG236" t="s">
        <v>30</v>
      </c>
      <c r="CH236" t="s">
        <v>3</v>
      </c>
      <c r="CI236" t="s">
        <v>76</v>
      </c>
      <c r="CJ236" s="68">
        <v>1</v>
      </c>
      <c r="CL236" t="s">
        <v>48</v>
      </c>
      <c r="CM236" t="s">
        <v>40</v>
      </c>
      <c r="CN236" t="s">
        <v>22</v>
      </c>
      <c r="CO236" s="70">
        <v>16</v>
      </c>
      <c r="CP236" s="148">
        <f t="shared" si="3"/>
        <v>0.8999999999999998</v>
      </c>
    </row>
    <row r="237" spans="84:94" x14ac:dyDescent="0.35">
      <c r="CF237">
        <v>8</v>
      </c>
      <c r="CG237" t="s">
        <v>30</v>
      </c>
      <c r="CH237" t="s">
        <v>3</v>
      </c>
      <c r="CI237" t="s">
        <v>77</v>
      </c>
      <c r="CJ237" s="68">
        <v>1</v>
      </c>
      <c r="CL237" t="s">
        <v>48</v>
      </c>
      <c r="CM237" t="s">
        <v>40</v>
      </c>
      <c r="CN237" t="s">
        <v>22</v>
      </c>
      <c r="CO237" s="70">
        <v>17</v>
      </c>
      <c r="CP237" s="148">
        <f t="shared" si="3"/>
        <v>0.92999999999999983</v>
      </c>
    </row>
    <row r="238" spans="84:94" x14ac:dyDescent="0.35">
      <c r="CF238">
        <v>8</v>
      </c>
      <c r="CG238" t="s">
        <v>30</v>
      </c>
      <c r="CH238" t="s">
        <v>3</v>
      </c>
      <c r="CI238" t="s">
        <v>78</v>
      </c>
      <c r="CJ238" s="68">
        <v>1</v>
      </c>
      <c r="CL238" t="s">
        <v>48</v>
      </c>
      <c r="CM238" t="s">
        <v>40</v>
      </c>
      <c r="CN238" t="s">
        <v>22</v>
      </c>
      <c r="CO238" s="70">
        <v>18</v>
      </c>
      <c r="CP238" s="148">
        <f t="shared" si="3"/>
        <v>0.96000000000000052</v>
      </c>
    </row>
    <row r="239" spans="84:94" x14ac:dyDescent="0.35">
      <c r="CF239">
        <v>8</v>
      </c>
      <c r="CG239" t="s">
        <v>30</v>
      </c>
      <c r="CH239" t="s">
        <v>3</v>
      </c>
      <c r="CI239" t="s">
        <v>79</v>
      </c>
      <c r="CJ239" s="68">
        <v>1</v>
      </c>
      <c r="CL239" t="s">
        <v>48</v>
      </c>
      <c r="CM239" t="s">
        <v>40</v>
      </c>
      <c r="CN239" t="s">
        <v>22</v>
      </c>
      <c r="CO239" s="70">
        <v>19</v>
      </c>
      <c r="CP239" s="148">
        <f t="shared" si="3"/>
        <v>0.98999999999999966</v>
      </c>
    </row>
    <row r="240" spans="84:94" x14ac:dyDescent="0.35">
      <c r="CF240">
        <v>8</v>
      </c>
      <c r="CG240" t="s">
        <v>30</v>
      </c>
      <c r="CH240" t="s">
        <v>3</v>
      </c>
      <c r="CI240" t="s">
        <v>80</v>
      </c>
      <c r="CJ240" s="68">
        <v>1</v>
      </c>
      <c r="CL240" t="s">
        <v>48</v>
      </c>
      <c r="CM240" t="s">
        <v>40</v>
      </c>
      <c r="CN240" t="s">
        <v>22</v>
      </c>
      <c r="CO240" s="70">
        <v>20</v>
      </c>
      <c r="CP240" s="148">
        <f t="shared" si="3"/>
        <v>1</v>
      </c>
    </row>
    <row r="241" spans="84:94" x14ac:dyDescent="0.35">
      <c r="CF241">
        <v>9</v>
      </c>
      <c r="CG241" t="s">
        <v>30</v>
      </c>
      <c r="CH241" t="s">
        <v>3</v>
      </c>
      <c r="CI241" t="s">
        <v>50</v>
      </c>
      <c r="CJ241" s="68">
        <v>0</v>
      </c>
      <c r="CL241" t="s">
        <v>48</v>
      </c>
      <c r="CM241" t="s">
        <v>40</v>
      </c>
      <c r="CN241" t="s">
        <v>22</v>
      </c>
      <c r="CO241" s="70">
        <v>21</v>
      </c>
      <c r="CP241" s="148">
        <f t="shared" si="3"/>
        <v>1</v>
      </c>
    </row>
    <row r="242" spans="84:94" x14ac:dyDescent="0.35">
      <c r="CF242">
        <v>9</v>
      </c>
      <c r="CG242" t="s">
        <v>30</v>
      </c>
      <c r="CH242" t="s">
        <v>3</v>
      </c>
      <c r="CI242" t="s">
        <v>51</v>
      </c>
      <c r="CJ242" s="68">
        <v>0</v>
      </c>
      <c r="CL242" t="s">
        <v>48</v>
      </c>
      <c r="CM242" t="s">
        <v>40</v>
      </c>
      <c r="CN242" t="s">
        <v>22</v>
      </c>
      <c r="CO242" s="70">
        <v>22</v>
      </c>
      <c r="CP242" s="148">
        <f t="shared" si="3"/>
        <v>1</v>
      </c>
    </row>
    <row r="243" spans="84:94" x14ac:dyDescent="0.35">
      <c r="CF243">
        <v>9</v>
      </c>
      <c r="CG243" t="s">
        <v>30</v>
      </c>
      <c r="CH243" t="s">
        <v>3</v>
      </c>
      <c r="CI243" t="s">
        <v>52</v>
      </c>
      <c r="CJ243" s="68">
        <v>0</v>
      </c>
      <c r="CL243" t="s">
        <v>48</v>
      </c>
      <c r="CM243" t="s">
        <v>40</v>
      </c>
      <c r="CN243" t="s">
        <v>22</v>
      </c>
      <c r="CO243" s="70">
        <v>23</v>
      </c>
      <c r="CP243" s="148">
        <f t="shared" si="3"/>
        <v>1</v>
      </c>
    </row>
    <row r="244" spans="84:94" x14ac:dyDescent="0.35">
      <c r="CF244">
        <v>9</v>
      </c>
      <c r="CG244" t="s">
        <v>30</v>
      </c>
      <c r="CH244" t="s">
        <v>3</v>
      </c>
      <c r="CI244" t="s">
        <v>53</v>
      </c>
      <c r="CJ244" s="68">
        <v>0</v>
      </c>
      <c r="CL244" t="s">
        <v>48</v>
      </c>
      <c r="CM244" t="s">
        <v>40</v>
      </c>
      <c r="CN244" t="s">
        <v>22</v>
      </c>
      <c r="CO244" s="70">
        <v>24</v>
      </c>
      <c r="CP244" s="148">
        <f t="shared" si="3"/>
        <v>1</v>
      </c>
    </row>
    <row r="245" spans="84:94" x14ac:dyDescent="0.35">
      <c r="CF245">
        <v>9</v>
      </c>
      <c r="CG245" t="s">
        <v>30</v>
      </c>
      <c r="CH245" t="s">
        <v>3</v>
      </c>
      <c r="CI245" t="s">
        <v>54</v>
      </c>
      <c r="CJ245" s="68">
        <v>1</v>
      </c>
      <c r="CL245" t="s">
        <v>48</v>
      </c>
      <c r="CM245" t="s">
        <v>40</v>
      </c>
      <c r="CN245" t="s">
        <v>22</v>
      </c>
      <c r="CO245" s="70">
        <v>25</v>
      </c>
      <c r="CP245" s="148">
        <f t="shared" si="3"/>
        <v>1</v>
      </c>
    </row>
    <row r="246" spans="84:94" x14ac:dyDescent="0.35">
      <c r="CF246">
        <v>9</v>
      </c>
      <c r="CG246" t="s">
        <v>30</v>
      </c>
      <c r="CH246" t="s">
        <v>3</v>
      </c>
      <c r="CI246" t="s">
        <v>55</v>
      </c>
      <c r="CJ246" s="68">
        <v>1</v>
      </c>
      <c r="CL246" t="s">
        <v>48</v>
      </c>
      <c r="CM246" t="s">
        <v>40</v>
      </c>
      <c r="CN246" t="s">
        <v>22</v>
      </c>
      <c r="CO246" s="70">
        <v>26</v>
      </c>
      <c r="CP246" s="148">
        <f t="shared" si="3"/>
        <v>1</v>
      </c>
    </row>
    <row r="247" spans="84:94" x14ac:dyDescent="0.35">
      <c r="CF247">
        <v>9</v>
      </c>
      <c r="CG247" t="s">
        <v>30</v>
      </c>
      <c r="CH247" t="s">
        <v>3</v>
      </c>
      <c r="CI247" t="s">
        <v>56</v>
      </c>
      <c r="CJ247" s="68">
        <v>1</v>
      </c>
      <c r="CL247" t="s">
        <v>48</v>
      </c>
      <c r="CM247" t="s">
        <v>40</v>
      </c>
      <c r="CN247" t="s">
        <v>22</v>
      </c>
      <c r="CO247" s="70">
        <v>27</v>
      </c>
      <c r="CP247" s="148">
        <f t="shared" si="3"/>
        <v>1</v>
      </c>
    </row>
    <row r="248" spans="84:94" x14ac:dyDescent="0.35">
      <c r="CF248">
        <v>9</v>
      </c>
      <c r="CG248" t="s">
        <v>30</v>
      </c>
      <c r="CH248" t="s">
        <v>3</v>
      </c>
      <c r="CI248" t="s">
        <v>57</v>
      </c>
      <c r="CJ248" s="68">
        <v>1</v>
      </c>
      <c r="CL248" t="s">
        <v>48</v>
      </c>
      <c r="CM248" t="s">
        <v>40</v>
      </c>
      <c r="CN248" t="s">
        <v>22</v>
      </c>
      <c r="CO248" s="70">
        <v>28</v>
      </c>
      <c r="CP248" s="148">
        <f t="shared" si="3"/>
        <v>1</v>
      </c>
    </row>
    <row r="249" spans="84:94" x14ac:dyDescent="0.35">
      <c r="CF249">
        <v>9</v>
      </c>
      <c r="CG249" t="s">
        <v>30</v>
      </c>
      <c r="CH249" t="s">
        <v>3</v>
      </c>
      <c r="CI249" t="s">
        <v>58</v>
      </c>
      <c r="CJ249" s="68">
        <v>1</v>
      </c>
      <c r="CL249" t="s">
        <v>48</v>
      </c>
      <c r="CM249" t="s">
        <v>40</v>
      </c>
      <c r="CN249" t="s">
        <v>22</v>
      </c>
      <c r="CO249" s="70">
        <v>29</v>
      </c>
      <c r="CP249" s="148">
        <f t="shared" si="3"/>
        <v>1</v>
      </c>
    </row>
    <row r="250" spans="84:94" x14ac:dyDescent="0.35">
      <c r="CF250">
        <v>9</v>
      </c>
      <c r="CG250" t="s">
        <v>30</v>
      </c>
      <c r="CH250" t="s">
        <v>3</v>
      </c>
      <c r="CI250" t="s">
        <v>59</v>
      </c>
      <c r="CJ250" s="68">
        <v>1</v>
      </c>
      <c r="CL250" t="s">
        <v>48</v>
      </c>
      <c r="CM250" t="s">
        <v>40</v>
      </c>
      <c r="CN250" t="s">
        <v>22</v>
      </c>
      <c r="CO250" s="70">
        <v>30</v>
      </c>
      <c r="CP250" s="148">
        <f t="shared" si="3"/>
        <v>1</v>
      </c>
    </row>
    <row r="251" spans="84:94" x14ac:dyDescent="0.35">
      <c r="CF251">
        <v>9</v>
      </c>
      <c r="CG251" t="s">
        <v>30</v>
      </c>
      <c r="CH251" t="s">
        <v>3</v>
      </c>
      <c r="CI251" t="s">
        <v>60</v>
      </c>
      <c r="CJ251" s="68">
        <v>1</v>
      </c>
      <c r="CL251" t="s">
        <v>48</v>
      </c>
      <c r="CM251" t="s">
        <v>40</v>
      </c>
      <c r="CN251" t="s">
        <v>22</v>
      </c>
      <c r="CO251" s="70">
        <v>31</v>
      </c>
      <c r="CP251" s="148">
        <f t="shared" si="3"/>
        <v>0</v>
      </c>
    </row>
    <row r="252" spans="84:94" x14ac:dyDescent="0.35">
      <c r="CF252">
        <v>9</v>
      </c>
      <c r="CG252" t="s">
        <v>30</v>
      </c>
      <c r="CH252" t="s">
        <v>3</v>
      </c>
      <c r="CI252" t="s">
        <v>61</v>
      </c>
      <c r="CJ252" s="68">
        <v>1</v>
      </c>
      <c r="CL252" t="s">
        <v>150</v>
      </c>
      <c r="CM252" t="s">
        <v>138</v>
      </c>
      <c r="CN252" t="s">
        <v>21</v>
      </c>
      <c r="CO252" s="70">
        <v>1</v>
      </c>
      <c r="CP252" s="195">
        <f>T4</f>
        <v>80</v>
      </c>
    </row>
    <row r="253" spans="84:94" x14ac:dyDescent="0.35">
      <c r="CF253">
        <v>9</v>
      </c>
      <c r="CG253" t="s">
        <v>30</v>
      </c>
      <c r="CH253" t="s">
        <v>3</v>
      </c>
      <c r="CI253" t="s">
        <v>62</v>
      </c>
      <c r="CJ253" s="68">
        <v>1</v>
      </c>
      <c r="CL253" t="s">
        <v>150</v>
      </c>
      <c r="CM253" t="s">
        <v>138</v>
      </c>
      <c r="CN253" t="s">
        <v>22</v>
      </c>
      <c r="CO253" s="70">
        <v>1</v>
      </c>
      <c r="CP253" s="195">
        <f t="shared" ref="CP253:CP313" si="4">T5</f>
        <v>80</v>
      </c>
    </row>
    <row r="254" spans="84:94" x14ac:dyDescent="0.35">
      <c r="CF254">
        <v>9</v>
      </c>
      <c r="CG254" t="s">
        <v>30</v>
      </c>
      <c r="CH254" t="s">
        <v>3</v>
      </c>
      <c r="CI254" t="s">
        <v>63</v>
      </c>
      <c r="CJ254" s="68">
        <v>1</v>
      </c>
      <c r="CL254" t="s">
        <v>150</v>
      </c>
      <c r="CM254" t="s">
        <v>138</v>
      </c>
      <c r="CN254" t="s">
        <v>21</v>
      </c>
      <c r="CO254" s="70">
        <v>2</v>
      </c>
      <c r="CP254" s="195">
        <f t="shared" si="4"/>
        <v>80</v>
      </c>
    </row>
    <row r="255" spans="84:94" x14ac:dyDescent="0.35">
      <c r="CF255">
        <v>9</v>
      </c>
      <c r="CG255" t="s">
        <v>30</v>
      </c>
      <c r="CH255" t="s">
        <v>3</v>
      </c>
      <c r="CI255" t="s">
        <v>64</v>
      </c>
      <c r="CJ255" s="68">
        <v>1</v>
      </c>
      <c r="CL255" t="s">
        <v>150</v>
      </c>
      <c r="CM255" t="s">
        <v>138</v>
      </c>
      <c r="CN255" t="s">
        <v>22</v>
      </c>
      <c r="CO255" s="70">
        <v>2</v>
      </c>
      <c r="CP255" s="195">
        <f t="shared" si="4"/>
        <v>60</v>
      </c>
    </row>
    <row r="256" spans="84:94" x14ac:dyDescent="0.35">
      <c r="CF256">
        <v>9</v>
      </c>
      <c r="CG256" t="s">
        <v>30</v>
      </c>
      <c r="CH256" t="s">
        <v>3</v>
      </c>
      <c r="CI256" t="s">
        <v>65</v>
      </c>
      <c r="CJ256" s="68">
        <v>1</v>
      </c>
      <c r="CL256" t="s">
        <v>150</v>
      </c>
      <c r="CM256" t="s">
        <v>138</v>
      </c>
      <c r="CN256" t="s">
        <v>21</v>
      </c>
      <c r="CO256" s="70">
        <v>3</v>
      </c>
      <c r="CP256" s="195">
        <f t="shared" si="4"/>
        <v>80</v>
      </c>
    </row>
    <row r="257" spans="84:94" x14ac:dyDescent="0.35">
      <c r="CF257">
        <v>9</v>
      </c>
      <c r="CG257" t="s">
        <v>30</v>
      </c>
      <c r="CH257" t="s">
        <v>3</v>
      </c>
      <c r="CI257" t="s">
        <v>66</v>
      </c>
      <c r="CJ257" s="68">
        <v>1</v>
      </c>
      <c r="CL257" t="s">
        <v>150</v>
      </c>
      <c r="CM257" t="s">
        <v>138</v>
      </c>
      <c r="CN257" t="s">
        <v>22</v>
      </c>
      <c r="CO257" s="70">
        <v>3</v>
      </c>
      <c r="CP257" s="195">
        <f t="shared" si="4"/>
        <v>50</v>
      </c>
    </row>
    <row r="258" spans="84:94" x14ac:dyDescent="0.35">
      <c r="CF258">
        <v>9</v>
      </c>
      <c r="CG258" t="s">
        <v>30</v>
      </c>
      <c r="CH258" t="s">
        <v>3</v>
      </c>
      <c r="CI258" t="s">
        <v>67</v>
      </c>
      <c r="CJ258" s="68">
        <v>1</v>
      </c>
      <c r="CL258" t="s">
        <v>150</v>
      </c>
      <c r="CM258" t="s">
        <v>138</v>
      </c>
      <c r="CN258" t="s">
        <v>21</v>
      </c>
      <c r="CO258" s="70">
        <v>4</v>
      </c>
      <c r="CP258" s="195">
        <f t="shared" si="4"/>
        <v>80</v>
      </c>
    </row>
    <row r="259" spans="84:94" x14ac:dyDescent="0.35">
      <c r="CF259">
        <v>9</v>
      </c>
      <c r="CG259" t="s">
        <v>30</v>
      </c>
      <c r="CH259" t="s">
        <v>3</v>
      </c>
      <c r="CI259" t="s">
        <v>68</v>
      </c>
      <c r="CJ259" s="68">
        <v>1</v>
      </c>
      <c r="CL259" t="s">
        <v>150</v>
      </c>
      <c r="CM259" t="s">
        <v>138</v>
      </c>
      <c r="CN259" t="s">
        <v>22</v>
      </c>
      <c r="CO259" s="70">
        <v>4</v>
      </c>
      <c r="CP259" s="195">
        <f t="shared" si="4"/>
        <v>75</v>
      </c>
    </row>
    <row r="260" spans="84:94" x14ac:dyDescent="0.35">
      <c r="CF260">
        <v>9</v>
      </c>
      <c r="CG260" t="s">
        <v>30</v>
      </c>
      <c r="CH260" t="s">
        <v>3</v>
      </c>
      <c r="CI260" t="s">
        <v>69</v>
      </c>
      <c r="CJ260" s="68">
        <v>1</v>
      </c>
      <c r="CL260" t="s">
        <v>150</v>
      </c>
      <c r="CM260" t="s">
        <v>138</v>
      </c>
      <c r="CN260" t="s">
        <v>21</v>
      </c>
      <c r="CO260" s="70">
        <v>5</v>
      </c>
      <c r="CP260" s="195">
        <f t="shared" si="4"/>
        <v>80</v>
      </c>
    </row>
    <row r="261" spans="84:94" x14ac:dyDescent="0.35">
      <c r="CF261">
        <v>9</v>
      </c>
      <c r="CG261" t="s">
        <v>30</v>
      </c>
      <c r="CH261" t="s">
        <v>3</v>
      </c>
      <c r="CI261" t="s">
        <v>70</v>
      </c>
      <c r="CJ261" s="68">
        <v>1</v>
      </c>
      <c r="CL261" t="s">
        <v>150</v>
      </c>
      <c r="CM261" t="s">
        <v>138</v>
      </c>
      <c r="CN261" t="s">
        <v>22</v>
      </c>
      <c r="CO261" s="70">
        <v>5</v>
      </c>
      <c r="CP261" s="195">
        <f t="shared" si="4"/>
        <v>83</v>
      </c>
    </row>
    <row r="262" spans="84:94" x14ac:dyDescent="0.35">
      <c r="CF262">
        <v>9</v>
      </c>
      <c r="CG262" t="s">
        <v>30</v>
      </c>
      <c r="CH262" t="s">
        <v>3</v>
      </c>
      <c r="CI262" t="s">
        <v>71</v>
      </c>
      <c r="CJ262" s="68">
        <v>1</v>
      </c>
      <c r="CL262" t="s">
        <v>150</v>
      </c>
      <c r="CM262" t="s">
        <v>138</v>
      </c>
      <c r="CN262" t="s">
        <v>21</v>
      </c>
      <c r="CO262" s="70">
        <v>6</v>
      </c>
      <c r="CP262" s="195">
        <f t="shared" si="4"/>
        <v>80</v>
      </c>
    </row>
    <row r="263" spans="84:94" x14ac:dyDescent="0.35">
      <c r="CF263">
        <v>9</v>
      </c>
      <c r="CG263" t="s">
        <v>30</v>
      </c>
      <c r="CH263" t="s">
        <v>3</v>
      </c>
      <c r="CI263" t="s">
        <v>72</v>
      </c>
      <c r="CJ263" s="68">
        <v>1</v>
      </c>
      <c r="CL263" t="s">
        <v>150</v>
      </c>
      <c r="CM263" t="s">
        <v>138</v>
      </c>
      <c r="CN263" t="s">
        <v>22</v>
      </c>
      <c r="CO263" s="70">
        <v>6</v>
      </c>
      <c r="CP263" s="195">
        <f t="shared" si="4"/>
        <v>65</v>
      </c>
    </row>
    <row r="264" spans="84:94" x14ac:dyDescent="0.35">
      <c r="CF264">
        <v>9</v>
      </c>
      <c r="CG264" t="s">
        <v>30</v>
      </c>
      <c r="CH264" t="s">
        <v>3</v>
      </c>
      <c r="CI264" t="s">
        <v>73</v>
      </c>
      <c r="CJ264" s="68">
        <v>1</v>
      </c>
      <c r="CL264" t="s">
        <v>150</v>
      </c>
      <c r="CM264" t="s">
        <v>138</v>
      </c>
      <c r="CN264" t="s">
        <v>21</v>
      </c>
      <c r="CO264" s="70">
        <v>7</v>
      </c>
      <c r="CP264" s="195">
        <f t="shared" si="4"/>
        <v>80</v>
      </c>
    </row>
    <row r="265" spans="84:94" x14ac:dyDescent="0.35">
      <c r="CF265">
        <v>9</v>
      </c>
      <c r="CG265" t="s">
        <v>30</v>
      </c>
      <c r="CH265" t="s">
        <v>3</v>
      </c>
      <c r="CI265" t="s">
        <v>74</v>
      </c>
      <c r="CJ265" s="68">
        <v>1</v>
      </c>
      <c r="CL265" t="s">
        <v>150</v>
      </c>
      <c r="CM265" t="s">
        <v>138</v>
      </c>
      <c r="CN265" t="s">
        <v>22</v>
      </c>
      <c r="CO265" s="70">
        <v>7</v>
      </c>
      <c r="CP265" s="195">
        <f t="shared" si="4"/>
        <v>73</v>
      </c>
    </row>
    <row r="266" spans="84:94" x14ac:dyDescent="0.35">
      <c r="CF266">
        <v>9</v>
      </c>
      <c r="CG266" t="s">
        <v>30</v>
      </c>
      <c r="CH266" t="s">
        <v>3</v>
      </c>
      <c r="CI266" t="s">
        <v>75</v>
      </c>
      <c r="CJ266" s="68">
        <v>1</v>
      </c>
      <c r="CL266" t="s">
        <v>150</v>
      </c>
      <c r="CM266" t="s">
        <v>138</v>
      </c>
      <c r="CN266" t="s">
        <v>21</v>
      </c>
      <c r="CO266" s="70">
        <v>8</v>
      </c>
      <c r="CP266" s="195">
        <f t="shared" si="4"/>
        <v>80</v>
      </c>
    </row>
    <row r="267" spans="84:94" x14ac:dyDescent="0.35">
      <c r="CF267">
        <v>9</v>
      </c>
      <c r="CG267" t="s">
        <v>30</v>
      </c>
      <c r="CH267" t="s">
        <v>3</v>
      </c>
      <c r="CI267" t="s">
        <v>76</v>
      </c>
      <c r="CJ267" s="68">
        <v>1</v>
      </c>
      <c r="CL267" t="s">
        <v>150</v>
      </c>
      <c r="CM267" t="s">
        <v>138</v>
      </c>
      <c r="CN267" t="s">
        <v>22</v>
      </c>
      <c r="CO267" s="70">
        <v>8</v>
      </c>
      <c r="CP267" s="195">
        <f t="shared" si="4"/>
        <v>80</v>
      </c>
    </row>
    <row r="268" spans="84:94" x14ac:dyDescent="0.35">
      <c r="CF268">
        <v>9</v>
      </c>
      <c r="CG268" t="s">
        <v>30</v>
      </c>
      <c r="CH268" t="s">
        <v>3</v>
      </c>
      <c r="CI268" t="s">
        <v>77</v>
      </c>
      <c r="CJ268" s="68">
        <v>1</v>
      </c>
      <c r="CL268" t="s">
        <v>150</v>
      </c>
      <c r="CM268" t="s">
        <v>138</v>
      </c>
      <c r="CN268" t="s">
        <v>21</v>
      </c>
      <c r="CO268" s="70">
        <v>9</v>
      </c>
      <c r="CP268" s="195">
        <f t="shared" si="4"/>
        <v>80</v>
      </c>
    </row>
    <row r="269" spans="84:94" x14ac:dyDescent="0.35">
      <c r="CF269">
        <v>9</v>
      </c>
      <c r="CG269" t="s">
        <v>30</v>
      </c>
      <c r="CH269" t="s">
        <v>3</v>
      </c>
      <c r="CI269" t="s">
        <v>78</v>
      </c>
      <c r="CJ269" s="68">
        <v>1</v>
      </c>
      <c r="CL269" t="s">
        <v>150</v>
      </c>
      <c r="CM269" t="s">
        <v>138</v>
      </c>
      <c r="CN269" t="s">
        <v>22</v>
      </c>
      <c r="CO269" s="70">
        <v>9</v>
      </c>
      <c r="CP269" s="195">
        <f t="shared" si="4"/>
        <v>60</v>
      </c>
    </row>
    <row r="270" spans="84:94" x14ac:dyDescent="0.35">
      <c r="CF270">
        <v>9</v>
      </c>
      <c r="CG270" t="s">
        <v>30</v>
      </c>
      <c r="CH270" t="s">
        <v>3</v>
      </c>
      <c r="CI270" t="s">
        <v>79</v>
      </c>
      <c r="CJ270" s="68">
        <v>1</v>
      </c>
      <c r="CL270" t="s">
        <v>150</v>
      </c>
      <c r="CM270" t="s">
        <v>138</v>
      </c>
      <c r="CN270" t="s">
        <v>21</v>
      </c>
      <c r="CO270" s="70">
        <v>10</v>
      </c>
      <c r="CP270" s="195">
        <f t="shared" si="4"/>
        <v>80</v>
      </c>
    </row>
    <row r="271" spans="84:94" x14ac:dyDescent="0.35">
      <c r="CF271">
        <v>9</v>
      </c>
      <c r="CG271" t="s">
        <v>30</v>
      </c>
      <c r="CH271" t="s">
        <v>3</v>
      </c>
      <c r="CI271" t="s">
        <v>80</v>
      </c>
      <c r="CJ271" s="68">
        <v>1</v>
      </c>
      <c r="CL271" t="s">
        <v>150</v>
      </c>
      <c r="CM271" t="s">
        <v>138</v>
      </c>
      <c r="CN271" t="s">
        <v>22</v>
      </c>
      <c r="CO271" s="70">
        <v>10</v>
      </c>
      <c r="CP271" s="195">
        <f t="shared" si="4"/>
        <v>50</v>
      </c>
    </row>
    <row r="272" spans="84:94" x14ac:dyDescent="0.35">
      <c r="CF272">
        <v>10</v>
      </c>
      <c r="CG272" t="s">
        <v>32</v>
      </c>
      <c r="CH272" t="s">
        <v>2</v>
      </c>
      <c r="CI272" t="s">
        <v>55</v>
      </c>
      <c r="CJ272" s="68">
        <v>0</v>
      </c>
      <c r="CL272" t="s">
        <v>150</v>
      </c>
      <c r="CM272" t="s">
        <v>138</v>
      </c>
      <c r="CN272" t="s">
        <v>21</v>
      </c>
      <c r="CO272" s="70">
        <v>11</v>
      </c>
      <c r="CP272" s="195">
        <f t="shared" si="4"/>
        <v>80</v>
      </c>
    </row>
    <row r="273" spans="84:94" x14ac:dyDescent="0.35">
      <c r="CF273">
        <v>10</v>
      </c>
      <c r="CG273" t="s">
        <v>32</v>
      </c>
      <c r="CH273" t="s">
        <v>2</v>
      </c>
      <c r="CI273" t="s">
        <v>56</v>
      </c>
      <c r="CJ273" s="68">
        <v>1</v>
      </c>
      <c r="CL273" t="s">
        <v>150</v>
      </c>
      <c r="CM273" t="s">
        <v>138</v>
      </c>
      <c r="CN273" t="s">
        <v>22</v>
      </c>
      <c r="CO273" s="70">
        <v>11</v>
      </c>
      <c r="CP273" s="195">
        <f t="shared" si="4"/>
        <v>75</v>
      </c>
    </row>
    <row r="274" spans="84:94" x14ac:dyDescent="0.35">
      <c r="CF274">
        <v>10</v>
      </c>
      <c r="CG274" t="s">
        <v>32</v>
      </c>
      <c r="CH274" t="s">
        <v>2</v>
      </c>
      <c r="CI274" t="s">
        <v>57</v>
      </c>
      <c r="CJ274" s="68">
        <v>1</v>
      </c>
      <c r="CL274" t="s">
        <v>150</v>
      </c>
      <c r="CM274" t="s">
        <v>138</v>
      </c>
      <c r="CN274" t="s">
        <v>21</v>
      </c>
      <c r="CO274" s="70">
        <v>12</v>
      </c>
      <c r="CP274" s="195">
        <f t="shared" si="4"/>
        <v>80</v>
      </c>
    </row>
    <row r="275" spans="84:94" x14ac:dyDescent="0.35">
      <c r="CF275">
        <v>10</v>
      </c>
      <c r="CG275" t="s">
        <v>32</v>
      </c>
      <c r="CH275" t="s">
        <v>2</v>
      </c>
      <c r="CI275" t="s">
        <v>58</v>
      </c>
      <c r="CJ275" s="68">
        <v>1</v>
      </c>
      <c r="CL275" t="s">
        <v>150</v>
      </c>
      <c r="CM275" t="s">
        <v>138</v>
      </c>
      <c r="CN275" t="s">
        <v>22</v>
      </c>
      <c r="CO275" s="70">
        <v>12</v>
      </c>
      <c r="CP275" s="195">
        <f t="shared" si="4"/>
        <v>83</v>
      </c>
    </row>
    <row r="276" spans="84:94" x14ac:dyDescent="0.35">
      <c r="CF276">
        <v>10</v>
      </c>
      <c r="CG276" t="s">
        <v>32</v>
      </c>
      <c r="CH276" t="s">
        <v>2</v>
      </c>
      <c r="CI276" t="s">
        <v>59</v>
      </c>
      <c r="CJ276" s="68">
        <v>1</v>
      </c>
      <c r="CL276" t="s">
        <v>150</v>
      </c>
      <c r="CM276" t="s">
        <v>138</v>
      </c>
      <c r="CN276" t="s">
        <v>21</v>
      </c>
      <c r="CO276" s="70">
        <v>13</v>
      </c>
      <c r="CP276" s="195">
        <f t="shared" si="4"/>
        <v>80</v>
      </c>
    </row>
    <row r="277" spans="84:94" x14ac:dyDescent="0.35">
      <c r="CF277">
        <v>10</v>
      </c>
      <c r="CG277" t="s">
        <v>32</v>
      </c>
      <c r="CH277" t="s">
        <v>2</v>
      </c>
      <c r="CI277" t="s">
        <v>60</v>
      </c>
      <c r="CJ277" s="68">
        <v>1</v>
      </c>
      <c r="CL277" t="s">
        <v>150</v>
      </c>
      <c r="CM277" t="s">
        <v>138</v>
      </c>
      <c r="CN277" t="s">
        <v>22</v>
      </c>
      <c r="CO277" s="70">
        <v>13</v>
      </c>
      <c r="CP277" s="195">
        <f t="shared" si="4"/>
        <v>65</v>
      </c>
    </row>
    <row r="278" spans="84:94" x14ac:dyDescent="0.35">
      <c r="CF278">
        <v>10</v>
      </c>
      <c r="CG278" t="s">
        <v>32</v>
      </c>
      <c r="CH278" t="s">
        <v>2</v>
      </c>
      <c r="CI278" t="s">
        <v>61</v>
      </c>
      <c r="CJ278" s="68">
        <v>1</v>
      </c>
      <c r="CL278" t="s">
        <v>150</v>
      </c>
      <c r="CM278" t="s">
        <v>138</v>
      </c>
      <c r="CN278" t="s">
        <v>21</v>
      </c>
      <c r="CO278" s="70">
        <v>14</v>
      </c>
      <c r="CP278" s="195">
        <f t="shared" si="4"/>
        <v>80</v>
      </c>
    </row>
    <row r="279" spans="84:94" x14ac:dyDescent="0.35">
      <c r="CF279">
        <v>10</v>
      </c>
      <c r="CG279" t="s">
        <v>32</v>
      </c>
      <c r="CH279" t="s">
        <v>2</v>
      </c>
      <c r="CI279" t="s">
        <v>62</v>
      </c>
      <c r="CJ279" s="68">
        <v>1</v>
      </c>
      <c r="CL279" t="s">
        <v>150</v>
      </c>
      <c r="CM279" t="s">
        <v>138</v>
      </c>
      <c r="CN279" t="s">
        <v>22</v>
      </c>
      <c r="CO279" s="70">
        <v>14</v>
      </c>
      <c r="CP279" s="195">
        <f t="shared" si="4"/>
        <v>73</v>
      </c>
    </row>
    <row r="280" spans="84:94" x14ac:dyDescent="0.35">
      <c r="CF280">
        <v>10</v>
      </c>
      <c r="CG280" t="s">
        <v>32</v>
      </c>
      <c r="CH280" t="s">
        <v>2</v>
      </c>
      <c r="CI280" t="s">
        <v>63</v>
      </c>
      <c r="CJ280" s="68">
        <v>1</v>
      </c>
      <c r="CL280" t="s">
        <v>150</v>
      </c>
      <c r="CM280" t="s">
        <v>138</v>
      </c>
      <c r="CN280" t="s">
        <v>21</v>
      </c>
      <c r="CO280" s="70">
        <v>15</v>
      </c>
      <c r="CP280" s="195">
        <f t="shared" si="4"/>
        <v>80</v>
      </c>
    </row>
    <row r="281" spans="84:94" x14ac:dyDescent="0.35">
      <c r="CF281">
        <v>10</v>
      </c>
      <c r="CG281" t="s">
        <v>32</v>
      </c>
      <c r="CH281" t="s">
        <v>2</v>
      </c>
      <c r="CI281" t="s">
        <v>64</v>
      </c>
      <c r="CJ281" s="68">
        <v>1</v>
      </c>
      <c r="CL281" t="s">
        <v>150</v>
      </c>
      <c r="CM281" t="s">
        <v>138</v>
      </c>
      <c r="CN281" t="s">
        <v>22</v>
      </c>
      <c r="CO281" s="70">
        <v>15</v>
      </c>
      <c r="CP281" s="195">
        <f t="shared" si="4"/>
        <v>80</v>
      </c>
    </row>
    <row r="282" spans="84:94" x14ac:dyDescent="0.35">
      <c r="CF282">
        <v>10</v>
      </c>
      <c r="CG282" t="s">
        <v>32</v>
      </c>
      <c r="CH282" t="s">
        <v>2</v>
      </c>
      <c r="CI282" t="s">
        <v>65</v>
      </c>
      <c r="CJ282" s="68">
        <v>1</v>
      </c>
      <c r="CL282" t="s">
        <v>150</v>
      </c>
      <c r="CM282" t="s">
        <v>138</v>
      </c>
      <c r="CN282" t="s">
        <v>21</v>
      </c>
      <c r="CO282" s="70">
        <v>16</v>
      </c>
      <c r="CP282" s="195">
        <f t="shared" si="4"/>
        <v>80</v>
      </c>
    </row>
    <row r="283" spans="84:94" x14ac:dyDescent="0.35">
      <c r="CF283">
        <v>10</v>
      </c>
      <c r="CG283" t="s">
        <v>32</v>
      </c>
      <c r="CH283" t="s">
        <v>2</v>
      </c>
      <c r="CI283" t="s">
        <v>66</v>
      </c>
      <c r="CJ283" s="68">
        <v>1</v>
      </c>
      <c r="CL283" t="s">
        <v>150</v>
      </c>
      <c r="CM283" t="s">
        <v>138</v>
      </c>
      <c r="CN283" t="s">
        <v>22</v>
      </c>
      <c r="CO283" s="70">
        <v>16</v>
      </c>
      <c r="CP283" s="195">
        <f t="shared" si="4"/>
        <v>60</v>
      </c>
    </row>
    <row r="284" spans="84:94" x14ac:dyDescent="0.35">
      <c r="CF284">
        <v>10</v>
      </c>
      <c r="CG284" t="s">
        <v>32</v>
      </c>
      <c r="CH284" t="s">
        <v>2</v>
      </c>
      <c r="CI284" t="s">
        <v>67</v>
      </c>
      <c r="CJ284" s="68">
        <v>1</v>
      </c>
      <c r="CL284" t="s">
        <v>150</v>
      </c>
      <c r="CM284" t="s">
        <v>138</v>
      </c>
      <c r="CN284" t="s">
        <v>21</v>
      </c>
      <c r="CO284" s="70">
        <v>17</v>
      </c>
      <c r="CP284" s="195">
        <f t="shared" si="4"/>
        <v>80</v>
      </c>
    </row>
    <row r="285" spans="84:94" x14ac:dyDescent="0.35">
      <c r="CF285">
        <v>10</v>
      </c>
      <c r="CG285" t="s">
        <v>32</v>
      </c>
      <c r="CH285" t="s">
        <v>2</v>
      </c>
      <c r="CI285" t="s">
        <v>68</v>
      </c>
      <c r="CJ285" s="68">
        <v>1</v>
      </c>
      <c r="CL285" t="s">
        <v>150</v>
      </c>
      <c r="CM285" t="s">
        <v>138</v>
      </c>
      <c r="CN285" t="s">
        <v>22</v>
      </c>
      <c r="CO285" s="70">
        <v>17</v>
      </c>
      <c r="CP285" s="195">
        <f t="shared" si="4"/>
        <v>50</v>
      </c>
    </row>
    <row r="286" spans="84:94" x14ac:dyDescent="0.35">
      <c r="CF286">
        <v>10</v>
      </c>
      <c r="CG286" t="s">
        <v>32</v>
      </c>
      <c r="CH286" t="s">
        <v>2</v>
      </c>
      <c r="CI286" t="s">
        <v>69</v>
      </c>
      <c r="CJ286" s="68">
        <v>1</v>
      </c>
      <c r="CL286" t="s">
        <v>150</v>
      </c>
      <c r="CM286" t="s">
        <v>138</v>
      </c>
      <c r="CN286" t="s">
        <v>21</v>
      </c>
      <c r="CO286" s="70">
        <v>18</v>
      </c>
      <c r="CP286" s="195">
        <f t="shared" si="4"/>
        <v>80</v>
      </c>
    </row>
    <row r="287" spans="84:94" x14ac:dyDescent="0.35">
      <c r="CF287">
        <v>10</v>
      </c>
      <c r="CG287" t="s">
        <v>32</v>
      </c>
      <c r="CH287" t="s">
        <v>2</v>
      </c>
      <c r="CI287" t="s">
        <v>70</v>
      </c>
      <c r="CJ287" s="68">
        <v>1</v>
      </c>
      <c r="CL287" t="s">
        <v>150</v>
      </c>
      <c r="CM287" t="s">
        <v>138</v>
      </c>
      <c r="CN287" t="s">
        <v>22</v>
      </c>
      <c r="CO287" s="70">
        <v>18</v>
      </c>
      <c r="CP287" s="195">
        <f t="shared" si="4"/>
        <v>75</v>
      </c>
    </row>
    <row r="288" spans="84:94" x14ac:dyDescent="0.35">
      <c r="CF288">
        <v>10</v>
      </c>
      <c r="CG288" t="s">
        <v>32</v>
      </c>
      <c r="CH288" t="s">
        <v>2</v>
      </c>
      <c r="CI288" t="s">
        <v>71</v>
      </c>
      <c r="CJ288" s="68">
        <v>1</v>
      </c>
      <c r="CL288" t="s">
        <v>150</v>
      </c>
      <c r="CM288" t="s">
        <v>138</v>
      </c>
      <c r="CN288" t="s">
        <v>21</v>
      </c>
      <c r="CO288" s="70">
        <v>19</v>
      </c>
      <c r="CP288" s="195">
        <f t="shared" si="4"/>
        <v>80</v>
      </c>
    </row>
    <row r="289" spans="84:94" x14ac:dyDescent="0.35">
      <c r="CF289">
        <v>10</v>
      </c>
      <c r="CG289" t="s">
        <v>32</v>
      </c>
      <c r="CH289" t="s">
        <v>2</v>
      </c>
      <c r="CI289" t="s">
        <v>72</v>
      </c>
      <c r="CJ289" s="68">
        <v>1</v>
      </c>
      <c r="CL289" t="s">
        <v>150</v>
      </c>
      <c r="CM289" t="s">
        <v>138</v>
      </c>
      <c r="CN289" t="s">
        <v>22</v>
      </c>
      <c r="CO289" s="70">
        <v>19</v>
      </c>
      <c r="CP289" s="195">
        <f t="shared" si="4"/>
        <v>83</v>
      </c>
    </row>
    <row r="290" spans="84:94" x14ac:dyDescent="0.35">
      <c r="CF290">
        <v>10</v>
      </c>
      <c r="CG290" t="s">
        <v>32</v>
      </c>
      <c r="CH290" t="s">
        <v>2</v>
      </c>
      <c r="CI290" t="s">
        <v>73</v>
      </c>
      <c r="CJ290" s="68">
        <v>1</v>
      </c>
      <c r="CL290" t="s">
        <v>150</v>
      </c>
      <c r="CM290" t="s">
        <v>138</v>
      </c>
      <c r="CN290" t="s">
        <v>21</v>
      </c>
      <c r="CO290" s="70">
        <v>20</v>
      </c>
      <c r="CP290" s="195">
        <f t="shared" si="4"/>
        <v>80</v>
      </c>
    </row>
    <row r="291" spans="84:94" x14ac:dyDescent="0.35">
      <c r="CF291">
        <v>10</v>
      </c>
      <c r="CG291" t="s">
        <v>32</v>
      </c>
      <c r="CH291" t="s">
        <v>2</v>
      </c>
      <c r="CI291" t="s">
        <v>74</v>
      </c>
      <c r="CJ291" s="68">
        <v>1</v>
      </c>
      <c r="CL291" t="s">
        <v>150</v>
      </c>
      <c r="CM291" t="s">
        <v>138</v>
      </c>
      <c r="CN291" t="s">
        <v>22</v>
      </c>
      <c r="CO291" s="70">
        <v>20</v>
      </c>
      <c r="CP291" s="195">
        <f t="shared" si="4"/>
        <v>65</v>
      </c>
    </row>
    <row r="292" spans="84:94" x14ac:dyDescent="0.35">
      <c r="CF292">
        <v>10</v>
      </c>
      <c r="CG292" t="s">
        <v>32</v>
      </c>
      <c r="CH292" t="s">
        <v>2</v>
      </c>
      <c r="CI292" t="s">
        <v>75</v>
      </c>
      <c r="CJ292" s="68">
        <v>1</v>
      </c>
      <c r="CL292" t="s">
        <v>150</v>
      </c>
      <c r="CM292" t="s">
        <v>138</v>
      </c>
      <c r="CN292" t="s">
        <v>21</v>
      </c>
      <c r="CO292" s="70">
        <v>21</v>
      </c>
      <c r="CP292" s="195">
        <f t="shared" si="4"/>
        <v>80</v>
      </c>
    </row>
    <row r="293" spans="84:94" x14ac:dyDescent="0.35">
      <c r="CF293">
        <v>10</v>
      </c>
      <c r="CG293" t="s">
        <v>32</v>
      </c>
      <c r="CH293" t="s">
        <v>2</v>
      </c>
      <c r="CI293" t="s">
        <v>76</v>
      </c>
      <c r="CJ293" s="68">
        <v>1</v>
      </c>
      <c r="CL293" t="s">
        <v>150</v>
      </c>
      <c r="CM293" t="s">
        <v>138</v>
      </c>
      <c r="CN293" t="s">
        <v>22</v>
      </c>
      <c r="CO293" s="70">
        <v>21</v>
      </c>
      <c r="CP293" s="195">
        <f t="shared" si="4"/>
        <v>73</v>
      </c>
    </row>
    <row r="294" spans="84:94" x14ac:dyDescent="0.35">
      <c r="CF294">
        <v>10</v>
      </c>
      <c r="CG294" t="s">
        <v>32</v>
      </c>
      <c r="CH294" t="s">
        <v>2</v>
      </c>
      <c r="CI294" t="s">
        <v>77</v>
      </c>
      <c r="CJ294" s="68">
        <v>1</v>
      </c>
      <c r="CL294" t="s">
        <v>150</v>
      </c>
      <c r="CM294" t="s">
        <v>138</v>
      </c>
      <c r="CN294" t="s">
        <v>21</v>
      </c>
      <c r="CO294" s="70">
        <v>22</v>
      </c>
      <c r="CP294" s="195">
        <f t="shared" si="4"/>
        <v>80</v>
      </c>
    </row>
    <row r="295" spans="84:94" x14ac:dyDescent="0.35">
      <c r="CF295">
        <v>10</v>
      </c>
      <c r="CG295" t="s">
        <v>32</v>
      </c>
      <c r="CH295" t="s">
        <v>2</v>
      </c>
      <c r="CI295" t="s">
        <v>78</v>
      </c>
      <c r="CJ295" s="68">
        <v>1</v>
      </c>
      <c r="CL295" t="s">
        <v>150</v>
      </c>
      <c r="CM295" t="s">
        <v>138</v>
      </c>
      <c r="CN295" t="s">
        <v>22</v>
      </c>
      <c r="CO295" s="70">
        <v>22</v>
      </c>
      <c r="CP295" s="195">
        <f t="shared" si="4"/>
        <v>80</v>
      </c>
    </row>
    <row r="296" spans="84:94" x14ac:dyDescent="0.35">
      <c r="CF296">
        <v>10</v>
      </c>
      <c r="CG296" t="s">
        <v>32</v>
      </c>
      <c r="CH296" t="s">
        <v>2</v>
      </c>
      <c r="CI296" t="s">
        <v>79</v>
      </c>
      <c r="CJ296" s="68">
        <v>1</v>
      </c>
      <c r="CL296" t="s">
        <v>150</v>
      </c>
      <c r="CM296" t="s">
        <v>138</v>
      </c>
      <c r="CN296" t="s">
        <v>21</v>
      </c>
      <c r="CO296" s="70">
        <v>23</v>
      </c>
      <c r="CP296" s="195">
        <f t="shared" si="4"/>
        <v>80</v>
      </c>
    </row>
    <row r="297" spans="84:94" x14ac:dyDescent="0.35">
      <c r="CF297">
        <v>10</v>
      </c>
      <c r="CG297" t="s">
        <v>32</v>
      </c>
      <c r="CH297" t="s">
        <v>2</v>
      </c>
      <c r="CI297" t="s">
        <v>80</v>
      </c>
      <c r="CJ297" s="68">
        <v>1</v>
      </c>
      <c r="CL297" t="s">
        <v>150</v>
      </c>
      <c r="CM297" t="s">
        <v>138</v>
      </c>
      <c r="CN297" t="s">
        <v>22</v>
      </c>
      <c r="CO297" s="70">
        <v>23</v>
      </c>
      <c r="CP297" s="195">
        <f t="shared" si="4"/>
        <v>60</v>
      </c>
    </row>
    <row r="298" spans="84:94" x14ac:dyDescent="0.35">
      <c r="CF298">
        <v>11</v>
      </c>
      <c r="CG298" t="s">
        <v>32</v>
      </c>
      <c r="CH298" t="s">
        <v>2</v>
      </c>
      <c r="CI298" t="s">
        <v>55</v>
      </c>
      <c r="CJ298" s="68">
        <v>0</v>
      </c>
      <c r="CL298" t="s">
        <v>150</v>
      </c>
      <c r="CM298" t="s">
        <v>138</v>
      </c>
      <c r="CN298" t="s">
        <v>21</v>
      </c>
      <c r="CO298" s="70">
        <v>24</v>
      </c>
      <c r="CP298" s="195">
        <f t="shared" si="4"/>
        <v>80</v>
      </c>
    </row>
    <row r="299" spans="84:94" x14ac:dyDescent="0.35">
      <c r="CF299">
        <v>11</v>
      </c>
      <c r="CG299" t="s">
        <v>32</v>
      </c>
      <c r="CH299" t="s">
        <v>2</v>
      </c>
      <c r="CI299" t="s">
        <v>56</v>
      </c>
      <c r="CJ299" s="68">
        <v>1</v>
      </c>
      <c r="CL299" t="s">
        <v>150</v>
      </c>
      <c r="CM299" t="s">
        <v>138</v>
      </c>
      <c r="CN299" t="s">
        <v>22</v>
      </c>
      <c r="CO299" s="70">
        <v>24</v>
      </c>
      <c r="CP299" s="195">
        <f t="shared" si="4"/>
        <v>50</v>
      </c>
    </row>
    <row r="300" spans="84:94" x14ac:dyDescent="0.35">
      <c r="CF300">
        <v>11</v>
      </c>
      <c r="CG300" t="s">
        <v>32</v>
      </c>
      <c r="CH300" t="s">
        <v>2</v>
      </c>
      <c r="CI300" t="s">
        <v>57</v>
      </c>
      <c r="CJ300" s="68">
        <v>1</v>
      </c>
      <c r="CL300" t="s">
        <v>150</v>
      </c>
      <c r="CM300" t="s">
        <v>138</v>
      </c>
      <c r="CN300" t="s">
        <v>21</v>
      </c>
      <c r="CO300" s="70">
        <v>25</v>
      </c>
      <c r="CP300" s="195">
        <f t="shared" si="4"/>
        <v>80</v>
      </c>
    </row>
    <row r="301" spans="84:94" x14ac:dyDescent="0.35">
      <c r="CF301">
        <v>11</v>
      </c>
      <c r="CG301" t="s">
        <v>32</v>
      </c>
      <c r="CH301" t="s">
        <v>2</v>
      </c>
      <c r="CI301" t="s">
        <v>58</v>
      </c>
      <c r="CJ301" s="68">
        <v>1</v>
      </c>
      <c r="CL301" t="s">
        <v>150</v>
      </c>
      <c r="CM301" t="s">
        <v>138</v>
      </c>
      <c r="CN301" t="s">
        <v>22</v>
      </c>
      <c r="CO301" s="70">
        <v>25</v>
      </c>
      <c r="CP301" s="195">
        <f t="shared" si="4"/>
        <v>75</v>
      </c>
    </row>
    <row r="302" spans="84:94" x14ac:dyDescent="0.35">
      <c r="CF302">
        <v>11</v>
      </c>
      <c r="CG302" t="s">
        <v>32</v>
      </c>
      <c r="CH302" t="s">
        <v>2</v>
      </c>
      <c r="CI302" t="s">
        <v>59</v>
      </c>
      <c r="CJ302" s="68">
        <v>1</v>
      </c>
      <c r="CL302" t="s">
        <v>150</v>
      </c>
      <c r="CM302" t="s">
        <v>138</v>
      </c>
      <c r="CN302" t="s">
        <v>21</v>
      </c>
      <c r="CO302" s="70">
        <v>26</v>
      </c>
      <c r="CP302" s="195">
        <f t="shared" si="4"/>
        <v>80</v>
      </c>
    </row>
    <row r="303" spans="84:94" x14ac:dyDescent="0.35">
      <c r="CF303">
        <v>11</v>
      </c>
      <c r="CG303" t="s">
        <v>32</v>
      </c>
      <c r="CH303" t="s">
        <v>2</v>
      </c>
      <c r="CI303" t="s">
        <v>60</v>
      </c>
      <c r="CJ303" s="68">
        <v>1</v>
      </c>
      <c r="CL303" t="s">
        <v>150</v>
      </c>
      <c r="CM303" t="s">
        <v>138</v>
      </c>
      <c r="CN303" t="s">
        <v>22</v>
      </c>
      <c r="CO303" s="70">
        <v>26</v>
      </c>
      <c r="CP303" s="195">
        <f t="shared" si="4"/>
        <v>83</v>
      </c>
    </row>
    <row r="304" spans="84:94" x14ac:dyDescent="0.35">
      <c r="CF304">
        <v>11</v>
      </c>
      <c r="CG304" t="s">
        <v>32</v>
      </c>
      <c r="CH304" t="s">
        <v>2</v>
      </c>
      <c r="CI304" t="s">
        <v>61</v>
      </c>
      <c r="CJ304" s="68">
        <v>1</v>
      </c>
      <c r="CL304" t="s">
        <v>150</v>
      </c>
      <c r="CM304" t="s">
        <v>138</v>
      </c>
      <c r="CN304" t="s">
        <v>21</v>
      </c>
      <c r="CO304" s="70">
        <v>27</v>
      </c>
      <c r="CP304" s="195">
        <f t="shared" si="4"/>
        <v>80</v>
      </c>
    </row>
    <row r="305" spans="84:94" x14ac:dyDescent="0.35">
      <c r="CF305">
        <v>11</v>
      </c>
      <c r="CG305" t="s">
        <v>32</v>
      </c>
      <c r="CH305" t="s">
        <v>2</v>
      </c>
      <c r="CI305" t="s">
        <v>62</v>
      </c>
      <c r="CJ305" s="68">
        <v>1</v>
      </c>
      <c r="CL305" t="s">
        <v>150</v>
      </c>
      <c r="CM305" t="s">
        <v>138</v>
      </c>
      <c r="CN305" t="s">
        <v>22</v>
      </c>
      <c r="CO305" s="70">
        <v>27</v>
      </c>
      <c r="CP305" s="195">
        <f t="shared" si="4"/>
        <v>65</v>
      </c>
    </row>
    <row r="306" spans="84:94" x14ac:dyDescent="0.35">
      <c r="CF306">
        <v>11</v>
      </c>
      <c r="CG306" t="s">
        <v>32</v>
      </c>
      <c r="CH306" t="s">
        <v>2</v>
      </c>
      <c r="CI306" t="s">
        <v>63</v>
      </c>
      <c r="CJ306" s="68">
        <v>1</v>
      </c>
      <c r="CL306" t="s">
        <v>150</v>
      </c>
      <c r="CM306" t="s">
        <v>138</v>
      </c>
      <c r="CN306" t="s">
        <v>21</v>
      </c>
      <c r="CO306" s="70">
        <v>28</v>
      </c>
      <c r="CP306" s="195">
        <f t="shared" si="4"/>
        <v>80</v>
      </c>
    </row>
    <row r="307" spans="84:94" x14ac:dyDescent="0.35">
      <c r="CF307">
        <v>11</v>
      </c>
      <c r="CG307" t="s">
        <v>32</v>
      </c>
      <c r="CH307" t="s">
        <v>2</v>
      </c>
      <c r="CI307" t="s">
        <v>64</v>
      </c>
      <c r="CJ307" s="68">
        <v>1</v>
      </c>
      <c r="CL307" t="s">
        <v>150</v>
      </c>
      <c r="CM307" t="s">
        <v>138</v>
      </c>
      <c r="CN307" t="s">
        <v>22</v>
      </c>
      <c r="CO307" s="70">
        <v>28</v>
      </c>
      <c r="CP307" s="195">
        <f t="shared" si="4"/>
        <v>73</v>
      </c>
    </row>
    <row r="308" spans="84:94" x14ac:dyDescent="0.35">
      <c r="CF308">
        <v>11</v>
      </c>
      <c r="CG308" t="s">
        <v>32</v>
      </c>
      <c r="CH308" t="s">
        <v>2</v>
      </c>
      <c r="CI308" t="s">
        <v>65</v>
      </c>
      <c r="CJ308" s="68">
        <v>1</v>
      </c>
      <c r="CL308" t="s">
        <v>150</v>
      </c>
      <c r="CM308" t="s">
        <v>138</v>
      </c>
      <c r="CN308" t="s">
        <v>21</v>
      </c>
      <c r="CO308" s="70">
        <v>29</v>
      </c>
      <c r="CP308" s="195">
        <f t="shared" si="4"/>
        <v>80</v>
      </c>
    </row>
    <row r="309" spans="84:94" x14ac:dyDescent="0.35">
      <c r="CF309">
        <v>11</v>
      </c>
      <c r="CG309" t="s">
        <v>32</v>
      </c>
      <c r="CH309" t="s">
        <v>2</v>
      </c>
      <c r="CI309" t="s">
        <v>66</v>
      </c>
      <c r="CJ309" s="68">
        <v>1</v>
      </c>
      <c r="CL309" t="s">
        <v>150</v>
      </c>
      <c r="CM309" t="s">
        <v>138</v>
      </c>
      <c r="CN309" t="s">
        <v>22</v>
      </c>
      <c r="CO309" s="70">
        <v>29</v>
      </c>
      <c r="CP309" s="195">
        <f t="shared" si="4"/>
        <v>75</v>
      </c>
    </row>
    <row r="310" spans="84:94" x14ac:dyDescent="0.35">
      <c r="CF310">
        <v>11</v>
      </c>
      <c r="CG310" t="s">
        <v>32</v>
      </c>
      <c r="CH310" t="s">
        <v>2</v>
      </c>
      <c r="CI310" t="s">
        <v>67</v>
      </c>
      <c r="CJ310" s="68">
        <v>1</v>
      </c>
      <c r="CL310" t="s">
        <v>150</v>
      </c>
      <c r="CM310" t="s">
        <v>138</v>
      </c>
      <c r="CN310" t="s">
        <v>21</v>
      </c>
      <c r="CO310" s="70">
        <v>30</v>
      </c>
      <c r="CP310" s="195">
        <f t="shared" si="4"/>
        <v>80</v>
      </c>
    </row>
    <row r="311" spans="84:94" x14ac:dyDescent="0.35">
      <c r="CF311">
        <v>11</v>
      </c>
      <c r="CG311" t="s">
        <v>32</v>
      </c>
      <c r="CH311" t="s">
        <v>2</v>
      </c>
      <c r="CI311" t="s">
        <v>68</v>
      </c>
      <c r="CJ311" s="68">
        <v>1</v>
      </c>
      <c r="CL311" t="s">
        <v>150</v>
      </c>
      <c r="CM311" t="s">
        <v>138</v>
      </c>
      <c r="CN311" t="s">
        <v>22</v>
      </c>
      <c r="CO311" s="70">
        <v>30</v>
      </c>
      <c r="CP311" s="195">
        <f t="shared" si="4"/>
        <v>83</v>
      </c>
    </row>
    <row r="312" spans="84:94" x14ac:dyDescent="0.35">
      <c r="CF312">
        <v>11</v>
      </c>
      <c r="CG312" t="s">
        <v>32</v>
      </c>
      <c r="CH312" t="s">
        <v>2</v>
      </c>
      <c r="CI312" t="s">
        <v>69</v>
      </c>
      <c r="CJ312" s="68">
        <v>1</v>
      </c>
      <c r="CL312" t="s">
        <v>150</v>
      </c>
      <c r="CM312" t="s">
        <v>138</v>
      </c>
      <c r="CN312" t="s">
        <v>21</v>
      </c>
      <c r="CO312" s="70">
        <v>31</v>
      </c>
      <c r="CP312" s="195" t="e">
        <f t="shared" si="4"/>
        <v>#N/A</v>
      </c>
    </row>
    <row r="313" spans="84:94" x14ac:dyDescent="0.35">
      <c r="CF313">
        <v>11</v>
      </c>
      <c r="CG313" t="s">
        <v>32</v>
      </c>
      <c r="CH313" t="s">
        <v>2</v>
      </c>
      <c r="CI313" t="s">
        <v>70</v>
      </c>
      <c r="CJ313" s="68">
        <v>1</v>
      </c>
      <c r="CL313" t="s">
        <v>150</v>
      </c>
      <c r="CM313" t="s">
        <v>138</v>
      </c>
      <c r="CN313" t="s">
        <v>22</v>
      </c>
      <c r="CO313" s="70">
        <v>31</v>
      </c>
      <c r="CP313" s="195" t="e">
        <f t="shared" si="4"/>
        <v>#N/A</v>
      </c>
    </row>
    <row r="314" spans="84:94" x14ac:dyDescent="0.35">
      <c r="CF314">
        <v>11</v>
      </c>
      <c r="CG314" t="s">
        <v>32</v>
      </c>
      <c r="CH314" t="s">
        <v>2</v>
      </c>
      <c r="CI314" t="s">
        <v>71</v>
      </c>
      <c r="CJ314" s="68">
        <v>1</v>
      </c>
    </row>
    <row r="315" spans="84:94" x14ac:dyDescent="0.35">
      <c r="CF315">
        <v>11</v>
      </c>
      <c r="CG315" t="s">
        <v>32</v>
      </c>
      <c r="CH315" t="s">
        <v>2</v>
      </c>
      <c r="CI315" t="s">
        <v>72</v>
      </c>
      <c r="CJ315" s="68">
        <v>1</v>
      </c>
    </row>
    <row r="316" spans="84:94" x14ac:dyDescent="0.35">
      <c r="CF316">
        <v>11</v>
      </c>
      <c r="CG316" t="s">
        <v>32</v>
      </c>
      <c r="CH316" t="s">
        <v>2</v>
      </c>
      <c r="CI316" t="s">
        <v>73</v>
      </c>
      <c r="CJ316" s="68">
        <v>1</v>
      </c>
    </row>
    <row r="317" spans="84:94" x14ac:dyDescent="0.35">
      <c r="CF317">
        <v>11</v>
      </c>
      <c r="CG317" t="s">
        <v>32</v>
      </c>
      <c r="CH317" t="s">
        <v>2</v>
      </c>
      <c r="CI317" t="s">
        <v>74</v>
      </c>
      <c r="CJ317" s="68">
        <v>1</v>
      </c>
    </row>
    <row r="318" spans="84:94" x14ac:dyDescent="0.35">
      <c r="CF318">
        <v>11</v>
      </c>
      <c r="CG318" t="s">
        <v>32</v>
      </c>
      <c r="CH318" t="s">
        <v>2</v>
      </c>
      <c r="CI318" t="s">
        <v>75</v>
      </c>
      <c r="CJ318" s="68">
        <v>1</v>
      </c>
    </row>
    <row r="319" spans="84:94" x14ac:dyDescent="0.35">
      <c r="CF319">
        <v>11</v>
      </c>
      <c r="CG319" t="s">
        <v>32</v>
      </c>
      <c r="CH319" t="s">
        <v>2</v>
      </c>
      <c r="CI319" t="s">
        <v>76</v>
      </c>
      <c r="CJ319" s="68">
        <v>1</v>
      </c>
    </row>
    <row r="320" spans="84:94" x14ac:dyDescent="0.35">
      <c r="CF320">
        <v>11</v>
      </c>
      <c r="CG320" t="s">
        <v>32</v>
      </c>
      <c r="CH320" t="s">
        <v>2</v>
      </c>
      <c r="CI320" t="s">
        <v>77</v>
      </c>
      <c r="CJ320" s="68">
        <v>1</v>
      </c>
    </row>
    <row r="321" spans="84:88" x14ac:dyDescent="0.35">
      <c r="CF321">
        <v>11</v>
      </c>
      <c r="CG321" t="s">
        <v>32</v>
      </c>
      <c r="CH321" t="s">
        <v>2</v>
      </c>
      <c r="CI321" t="s">
        <v>78</v>
      </c>
      <c r="CJ321" s="68">
        <v>1</v>
      </c>
    </row>
    <row r="322" spans="84:88" x14ac:dyDescent="0.35">
      <c r="CF322">
        <v>11</v>
      </c>
      <c r="CG322" t="s">
        <v>32</v>
      </c>
      <c r="CH322" t="s">
        <v>2</v>
      </c>
      <c r="CI322" t="s">
        <v>79</v>
      </c>
      <c r="CJ322" s="68">
        <v>1</v>
      </c>
    </row>
    <row r="323" spans="84:88" x14ac:dyDescent="0.35">
      <c r="CF323">
        <v>11</v>
      </c>
      <c r="CG323" t="s">
        <v>32</v>
      </c>
      <c r="CH323" t="s">
        <v>2</v>
      </c>
      <c r="CI323" t="s">
        <v>80</v>
      </c>
      <c r="CJ323" s="68">
        <v>1</v>
      </c>
    </row>
    <row r="324" spans="84:88" x14ac:dyDescent="0.35">
      <c r="CF324">
        <v>12</v>
      </c>
      <c r="CG324" t="s">
        <v>32</v>
      </c>
      <c r="CH324" t="s">
        <v>2</v>
      </c>
      <c r="CI324" t="s">
        <v>55</v>
      </c>
      <c r="CJ324" s="68">
        <v>0</v>
      </c>
    </row>
    <row r="325" spans="84:88" x14ac:dyDescent="0.35">
      <c r="CF325">
        <v>12</v>
      </c>
      <c r="CG325" t="s">
        <v>32</v>
      </c>
      <c r="CH325" t="s">
        <v>2</v>
      </c>
      <c r="CI325" t="s">
        <v>56</v>
      </c>
      <c r="CJ325" s="68">
        <v>1</v>
      </c>
    </row>
    <row r="326" spans="84:88" x14ac:dyDescent="0.35">
      <c r="CF326">
        <v>12</v>
      </c>
      <c r="CG326" t="s">
        <v>32</v>
      </c>
      <c r="CH326" t="s">
        <v>2</v>
      </c>
      <c r="CI326" t="s">
        <v>57</v>
      </c>
      <c r="CJ326" s="68">
        <v>1</v>
      </c>
    </row>
    <row r="327" spans="84:88" x14ac:dyDescent="0.35">
      <c r="CF327">
        <v>12</v>
      </c>
      <c r="CG327" t="s">
        <v>32</v>
      </c>
      <c r="CH327" t="s">
        <v>2</v>
      </c>
      <c r="CI327" t="s">
        <v>58</v>
      </c>
      <c r="CJ327" s="68">
        <v>1</v>
      </c>
    </row>
    <row r="328" spans="84:88" x14ac:dyDescent="0.35">
      <c r="CF328">
        <v>12</v>
      </c>
      <c r="CG328" t="s">
        <v>32</v>
      </c>
      <c r="CH328" t="s">
        <v>2</v>
      </c>
      <c r="CI328" t="s">
        <v>59</v>
      </c>
      <c r="CJ328" s="68">
        <v>1</v>
      </c>
    </row>
    <row r="329" spans="84:88" x14ac:dyDescent="0.35">
      <c r="CF329">
        <v>12</v>
      </c>
      <c r="CG329" t="s">
        <v>32</v>
      </c>
      <c r="CH329" t="s">
        <v>2</v>
      </c>
      <c r="CI329" t="s">
        <v>60</v>
      </c>
      <c r="CJ329" s="68">
        <v>1</v>
      </c>
    </row>
    <row r="330" spans="84:88" x14ac:dyDescent="0.35">
      <c r="CF330">
        <v>12</v>
      </c>
      <c r="CG330" t="s">
        <v>32</v>
      </c>
      <c r="CH330" t="s">
        <v>2</v>
      </c>
      <c r="CI330" t="s">
        <v>61</v>
      </c>
      <c r="CJ330" s="68">
        <v>1</v>
      </c>
    </row>
    <row r="331" spans="84:88" x14ac:dyDescent="0.35">
      <c r="CF331">
        <v>12</v>
      </c>
      <c r="CG331" t="s">
        <v>32</v>
      </c>
      <c r="CH331" t="s">
        <v>2</v>
      </c>
      <c r="CI331" t="s">
        <v>62</v>
      </c>
      <c r="CJ331" s="68">
        <v>1</v>
      </c>
    </row>
    <row r="332" spans="84:88" x14ac:dyDescent="0.35">
      <c r="CF332">
        <v>12</v>
      </c>
      <c r="CG332" t="s">
        <v>32</v>
      </c>
      <c r="CH332" t="s">
        <v>2</v>
      </c>
      <c r="CI332" t="s">
        <v>63</v>
      </c>
      <c r="CJ332" s="68">
        <v>1</v>
      </c>
    </row>
    <row r="333" spans="84:88" x14ac:dyDescent="0.35">
      <c r="CF333">
        <v>12</v>
      </c>
      <c r="CG333" t="s">
        <v>32</v>
      </c>
      <c r="CH333" t="s">
        <v>2</v>
      </c>
      <c r="CI333" t="s">
        <v>64</v>
      </c>
      <c r="CJ333" s="68">
        <v>1</v>
      </c>
    </row>
    <row r="334" spans="84:88" x14ac:dyDescent="0.35">
      <c r="CF334">
        <v>12</v>
      </c>
      <c r="CG334" t="s">
        <v>32</v>
      </c>
      <c r="CH334" t="s">
        <v>2</v>
      </c>
      <c r="CI334" t="s">
        <v>65</v>
      </c>
      <c r="CJ334" s="68">
        <v>1</v>
      </c>
    </row>
    <row r="335" spans="84:88" x14ac:dyDescent="0.35">
      <c r="CF335">
        <v>12</v>
      </c>
      <c r="CG335" t="s">
        <v>32</v>
      </c>
      <c r="CH335" t="s">
        <v>2</v>
      </c>
      <c r="CI335" t="s">
        <v>66</v>
      </c>
      <c r="CJ335" s="68">
        <v>1</v>
      </c>
    </row>
    <row r="336" spans="84:88" x14ac:dyDescent="0.35">
      <c r="CF336">
        <v>12</v>
      </c>
      <c r="CG336" t="s">
        <v>32</v>
      </c>
      <c r="CH336" t="s">
        <v>2</v>
      </c>
      <c r="CI336" t="s">
        <v>67</v>
      </c>
      <c r="CJ336" s="68">
        <v>1</v>
      </c>
    </row>
    <row r="337" spans="84:88" x14ac:dyDescent="0.35">
      <c r="CF337">
        <v>12</v>
      </c>
      <c r="CG337" t="s">
        <v>32</v>
      </c>
      <c r="CH337" t="s">
        <v>2</v>
      </c>
      <c r="CI337" t="s">
        <v>68</v>
      </c>
      <c r="CJ337" s="68">
        <v>1</v>
      </c>
    </row>
    <row r="338" spans="84:88" x14ac:dyDescent="0.35">
      <c r="CF338">
        <v>12</v>
      </c>
      <c r="CG338" t="s">
        <v>32</v>
      </c>
      <c r="CH338" t="s">
        <v>2</v>
      </c>
      <c r="CI338" t="s">
        <v>69</v>
      </c>
      <c r="CJ338" s="68">
        <v>1</v>
      </c>
    </row>
    <row r="339" spans="84:88" x14ac:dyDescent="0.35">
      <c r="CF339">
        <v>12</v>
      </c>
      <c r="CG339" t="s">
        <v>32</v>
      </c>
      <c r="CH339" t="s">
        <v>2</v>
      </c>
      <c r="CI339" t="s">
        <v>70</v>
      </c>
      <c r="CJ339" s="68">
        <v>1</v>
      </c>
    </row>
    <row r="340" spans="84:88" x14ac:dyDescent="0.35">
      <c r="CF340">
        <v>12</v>
      </c>
      <c r="CG340" t="s">
        <v>32</v>
      </c>
      <c r="CH340" t="s">
        <v>2</v>
      </c>
      <c r="CI340" t="s">
        <v>71</v>
      </c>
      <c r="CJ340" s="68">
        <v>1</v>
      </c>
    </row>
    <row r="341" spans="84:88" x14ac:dyDescent="0.35">
      <c r="CF341">
        <v>12</v>
      </c>
      <c r="CG341" t="s">
        <v>32</v>
      </c>
      <c r="CH341" t="s">
        <v>2</v>
      </c>
      <c r="CI341" t="s">
        <v>72</v>
      </c>
      <c r="CJ341" s="68">
        <v>1</v>
      </c>
    </row>
    <row r="342" spans="84:88" x14ac:dyDescent="0.35">
      <c r="CF342">
        <v>12</v>
      </c>
      <c r="CG342" t="s">
        <v>32</v>
      </c>
      <c r="CH342" t="s">
        <v>2</v>
      </c>
      <c r="CI342" t="s">
        <v>73</v>
      </c>
      <c r="CJ342" s="68">
        <v>1</v>
      </c>
    </row>
    <row r="343" spans="84:88" x14ac:dyDescent="0.35">
      <c r="CF343">
        <v>12</v>
      </c>
      <c r="CG343" t="s">
        <v>32</v>
      </c>
      <c r="CH343" t="s">
        <v>2</v>
      </c>
      <c r="CI343" t="s">
        <v>74</v>
      </c>
      <c r="CJ343" s="68">
        <v>1</v>
      </c>
    </row>
    <row r="344" spans="84:88" x14ac:dyDescent="0.35">
      <c r="CF344">
        <v>12</v>
      </c>
      <c r="CG344" t="s">
        <v>32</v>
      </c>
      <c r="CH344" t="s">
        <v>2</v>
      </c>
      <c r="CI344" t="s">
        <v>75</v>
      </c>
      <c r="CJ344" s="68">
        <v>1</v>
      </c>
    </row>
    <row r="345" spans="84:88" x14ac:dyDescent="0.35">
      <c r="CF345">
        <v>12</v>
      </c>
      <c r="CG345" t="s">
        <v>32</v>
      </c>
      <c r="CH345" t="s">
        <v>2</v>
      </c>
      <c r="CI345" t="s">
        <v>76</v>
      </c>
      <c r="CJ345" s="68">
        <v>1</v>
      </c>
    </row>
    <row r="346" spans="84:88" x14ac:dyDescent="0.35">
      <c r="CF346">
        <v>12</v>
      </c>
      <c r="CG346" t="s">
        <v>32</v>
      </c>
      <c r="CH346" t="s">
        <v>2</v>
      </c>
      <c r="CI346" t="s">
        <v>77</v>
      </c>
      <c r="CJ346" s="68">
        <v>1</v>
      </c>
    </row>
    <row r="347" spans="84:88" x14ac:dyDescent="0.35">
      <c r="CF347">
        <v>12</v>
      </c>
      <c r="CG347" t="s">
        <v>32</v>
      </c>
      <c r="CH347" t="s">
        <v>2</v>
      </c>
      <c r="CI347" t="s">
        <v>78</v>
      </c>
      <c r="CJ347" s="68">
        <v>1</v>
      </c>
    </row>
    <row r="348" spans="84:88" x14ac:dyDescent="0.35">
      <c r="CF348">
        <v>12</v>
      </c>
      <c r="CG348" t="s">
        <v>32</v>
      </c>
      <c r="CH348" t="s">
        <v>2</v>
      </c>
      <c r="CI348" t="s">
        <v>79</v>
      </c>
      <c r="CJ348" s="68">
        <v>1</v>
      </c>
    </row>
    <row r="349" spans="84:88" x14ac:dyDescent="0.35">
      <c r="CF349">
        <v>12</v>
      </c>
      <c r="CG349" t="s">
        <v>32</v>
      </c>
      <c r="CH349" t="s">
        <v>2</v>
      </c>
      <c r="CI349" t="s">
        <v>80</v>
      </c>
      <c r="CJ349" s="68">
        <v>1</v>
      </c>
    </row>
    <row r="350" spans="84:88" x14ac:dyDescent="0.35">
      <c r="CF350">
        <v>13</v>
      </c>
      <c r="CG350" t="s">
        <v>32</v>
      </c>
      <c r="CH350" t="s">
        <v>2</v>
      </c>
      <c r="CI350" t="s">
        <v>55</v>
      </c>
      <c r="CJ350" s="68">
        <v>0</v>
      </c>
    </row>
    <row r="351" spans="84:88" x14ac:dyDescent="0.35">
      <c r="CF351">
        <v>13</v>
      </c>
      <c r="CG351" t="s">
        <v>32</v>
      </c>
      <c r="CH351" t="s">
        <v>2</v>
      </c>
      <c r="CI351" t="s">
        <v>56</v>
      </c>
      <c r="CJ351" s="68">
        <v>1</v>
      </c>
    </row>
    <row r="352" spans="84:88" x14ac:dyDescent="0.35">
      <c r="CF352">
        <v>13</v>
      </c>
      <c r="CG352" t="s">
        <v>32</v>
      </c>
      <c r="CH352" t="s">
        <v>2</v>
      </c>
      <c r="CI352" t="s">
        <v>57</v>
      </c>
      <c r="CJ352" s="68">
        <v>1</v>
      </c>
    </row>
    <row r="353" spans="84:88" x14ac:dyDescent="0.35">
      <c r="CF353">
        <v>13</v>
      </c>
      <c r="CG353" t="s">
        <v>32</v>
      </c>
      <c r="CH353" t="s">
        <v>2</v>
      </c>
      <c r="CI353" t="s">
        <v>58</v>
      </c>
      <c r="CJ353" s="68">
        <v>1</v>
      </c>
    </row>
    <row r="354" spans="84:88" x14ac:dyDescent="0.35">
      <c r="CF354">
        <v>13</v>
      </c>
      <c r="CG354" t="s">
        <v>32</v>
      </c>
      <c r="CH354" t="s">
        <v>2</v>
      </c>
      <c r="CI354" t="s">
        <v>59</v>
      </c>
      <c r="CJ354" s="68">
        <v>1</v>
      </c>
    </row>
    <row r="355" spans="84:88" x14ac:dyDescent="0.35">
      <c r="CF355">
        <v>13</v>
      </c>
      <c r="CG355" t="s">
        <v>32</v>
      </c>
      <c r="CH355" t="s">
        <v>2</v>
      </c>
      <c r="CI355" t="s">
        <v>60</v>
      </c>
      <c r="CJ355" s="68">
        <v>1</v>
      </c>
    </row>
    <row r="356" spans="84:88" x14ac:dyDescent="0.35">
      <c r="CF356">
        <v>13</v>
      </c>
      <c r="CG356" t="s">
        <v>32</v>
      </c>
      <c r="CH356" t="s">
        <v>2</v>
      </c>
      <c r="CI356" t="s">
        <v>61</v>
      </c>
      <c r="CJ356" s="68">
        <v>1</v>
      </c>
    </row>
    <row r="357" spans="84:88" x14ac:dyDescent="0.35">
      <c r="CF357">
        <v>13</v>
      </c>
      <c r="CG357" t="s">
        <v>32</v>
      </c>
      <c r="CH357" t="s">
        <v>2</v>
      </c>
      <c r="CI357" t="s">
        <v>62</v>
      </c>
      <c r="CJ357" s="68">
        <v>1</v>
      </c>
    </row>
    <row r="358" spans="84:88" x14ac:dyDescent="0.35">
      <c r="CF358">
        <v>13</v>
      </c>
      <c r="CG358" t="s">
        <v>32</v>
      </c>
      <c r="CH358" t="s">
        <v>2</v>
      </c>
      <c r="CI358" t="s">
        <v>63</v>
      </c>
      <c r="CJ358" s="68">
        <v>1</v>
      </c>
    </row>
    <row r="359" spans="84:88" x14ac:dyDescent="0.35">
      <c r="CF359">
        <v>13</v>
      </c>
      <c r="CG359" t="s">
        <v>32</v>
      </c>
      <c r="CH359" t="s">
        <v>2</v>
      </c>
      <c r="CI359" t="s">
        <v>64</v>
      </c>
      <c r="CJ359" s="68">
        <v>1</v>
      </c>
    </row>
    <row r="360" spans="84:88" x14ac:dyDescent="0.35">
      <c r="CF360">
        <v>13</v>
      </c>
      <c r="CG360" t="s">
        <v>32</v>
      </c>
      <c r="CH360" t="s">
        <v>2</v>
      </c>
      <c r="CI360" t="s">
        <v>65</v>
      </c>
      <c r="CJ360" s="68">
        <v>1</v>
      </c>
    </row>
    <row r="361" spans="84:88" x14ac:dyDescent="0.35">
      <c r="CF361">
        <v>13</v>
      </c>
      <c r="CG361" t="s">
        <v>32</v>
      </c>
      <c r="CH361" t="s">
        <v>2</v>
      </c>
      <c r="CI361" t="s">
        <v>66</v>
      </c>
      <c r="CJ361" s="68">
        <v>1</v>
      </c>
    </row>
    <row r="362" spans="84:88" x14ac:dyDescent="0.35">
      <c r="CF362">
        <v>13</v>
      </c>
      <c r="CG362" t="s">
        <v>32</v>
      </c>
      <c r="CH362" t="s">
        <v>2</v>
      </c>
      <c r="CI362" t="s">
        <v>67</v>
      </c>
      <c r="CJ362" s="68">
        <v>1</v>
      </c>
    </row>
    <row r="363" spans="84:88" x14ac:dyDescent="0.35">
      <c r="CF363">
        <v>13</v>
      </c>
      <c r="CG363" t="s">
        <v>32</v>
      </c>
      <c r="CH363" t="s">
        <v>2</v>
      </c>
      <c r="CI363" t="s">
        <v>68</v>
      </c>
      <c r="CJ363" s="68">
        <v>1</v>
      </c>
    </row>
    <row r="364" spans="84:88" x14ac:dyDescent="0.35">
      <c r="CF364">
        <v>13</v>
      </c>
      <c r="CG364" t="s">
        <v>32</v>
      </c>
      <c r="CH364" t="s">
        <v>2</v>
      </c>
      <c r="CI364" t="s">
        <v>69</v>
      </c>
      <c r="CJ364" s="68">
        <v>1</v>
      </c>
    </row>
    <row r="365" spans="84:88" x14ac:dyDescent="0.35">
      <c r="CF365">
        <v>13</v>
      </c>
      <c r="CG365" t="s">
        <v>32</v>
      </c>
      <c r="CH365" t="s">
        <v>2</v>
      </c>
      <c r="CI365" t="s">
        <v>70</v>
      </c>
      <c r="CJ365" s="68">
        <v>1</v>
      </c>
    </row>
    <row r="366" spans="84:88" x14ac:dyDescent="0.35">
      <c r="CF366">
        <v>13</v>
      </c>
      <c r="CG366" t="s">
        <v>32</v>
      </c>
      <c r="CH366" t="s">
        <v>2</v>
      </c>
      <c r="CI366" t="s">
        <v>71</v>
      </c>
      <c r="CJ366" s="68">
        <v>1</v>
      </c>
    </row>
    <row r="367" spans="84:88" x14ac:dyDescent="0.35">
      <c r="CF367">
        <v>13</v>
      </c>
      <c r="CG367" t="s">
        <v>32</v>
      </c>
      <c r="CH367" t="s">
        <v>2</v>
      </c>
      <c r="CI367" t="s">
        <v>72</v>
      </c>
      <c r="CJ367" s="68">
        <v>1</v>
      </c>
    </row>
    <row r="368" spans="84:88" x14ac:dyDescent="0.35">
      <c r="CF368">
        <v>13</v>
      </c>
      <c r="CG368" t="s">
        <v>32</v>
      </c>
      <c r="CH368" t="s">
        <v>2</v>
      </c>
      <c r="CI368" t="s">
        <v>73</v>
      </c>
      <c r="CJ368" s="68">
        <v>1</v>
      </c>
    </row>
    <row r="369" spans="84:88" x14ac:dyDescent="0.35">
      <c r="CF369">
        <v>13</v>
      </c>
      <c r="CG369" t="s">
        <v>32</v>
      </c>
      <c r="CH369" t="s">
        <v>2</v>
      </c>
      <c r="CI369" t="s">
        <v>74</v>
      </c>
      <c r="CJ369" s="68">
        <v>1</v>
      </c>
    </row>
    <row r="370" spans="84:88" x14ac:dyDescent="0.35">
      <c r="CF370">
        <v>13</v>
      </c>
      <c r="CG370" t="s">
        <v>32</v>
      </c>
      <c r="CH370" t="s">
        <v>2</v>
      </c>
      <c r="CI370" t="s">
        <v>75</v>
      </c>
      <c r="CJ370" s="68">
        <v>1</v>
      </c>
    </row>
    <row r="371" spans="84:88" x14ac:dyDescent="0.35">
      <c r="CF371">
        <v>13</v>
      </c>
      <c r="CG371" t="s">
        <v>32</v>
      </c>
      <c r="CH371" t="s">
        <v>2</v>
      </c>
      <c r="CI371" t="s">
        <v>76</v>
      </c>
      <c r="CJ371" s="68">
        <v>1</v>
      </c>
    </row>
    <row r="372" spans="84:88" x14ac:dyDescent="0.35">
      <c r="CF372">
        <v>13</v>
      </c>
      <c r="CG372" t="s">
        <v>32</v>
      </c>
      <c r="CH372" t="s">
        <v>2</v>
      </c>
      <c r="CI372" t="s">
        <v>77</v>
      </c>
      <c r="CJ372" s="68">
        <v>1</v>
      </c>
    </row>
    <row r="373" spans="84:88" x14ac:dyDescent="0.35">
      <c r="CF373">
        <v>13</v>
      </c>
      <c r="CG373" t="s">
        <v>32</v>
      </c>
      <c r="CH373" t="s">
        <v>2</v>
      </c>
      <c r="CI373" t="s">
        <v>78</v>
      </c>
      <c r="CJ373" s="68">
        <v>1</v>
      </c>
    </row>
    <row r="374" spans="84:88" x14ac:dyDescent="0.35">
      <c r="CF374">
        <v>13</v>
      </c>
      <c r="CG374" t="s">
        <v>32</v>
      </c>
      <c r="CH374" t="s">
        <v>2</v>
      </c>
      <c r="CI374" t="s">
        <v>79</v>
      </c>
      <c r="CJ374" s="68">
        <v>1</v>
      </c>
    </row>
    <row r="375" spans="84:88" x14ac:dyDescent="0.35">
      <c r="CF375">
        <v>13</v>
      </c>
      <c r="CG375" t="s">
        <v>32</v>
      </c>
      <c r="CH375" t="s">
        <v>2</v>
      </c>
      <c r="CI375" t="s">
        <v>80</v>
      </c>
      <c r="CJ375" s="68">
        <v>1</v>
      </c>
    </row>
    <row r="376" spans="84:88" x14ac:dyDescent="0.35">
      <c r="CF376">
        <v>14</v>
      </c>
      <c r="CG376" t="s">
        <v>32</v>
      </c>
      <c r="CH376" t="s">
        <v>2</v>
      </c>
      <c r="CI376" t="s">
        <v>55</v>
      </c>
      <c r="CJ376" s="68">
        <v>0</v>
      </c>
    </row>
    <row r="377" spans="84:88" x14ac:dyDescent="0.35">
      <c r="CF377">
        <v>14</v>
      </c>
      <c r="CG377" t="s">
        <v>32</v>
      </c>
      <c r="CH377" t="s">
        <v>2</v>
      </c>
      <c r="CI377" t="s">
        <v>56</v>
      </c>
      <c r="CJ377" s="68">
        <v>1</v>
      </c>
    </row>
    <row r="378" spans="84:88" x14ac:dyDescent="0.35">
      <c r="CF378">
        <v>14</v>
      </c>
      <c r="CG378" t="s">
        <v>32</v>
      </c>
      <c r="CH378" t="s">
        <v>2</v>
      </c>
      <c r="CI378" t="s">
        <v>57</v>
      </c>
      <c r="CJ378" s="68">
        <v>1</v>
      </c>
    </row>
    <row r="379" spans="84:88" x14ac:dyDescent="0.35">
      <c r="CF379">
        <v>14</v>
      </c>
      <c r="CG379" t="s">
        <v>32</v>
      </c>
      <c r="CH379" t="s">
        <v>2</v>
      </c>
      <c r="CI379" t="s">
        <v>58</v>
      </c>
      <c r="CJ379" s="68">
        <v>1</v>
      </c>
    </row>
    <row r="380" spans="84:88" x14ac:dyDescent="0.35">
      <c r="CF380">
        <v>14</v>
      </c>
      <c r="CG380" t="s">
        <v>32</v>
      </c>
      <c r="CH380" t="s">
        <v>2</v>
      </c>
      <c r="CI380" t="s">
        <v>59</v>
      </c>
      <c r="CJ380" s="68">
        <v>1</v>
      </c>
    </row>
    <row r="381" spans="84:88" x14ac:dyDescent="0.35">
      <c r="CF381">
        <v>14</v>
      </c>
      <c r="CG381" t="s">
        <v>32</v>
      </c>
      <c r="CH381" t="s">
        <v>2</v>
      </c>
      <c r="CI381" t="s">
        <v>60</v>
      </c>
      <c r="CJ381" s="68">
        <v>1</v>
      </c>
    </row>
    <row r="382" spans="84:88" x14ac:dyDescent="0.35">
      <c r="CF382">
        <v>14</v>
      </c>
      <c r="CG382" t="s">
        <v>32</v>
      </c>
      <c r="CH382" t="s">
        <v>2</v>
      </c>
      <c r="CI382" t="s">
        <v>61</v>
      </c>
      <c r="CJ382" s="68">
        <v>1</v>
      </c>
    </row>
    <row r="383" spans="84:88" x14ac:dyDescent="0.35">
      <c r="CF383">
        <v>14</v>
      </c>
      <c r="CG383" t="s">
        <v>32</v>
      </c>
      <c r="CH383" t="s">
        <v>2</v>
      </c>
      <c r="CI383" t="s">
        <v>62</v>
      </c>
      <c r="CJ383" s="68">
        <v>1</v>
      </c>
    </row>
    <row r="384" spans="84:88" x14ac:dyDescent="0.35">
      <c r="CF384">
        <v>14</v>
      </c>
      <c r="CG384" t="s">
        <v>32</v>
      </c>
      <c r="CH384" t="s">
        <v>2</v>
      </c>
      <c r="CI384" t="s">
        <v>63</v>
      </c>
      <c r="CJ384" s="68">
        <v>1</v>
      </c>
    </row>
    <row r="385" spans="84:88" x14ac:dyDescent="0.35">
      <c r="CF385">
        <v>14</v>
      </c>
      <c r="CG385" t="s">
        <v>32</v>
      </c>
      <c r="CH385" t="s">
        <v>2</v>
      </c>
      <c r="CI385" t="s">
        <v>64</v>
      </c>
      <c r="CJ385" s="68">
        <v>1</v>
      </c>
    </row>
    <row r="386" spans="84:88" x14ac:dyDescent="0.35">
      <c r="CF386">
        <v>14</v>
      </c>
      <c r="CG386" t="s">
        <v>32</v>
      </c>
      <c r="CH386" t="s">
        <v>2</v>
      </c>
      <c r="CI386" t="s">
        <v>65</v>
      </c>
      <c r="CJ386" s="68">
        <v>1</v>
      </c>
    </row>
    <row r="387" spans="84:88" x14ac:dyDescent="0.35">
      <c r="CF387">
        <v>14</v>
      </c>
      <c r="CG387" t="s">
        <v>32</v>
      </c>
      <c r="CH387" t="s">
        <v>2</v>
      </c>
      <c r="CI387" t="s">
        <v>66</v>
      </c>
      <c r="CJ387" s="68">
        <v>1</v>
      </c>
    </row>
    <row r="388" spans="84:88" x14ac:dyDescent="0.35">
      <c r="CF388">
        <v>14</v>
      </c>
      <c r="CG388" t="s">
        <v>32</v>
      </c>
      <c r="CH388" t="s">
        <v>2</v>
      </c>
      <c r="CI388" t="s">
        <v>67</v>
      </c>
      <c r="CJ388" s="68">
        <v>1</v>
      </c>
    </row>
    <row r="389" spans="84:88" x14ac:dyDescent="0.35">
      <c r="CF389">
        <v>14</v>
      </c>
      <c r="CG389" t="s">
        <v>32</v>
      </c>
      <c r="CH389" t="s">
        <v>2</v>
      </c>
      <c r="CI389" t="s">
        <v>68</v>
      </c>
      <c r="CJ389" s="68">
        <v>1</v>
      </c>
    </row>
    <row r="390" spans="84:88" x14ac:dyDescent="0.35">
      <c r="CF390">
        <v>14</v>
      </c>
      <c r="CG390" t="s">
        <v>32</v>
      </c>
      <c r="CH390" t="s">
        <v>2</v>
      </c>
      <c r="CI390" t="s">
        <v>69</v>
      </c>
      <c r="CJ390" s="68">
        <v>1</v>
      </c>
    </row>
    <row r="391" spans="84:88" x14ac:dyDescent="0.35">
      <c r="CF391">
        <v>14</v>
      </c>
      <c r="CG391" t="s">
        <v>32</v>
      </c>
      <c r="CH391" t="s">
        <v>2</v>
      </c>
      <c r="CI391" t="s">
        <v>70</v>
      </c>
      <c r="CJ391" s="68">
        <v>1</v>
      </c>
    </row>
    <row r="392" spans="84:88" x14ac:dyDescent="0.35">
      <c r="CF392">
        <v>14</v>
      </c>
      <c r="CG392" t="s">
        <v>32</v>
      </c>
      <c r="CH392" t="s">
        <v>2</v>
      </c>
      <c r="CI392" t="s">
        <v>71</v>
      </c>
      <c r="CJ392" s="68">
        <v>1</v>
      </c>
    </row>
    <row r="393" spans="84:88" x14ac:dyDescent="0.35">
      <c r="CF393">
        <v>14</v>
      </c>
      <c r="CG393" t="s">
        <v>32</v>
      </c>
      <c r="CH393" t="s">
        <v>2</v>
      </c>
      <c r="CI393" t="s">
        <v>72</v>
      </c>
      <c r="CJ393" s="68">
        <v>1</v>
      </c>
    </row>
    <row r="394" spans="84:88" x14ac:dyDescent="0.35">
      <c r="CF394">
        <v>14</v>
      </c>
      <c r="CG394" t="s">
        <v>32</v>
      </c>
      <c r="CH394" t="s">
        <v>2</v>
      </c>
      <c r="CI394" t="s">
        <v>73</v>
      </c>
      <c r="CJ394" s="68">
        <v>1</v>
      </c>
    </row>
    <row r="395" spans="84:88" x14ac:dyDescent="0.35">
      <c r="CF395">
        <v>14</v>
      </c>
      <c r="CG395" t="s">
        <v>32</v>
      </c>
      <c r="CH395" t="s">
        <v>2</v>
      </c>
      <c r="CI395" t="s">
        <v>74</v>
      </c>
      <c r="CJ395" s="68">
        <v>1</v>
      </c>
    </row>
    <row r="396" spans="84:88" x14ac:dyDescent="0.35">
      <c r="CF396">
        <v>14</v>
      </c>
      <c r="CG396" t="s">
        <v>32</v>
      </c>
      <c r="CH396" t="s">
        <v>2</v>
      </c>
      <c r="CI396" t="s">
        <v>75</v>
      </c>
      <c r="CJ396" s="68">
        <v>1</v>
      </c>
    </row>
    <row r="397" spans="84:88" x14ac:dyDescent="0.35">
      <c r="CF397">
        <v>14</v>
      </c>
      <c r="CG397" t="s">
        <v>32</v>
      </c>
      <c r="CH397" t="s">
        <v>2</v>
      </c>
      <c r="CI397" t="s">
        <v>76</v>
      </c>
      <c r="CJ397" s="68">
        <v>1</v>
      </c>
    </row>
    <row r="398" spans="84:88" x14ac:dyDescent="0.35">
      <c r="CF398">
        <v>14</v>
      </c>
      <c r="CG398" t="s">
        <v>32</v>
      </c>
      <c r="CH398" t="s">
        <v>2</v>
      </c>
      <c r="CI398" t="s">
        <v>77</v>
      </c>
      <c r="CJ398" s="68">
        <v>1</v>
      </c>
    </row>
    <row r="399" spans="84:88" x14ac:dyDescent="0.35">
      <c r="CF399">
        <v>14</v>
      </c>
      <c r="CG399" t="s">
        <v>32</v>
      </c>
      <c r="CH399" t="s">
        <v>2</v>
      </c>
      <c r="CI399" t="s">
        <v>78</v>
      </c>
      <c r="CJ399" s="68">
        <v>1</v>
      </c>
    </row>
    <row r="400" spans="84:88" x14ac:dyDescent="0.35">
      <c r="CF400">
        <v>14</v>
      </c>
      <c r="CG400" t="s">
        <v>32</v>
      </c>
      <c r="CH400" t="s">
        <v>2</v>
      </c>
      <c r="CI400" t="s">
        <v>79</v>
      </c>
      <c r="CJ400" s="68">
        <v>1</v>
      </c>
    </row>
    <row r="401" spans="84:88" x14ac:dyDescent="0.35">
      <c r="CF401">
        <v>14</v>
      </c>
      <c r="CG401" t="s">
        <v>32</v>
      </c>
      <c r="CH401" t="s">
        <v>2</v>
      </c>
      <c r="CI401" t="s">
        <v>80</v>
      </c>
      <c r="CJ401" s="68">
        <v>1</v>
      </c>
    </row>
    <row r="402" spans="84:88" x14ac:dyDescent="0.35">
      <c r="CF402">
        <v>15</v>
      </c>
      <c r="CG402" t="s">
        <v>32</v>
      </c>
      <c r="CH402" t="s">
        <v>3</v>
      </c>
      <c r="CI402" t="s">
        <v>55</v>
      </c>
      <c r="CJ402" s="68">
        <v>0</v>
      </c>
    </row>
    <row r="403" spans="84:88" x14ac:dyDescent="0.35">
      <c r="CF403">
        <v>15</v>
      </c>
      <c r="CG403" t="s">
        <v>32</v>
      </c>
      <c r="CH403" t="s">
        <v>3</v>
      </c>
      <c r="CI403" t="s">
        <v>56</v>
      </c>
      <c r="CJ403" s="68">
        <v>1</v>
      </c>
    </row>
    <row r="404" spans="84:88" x14ac:dyDescent="0.35">
      <c r="CF404">
        <v>15</v>
      </c>
      <c r="CG404" t="s">
        <v>32</v>
      </c>
      <c r="CH404" t="s">
        <v>3</v>
      </c>
      <c r="CI404" t="s">
        <v>57</v>
      </c>
      <c r="CJ404" s="68">
        <v>1</v>
      </c>
    </row>
    <row r="405" spans="84:88" x14ac:dyDescent="0.35">
      <c r="CF405">
        <v>15</v>
      </c>
      <c r="CG405" t="s">
        <v>32</v>
      </c>
      <c r="CH405" t="s">
        <v>3</v>
      </c>
      <c r="CI405" t="s">
        <v>58</v>
      </c>
      <c r="CJ405" s="68">
        <v>1</v>
      </c>
    </row>
    <row r="406" spans="84:88" x14ac:dyDescent="0.35">
      <c r="CF406">
        <v>15</v>
      </c>
      <c r="CG406" t="s">
        <v>32</v>
      </c>
      <c r="CH406" t="s">
        <v>3</v>
      </c>
      <c r="CI406" t="s">
        <v>59</v>
      </c>
      <c r="CJ406" s="68">
        <v>1</v>
      </c>
    </row>
    <row r="407" spans="84:88" x14ac:dyDescent="0.35">
      <c r="CF407">
        <v>15</v>
      </c>
      <c r="CG407" t="s">
        <v>32</v>
      </c>
      <c r="CH407" t="s">
        <v>3</v>
      </c>
      <c r="CI407" t="s">
        <v>60</v>
      </c>
      <c r="CJ407" s="68">
        <v>1</v>
      </c>
    </row>
    <row r="408" spans="84:88" x14ac:dyDescent="0.35">
      <c r="CF408">
        <v>15</v>
      </c>
      <c r="CG408" t="s">
        <v>32</v>
      </c>
      <c r="CH408" t="s">
        <v>3</v>
      </c>
      <c r="CI408" t="s">
        <v>61</v>
      </c>
      <c r="CJ408" s="68">
        <v>1</v>
      </c>
    </row>
    <row r="409" spans="84:88" x14ac:dyDescent="0.35">
      <c r="CF409">
        <v>15</v>
      </c>
      <c r="CG409" t="s">
        <v>32</v>
      </c>
      <c r="CH409" t="s">
        <v>3</v>
      </c>
      <c r="CI409" t="s">
        <v>62</v>
      </c>
      <c r="CJ409" s="68">
        <v>1</v>
      </c>
    </row>
    <row r="410" spans="84:88" x14ac:dyDescent="0.35">
      <c r="CF410">
        <v>15</v>
      </c>
      <c r="CG410" t="s">
        <v>32</v>
      </c>
      <c r="CH410" t="s">
        <v>3</v>
      </c>
      <c r="CI410" t="s">
        <v>63</v>
      </c>
      <c r="CJ410" s="68">
        <v>1</v>
      </c>
    </row>
    <row r="411" spans="84:88" x14ac:dyDescent="0.35">
      <c r="CF411">
        <v>15</v>
      </c>
      <c r="CG411" t="s">
        <v>32</v>
      </c>
      <c r="CH411" t="s">
        <v>3</v>
      </c>
      <c r="CI411" t="s">
        <v>64</v>
      </c>
      <c r="CJ411" s="68">
        <v>1</v>
      </c>
    </row>
    <row r="412" spans="84:88" x14ac:dyDescent="0.35">
      <c r="CF412">
        <v>15</v>
      </c>
      <c r="CG412" t="s">
        <v>32</v>
      </c>
      <c r="CH412" t="s">
        <v>3</v>
      </c>
      <c r="CI412" t="s">
        <v>65</v>
      </c>
      <c r="CJ412" s="68">
        <v>1</v>
      </c>
    </row>
    <row r="413" spans="84:88" x14ac:dyDescent="0.35">
      <c r="CF413">
        <v>15</v>
      </c>
      <c r="CG413" t="s">
        <v>32</v>
      </c>
      <c r="CH413" t="s">
        <v>3</v>
      </c>
      <c r="CI413" t="s">
        <v>66</v>
      </c>
      <c r="CJ413" s="68">
        <v>1</v>
      </c>
    </row>
    <row r="414" spans="84:88" x14ac:dyDescent="0.35">
      <c r="CF414">
        <v>15</v>
      </c>
      <c r="CG414" t="s">
        <v>32</v>
      </c>
      <c r="CH414" t="s">
        <v>3</v>
      </c>
      <c r="CI414" t="s">
        <v>67</v>
      </c>
      <c r="CJ414" s="68">
        <v>1</v>
      </c>
    </row>
    <row r="415" spans="84:88" x14ac:dyDescent="0.35">
      <c r="CF415">
        <v>15</v>
      </c>
      <c r="CG415" t="s">
        <v>32</v>
      </c>
      <c r="CH415" t="s">
        <v>3</v>
      </c>
      <c r="CI415" t="s">
        <v>68</v>
      </c>
      <c r="CJ415" s="68">
        <v>1</v>
      </c>
    </row>
    <row r="416" spans="84:88" x14ac:dyDescent="0.35">
      <c r="CF416">
        <v>15</v>
      </c>
      <c r="CG416" t="s">
        <v>32</v>
      </c>
      <c r="CH416" t="s">
        <v>3</v>
      </c>
      <c r="CI416" t="s">
        <v>69</v>
      </c>
      <c r="CJ416" s="68">
        <v>1</v>
      </c>
    </row>
    <row r="417" spans="84:88" x14ac:dyDescent="0.35">
      <c r="CF417">
        <v>15</v>
      </c>
      <c r="CG417" t="s">
        <v>32</v>
      </c>
      <c r="CH417" t="s">
        <v>3</v>
      </c>
      <c r="CI417" t="s">
        <v>70</v>
      </c>
      <c r="CJ417" s="68">
        <v>1</v>
      </c>
    </row>
    <row r="418" spans="84:88" x14ac:dyDescent="0.35">
      <c r="CF418">
        <v>15</v>
      </c>
      <c r="CG418" t="s">
        <v>32</v>
      </c>
      <c r="CH418" t="s">
        <v>3</v>
      </c>
      <c r="CI418" t="s">
        <v>71</v>
      </c>
      <c r="CJ418" s="68">
        <v>1</v>
      </c>
    </row>
    <row r="419" spans="84:88" x14ac:dyDescent="0.35">
      <c r="CF419">
        <v>15</v>
      </c>
      <c r="CG419" t="s">
        <v>32</v>
      </c>
      <c r="CH419" t="s">
        <v>3</v>
      </c>
      <c r="CI419" t="s">
        <v>72</v>
      </c>
      <c r="CJ419" s="68">
        <v>1</v>
      </c>
    </row>
    <row r="420" spans="84:88" x14ac:dyDescent="0.35">
      <c r="CF420">
        <v>15</v>
      </c>
      <c r="CG420" t="s">
        <v>32</v>
      </c>
      <c r="CH420" t="s">
        <v>3</v>
      </c>
      <c r="CI420" t="s">
        <v>73</v>
      </c>
      <c r="CJ420" s="68">
        <v>1</v>
      </c>
    </row>
    <row r="421" spans="84:88" x14ac:dyDescent="0.35">
      <c r="CF421">
        <v>15</v>
      </c>
      <c r="CG421" t="s">
        <v>32</v>
      </c>
      <c r="CH421" t="s">
        <v>3</v>
      </c>
      <c r="CI421" t="s">
        <v>74</v>
      </c>
      <c r="CJ421" s="68">
        <v>1</v>
      </c>
    </row>
    <row r="422" spans="84:88" x14ac:dyDescent="0.35">
      <c r="CF422">
        <v>15</v>
      </c>
      <c r="CG422" t="s">
        <v>32</v>
      </c>
      <c r="CH422" t="s">
        <v>3</v>
      </c>
      <c r="CI422" t="s">
        <v>75</v>
      </c>
      <c r="CJ422" s="68">
        <v>1</v>
      </c>
    </row>
    <row r="423" spans="84:88" x14ac:dyDescent="0.35">
      <c r="CF423">
        <v>15</v>
      </c>
      <c r="CG423" t="s">
        <v>32</v>
      </c>
      <c r="CH423" t="s">
        <v>3</v>
      </c>
      <c r="CI423" t="s">
        <v>76</v>
      </c>
      <c r="CJ423" s="68">
        <v>1</v>
      </c>
    </row>
    <row r="424" spans="84:88" x14ac:dyDescent="0.35">
      <c r="CF424">
        <v>15</v>
      </c>
      <c r="CG424" t="s">
        <v>32</v>
      </c>
      <c r="CH424" t="s">
        <v>3</v>
      </c>
      <c r="CI424" t="s">
        <v>77</v>
      </c>
      <c r="CJ424" s="68">
        <v>1</v>
      </c>
    </row>
    <row r="425" spans="84:88" x14ac:dyDescent="0.35">
      <c r="CF425">
        <v>15</v>
      </c>
      <c r="CG425" t="s">
        <v>32</v>
      </c>
      <c r="CH425" t="s">
        <v>3</v>
      </c>
      <c r="CI425" t="s">
        <v>78</v>
      </c>
      <c r="CJ425" s="68">
        <v>1</v>
      </c>
    </row>
    <row r="426" spans="84:88" x14ac:dyDescent="0.35">
      <c r="CF426">
        <v>15</v>
      </c>
      <c r="CG426" t="s">
        <v>32</v>
      </c>
      <c r="CH426" t="s">
        <v>3</v>
      </c>
      <c r="CI426" t="s">
        <v>79</v>
      </c>
      <c r="CJ426" s="68">
        <v>1</v>
      </c>
    </row>
    <row r="427" spans="84:88" x14ac:dyDescent="0.35">
      <c r="CF427">
        <v>15</v>
      </c>
      <c r="CG427" t="s">
        <v>32</v>
      </c>
      <c r="CH427" t="s">
        <v>3</v>
      </c>
      <c r="CI427" t="s">
        <v>80</v>
      </c>
      <c r="CJ427" s="68">
        <v>1</v>
      </c>
    </row>
    <row r="428" spans="84:88" x14ac:dyDescent="0.35">
      <c r="CF428">
        <v>16</v>
      </c>
      <c r="CG428" t="s">
        <v>33</v>
      </c>
      <c r="CH428" t="s">
        <v>2</v>
      </c>
      <c r="CI428" t="s">
        <v>53</v>
      </c>
      <c r="CJ428" s="68">
        <v>0</v>
      </c>
    </row>
    <row r="429" spans="84:88" x14ac:dyDescent="0.35">
      <c r="CF429">
        <v>16</v>
      </c>
      <c r="CG429" t="s">
        <v>33</v>
      </c>
      <c r="CH429" t="s">
        <v>2</v>
      </c>
      <c r="CI429" t="s">
        <v>54</v>
      </c>
      <c r="CJ429" s="68">
        <v>0</v>
      </c>
    </row>
    <row r="430" spans="84:88" x14ac:dyDescent="0.35">
      <c r="CF430">
        <v>16</v>
      </c>
      <c r="CG430" t="s">
        <v>33</v>
      </c>
      <c r="CH430" t="s">
        <v>2</v>
      </c>
      <c r="CI430" t="s">
        <v>55</v>
      </c>
      <c r="CJ430" s="68">
        <v>1</v>
      </c>
    </row>
    <row r="431" spans="84:88" x14ac:dyDescent="0.35">
      <c r="CF431">
        <v>16</v>
      </c>
      <c r="CG431" t="s">
        <v>33</v>
      </c>
      <c r="CH431" t="s">
        <v>2</v>
      </c>
      <c r="CI431" t="s">
        <v>56</v>
      </c>
      <c r="CJ431" s="68">
        <v>1</v>
      </c>
    </row>
    <row r="432" spans="84:88" x14ac:dyDescent="0.35">
      <c r="CF432">
        <v>16</v>
      </c>
      <c r="CG432" t="s">
        <v>33</v>
      </c>
      <c r="CH432" t="s">
        <v>2</v>
      </c>
      <c r="CI432" t="s">
        <v>57</v>
      </c>
      <c r="CJ432" s="68">
        <v>1</v>
      </c>
    </row>
    <row r="433" spans="84:88" x14ac:dyDescent="0.35">
      <c r="CF433">
        <v>16</v>
      </c>
      <c r="CG433" t="s">
        <v>33</v>
      </c>
      <c r="CH433" t="s">
        <v>2</v>
      </c>
      <c r="CI433" t="s">
        <v>58</v>
      </c>
      <c r="CJ433" s="68">
        <v>1</v>
      </c>
    </row>
    <row r="434" spans="84:88" x14ac:dyDescent="0.35">
      <c r="CF434">
        <v>16</v>
      </c>
      <c r="CG434" t="s">
        <v>33</v>
      </c>
      <c r="CH434" t="s">
        <v>2</v>
      </c>
      <c r="CI434" t="s">
        <v>59</v>
      </c>
      <c r="CJ434" s="68">
        <v>1</v>
      </c>
    </row>
    <row r="435" spans="84:88" x14ac:dyDescent="0.35">
      <c r="CF435">
        <v>16</v>
      </c>
      <c r="CG435" t="s">
        <v>33</v>
      </c>
      <c r="CH435" t="s">
        <v>2</v>
      </c>
      <c r="CI435" t="s">
        <v>60</v>
      </c>
      <c r="CJ435" s="68">
        <v>1</v>
      </c>
    </row>
    <row r="436" spans="84:88" x14ac:dyDescent="0.35">
      <c r="CF436">
        <v>16</v>
      </c>
      <c r="CG436" t="s">
        <v>33</v>
      </c>
      <c r="CH436" t="s">
        <v>2</v>
      </c>
      <c r="CI436" t="s">
        <v>61</v>
      </c>
      <c r="CJ436" s="68">
        <v>1</v>
      </c>
    </row>
    <row r="437" spans="84:88" x14ac:dyDescent="0.35">
      <c r="CF437">
        <v>16</v>
      </c>
      <c r="CG437" t="s">
        <v>33</v>
      </c>
      <c r="CH437" t="s">
        <v>2</v>
      </c>
      <c r="CI437" t="s">
        <v>62</v>
      </c>
      <c r="CJ437" s="68">
        <v>1</v>
      </c>
    </row>
    <row r="438" spans="84:88" x14ac:dyDescent="0.35">
      <c r="CF438">
        <v>16</v>
      </c>
      <c r="CG438" t="s">
        <v>33</v>
      </c>
      <c r="CH438" t="s">
        <v>2</v>
      </c>
      <c r="CI438" t="s">
        <v>63</v>
      </c>
      <c r="CJ438" s="68">
        <v>1</v>
      </c>
    </row>
    <row r="439" spans="84:88" x14ac:dyDescent="0.35">
      <c r="CF439">
        <v>16</v>
      </c>
      <c r="CG439" t="s">
        <v>33</v>
      </c>
      <c r="CH439" t="s">
        <v>2</v>
      </c>
      <c r="CI439" t="s">
        <v>64</v>
      </c>
      <c r="CJ439" s="68">
        <v>1</v>
      </c>
    </row>
    <row r="440" spans="84:88" x14ac:dyDescent="0.35">
      <c r="CF440">
        <v>16</v>
      </c>
      <c r="CG440" t="s">
        <v>33</v>
      </c>
      <c r="CH440" t="s">
        <v>2</v>
      </c>
      <c r="CI440" t="s">
        <v>65</v>
      </c>
      <c r="CJ440" s="68">
        <v>1</v>
      </c>
    </row>
    <row r="441" spans="84:88" x14ac:dyDescent="0.35">
      <c r="CF441">
        <v>16</v>
      </c>
      <c r="CG441" t="s">
        <v>33</v>
      </c>
      <c r="CH441" t="s">
        <v>2</v>
      </c>
      <c r="CI441" t="s">
        <v>66</v>
      </c>
      <c r="CJ441" s="68">
        <v>1</v>
      </c>
    </row>
    <row r="442" spans="84:88" x14ac:dyDescent="0.35">
      <c r="CF442">
        <v>16</v>
      </c>
      <c r="CG442" t="s">
        <v>33</v>
      </c>
      <c r="CH442" t="s">
        <v>2</v>
      </c>
      <c r="CI442" t="s">
        <v>67</v>
      </c>
      <c r="CJ442" s="68">
        <v>1</v>
      </c>
    </row>
    <row r="443" spans="84:88" x14ac:dyDescent="0.35">
      <c r="CF443">
        <v>16</v>
      </c>
      <c r="CG443" t="s">
        <v>33</v>
      </c>
      <c r="CH443" t="s">
        <v>2</v>
      </c>
      <c r="CI443" t="s">
        <v>68</v>
      </c>
      <c r="CJ443" s="68">
        <v>1</v>
      </c>
    </row>
    <row r="444" spans="84:88" x14ac:dyDescent="0.35">
      <c r="CF444">
        <v>16</v>
      </c>
      <c r="CG444" t="s">
        <v>33</v>
      </c>
      <c r="CH444" t="s">
        <v>2</v>
      </c>
      <c r="CI444" t="s">
        <v>69</v>
      </c>
      <c r="CJ444" s="68">
        <v>1</v>
      </c>
    </row>
    <row r="445" spans="84:88" x14ac:dyDescent="0.35">
      <c r="CF445">
        <v>16</v>
      </c>
      <c r="CG445" t="s">
        <v>33</v>
      </c>
      <c r="CH445" t="s">
        <v>2</v>
      </c>
      <c r="CI445" t="s">
        <v>70</v>
      </c>
      <c r="CJ445" s="68">
        <v>1</v>
      </c>
    </row>
    <row r="446" spans="84:88" x14ac:dyDescent="0.35">
      <c r="CF446">
        <v>16</v>
      </c>
      <c r="CG446" t="s">
        <v>33</v>
      </c>
      <c r="CH446" t="s">
        <v>2</v>
      </c>
      <c r="CI446" t="s">
        <v>71</v>
      </c>
      <c r="CJ446" s="68">
        <v>1</v>
      </c>
    </row>
    <row r="447" spans="84:88" x14ac:dyDescent="0.35">
      <c r="CF447">
        <v>16</v>
      </c>
      <c r="CG447" t="s">
        <v>33</v>
      </c>
      <c r="CH447" t="s">
        <v>2</v>
      </c>
      <c r="CI447" t="s">
        <v>72</v>
      </c>
      <c r="CJ447" s="68">
        <v>1</v>
      </c>
    </row>
    <row r="448" spans="84:88" x14ac:dyDescent="0.35">
      <c r="CF448">
        <v>16</v>
      </c>
      <c r="CG448" t="s">
        <v>33</v>
      </c>
      <c r="CH448" t="s">
        <v>2</v>
      </c>
      <c r="CI448" t="s">
        <v>73</v>
      </c>
      <c r="CJ448" s="68">
        <v>1</v>
      </c>
    </row>
    <row r="449" spans="84:88" x14ac:dyDescent="0.35">
      <c r="CF449">
        <v>16</v>
      </c>
      <c r="CG449" t="s">
        <v>33</v>
      </c>
      <c r="CH449" t="s">
        <v>2</v>
      </c>
      <c r="CI449" t="s">
        <v>74</v>
      </c>
      <c r="CJ449" s="68">
        <v>1</v>
      </c>
    </row>
    <row r="450" spans="84:88" x14ac:dyDescent="0.35">
      <c r="CF450">
        <v>16</v>
      </c>
      <c r="CG450" t="s">
        <v>33</v>
      </c>
      <c r="CH450" t="s">
        <v>2</v>
      </c>
      <c r="CI450" t="s">
        <v>75</v>
      </c>
      <c r="CJ450" s="68">
        <v>1</v>
      </c>
    </row>
    <row r="451" spans="84:88" x14ac:dyDescent="0.35">
      <c r="CF451">
        <v>16</v>
      </c>
      <c r="CG451" t="s">
        <v>33</v>
      </c>
      <c r="CH451" t="s">
        <v>2</v>
      </c>
      <c r="CI451" t="s">
        <v>76</v>
      </c>
      <c r="CJ451" s="68">
        <v>1</v>
      </c>
    </row>
    <row r="452" spans="84:88" x14ac:dyDescent="0.35">
      <c r="CF452">
        <v>16</v>
      </c>
      <c r="CG452" t="s">
        <v>33</v>
      </c>
      <c r="CH452" t="s">
        <v>2</v>
      </c>
      <c r="CI452" t="s">
        <v>77</v>
      </c>
      <c r="CJ452" s="68">
        <v>1</v>
      </c>
    </row>
    <row r="453" spans="84:88" x14ac:dyDescent="0.35">
      <c r="CF453">
        <v>16</v>
      </c>
      <c r="CG453" t="s">
        <v>33</v>
      </c>
      <c r="CH453" t="s">
        <v>2</v>
      </c>
      <c r="CI453" t="s">
        <v>78</v>
      </c>
      <c r="CJ453" s="68">
        <v>1</v>
      </c>
    </row>
    <row r="454" spans="84:88" x14ac:dyDescent="0.35">
      <c r="CF454">
        <v>16</v>
      </c>
      <c r="CG454" t="s">
        <v>33</v>
      </c>
      <c r="CH454" t="s">
        <v>2</v>
      </c>
      <c r="CI454" t="s">
        <v>79</v>
      </c>
      <c r="CJ454" s="68">
        <v>1</v>
      </c>
    </row>
    <row r="455" spans="84:88" x14ac:dyDescent="0.35">
      <c r="CF455">
        <v>16</v>
      </c>
      <c r="CG455" t="s">
        <v>33</v>
      </c>
      <c r="CH455" t="s">
        <v>2</v>
      </c>
      <c r="CI455" t="s">
        <v>80</v>
      </c>
      <c r="CJ455" s="68">
        <v>1</v>
      </c>
    </row>
    <row r="456" spans="84:88" x14ac:dyDescent="0.35">
      <c r="CF456">
        <v>17</v>
      </c>
      <c r="CG456" t="s">
        <v>33</v>
      </c>
      <c r="CH456" t="s">
        <v>3</v>
      </c>
      <c r="CI456" t="s">
        <v>53</v>
      </c>
      <c r="CJ456" s="68">
        <v>0</v>
      </c>
    </row>
    <row r="457" spans="84:88" x14ac:dyDescent="0.35">
      <c r="CF457">
        <v>17</v>
      </c>
      <c r="CG457" t="s">
        <v>33</v>
      </c>
      <c r="CH457" t="s">
        <v>3</v>
      </c>
      <c r="CI457" t="s">
        <v>54</v>
      </c>
      <c r="CJ457" s="68">
        <v>0</v>
      </c>
    </row>
    <row r="458" spans="84:88" x14ac:dyDescent="0.35">
      <c r="CF458">
        <v>17</v>
      </c>
      <c r="CG458" t="s">
        <v>33</v>
      </c>
      <c r="CH458" t="s">
        <v>3</v>
      </c>
      <c r="CI458" t="s">
        <v>55</v>
      </c>
      <c r="CJ458" s="68">
        <v>1</v>
      </c>
    </row>
    <row r="459" spans="84:88" x14ac:dyDescent="0.35">
      <c r="CF459">
        <v>17</v>
      </c>
      <c r="CG459" t="s">
        <v>33</v>
      </c>
      <c r="CH459" t="s">
        <v>3</v>
      </c>
      <c r="CI459" t="s">
        <v>56</v>
      </c>
      <c r="CJ459" s="68">
        <v>1</v>
      </c>
    </row>
    <row r="460" spans="84:88" x14ac:dyDescent="0.35">
      <c r="CF460">
        <v>17</v>
      </c>
      <c r="CG460" t="s">
        <v>33</v>
      </c>
      <c r="CH460" t="s">
        <v>3</v>
      </c>
      <c r="CI460" t="s">
        <v>57</v>
      </c>
      <c r="CJ460" s="68">
        <v>1</v>
      </c>
    </row>
    <row r="461" spans="84:88" x14ac:dyDescent="0.35">
      <c r="CF461">
        <v>17</v>
      </c>
      <c r="CG461" t="s">
        <v>33</v>
      </c>
      <c r="CH461" t="s">
        <v>3</v>
      </c>
      <c r="CI461" t="s">
        <v>58</v>
      </c>
      <c r="CJ461" s="68">
        <v>1</v>
      </c>
    </row>
    <row r="462" spans="84:88" x14ac:dyDescent="0.35">
      <c r="CF462">
        <v>17</v>
      </c>
      <c r="CG462" t="s">
        <v>33</v>
      </c>
      <c r="CH462" t="s">
        <v>3</v>
      </c>
      <c r="CI462" t="s">
        <v>59</v>
      </c>
      <c r="CJ462" s="68">
        <v>1</v>
      </c>
    </row>
    <row r="463" spans="84:88" x14ac:dyDescent="0.35">
      <c r="CF463">
        <v>17</v>
      </c>
      <c r="CG463" t="s">
        <v>33</v>
      </c>
      <c r="CH463" t="s">
        <v>3</v>
      </c>
      <c r="CI463" t="s">
        <v>60</v>
      </c>
      <c r="CJ463" s="68">
        <v>1</v>
      </c>
    </row>
    <row r="464" spans="84:88" x14ac:dyDescent="0.35">
      <c r="CF464">
        <v>17</v>
      </c>
      <c r="CG464" t="s">
        <v>33</v>
      </c>
      <c r="CH464" t="s">
        <v>3</v>
      </c>
      <c r="CI464" t="s">
        <v>61</v>
      </c>
      <c r="CJ464" s="68">
        <v>1</v>
      </c>
    </row>
    <row r="465" spans="84:88" x14ac:dyDescent="0.35">
      <c r="CF465">
        <v>17</v>
      </c>
      <c r="CG465" t="s">
        <v>33</v>
      </c>
      <c r="CH465" t="s">
        <v>3</v>
      </c>
      <c r="CI465" t="s">
        <v>62</v>
      </c>
      <c r="CJ465" s="68">
        <v>1</v>
      </c>
    </row>
    <row r="466" spans="84:88" x14ac:dyDescent="0.35">
      <c r="CF466">
        <v>17</v>
      </c>
      <c r="CG466" t="s">
        <v>33</v>
      </c>
      <c r="CH466" t="s">
        <v>3</v>
      </c>
      <c r="CI466" t="s">
        <v>63</v>
      </c>
      <c r="CJ466" s="68">
        <v>1</v>
      </c>
    </row>
    <row r="467" spans="84:88" x14ac:dyDescent="0.35">
      <c r="CF467">
        <v>17</v>
      </c>
      <c r="CG467" t="s">
        <v>33</v>
      </c>
      <c r="CH467" t="s">
        <v>3</v>
      </c>
      <c r="CI467" t="s">
        <v>64</v>
      </c>
      <c r="CJ467" s="68">
        <v>1</v>
      </c>
    </row>
    <row r="468" spans="84:88" x14ac:dyDescent="0.35">
      <c r="CF468">
        <v>17</v>
      </c>
      <c r="CG468" t="s">
        <v>33</v>
      </c>
      <c r="CH468" t="s">
        <v>3</v>
      </c>
      <c r="CI468" t="s">
        <v>65</v>
      </c>
      <c r="CJ468" s="68">
        <v>1</v>
      </c>
    </row>
    <row r="469" spans="84:88" x14ac:dyDescent="0.35">
      <c r="CF469">
        <v>17</v>
      </c>
      <c r="CG469" t="s">
        <v>33</v>
      </c>
      <c r="CH469" t="s">
        <v>3</v>
      </c>
      <c r="CI469" t="s">
        <v>66</v>
      </c>
      <c r="CJ469" s="68">
        <v>1</v>
      </c>
    </row>
    <row r="470" spans="84:88" x14ac:dyDescent="0.35">
      <c r="CF470">
        <v>17</v>
      </c>
      <c r="CG470" t="s">
        <v>33</v>
      </c>
      <c r="CH470" t="s">
        <v>3</v>
      </c>
      <c r="CI470" t="s">
        <v>67</v>
      </c>
      <c r="CJ470" s="68">
        <v>1</v>
      </c>
    </row>
    <row r="471" spans="84:88" x14ac:dyDescent="0.35">
      <c r="CF471">
        <v>17</v>
      </c>
      <c r="CG471" t="s">
        <v>33</v>
      </c>
      <c r="CH471" t="s">
        <v>3</v>
      </c>
      <c r="CI471" t="s">
        <v>68</v>
      </c>
      <c r="CJ471" s="68">
        <v>1</v>
      </c>
    </row>
    <row r="472" spans="84:88" x14ac:dyDescent="0.35">
      <c r="CF472">
        <v>17</v>
      </c>
      <c r="CG472" t="s">
        <v>33</v>
      </c>
      <c r="CH472" t="s">
        <v>3</v>
      </c>
      <c r="CI472" t="s">
        <v>69</v>
      </c>
      <c r="CJ472" s="68">
        <v>1</v>
      </c>
    </row>
    <row r="473" spans="84:88" x14ac:dyDescent="0.35">
      <c r="CF473">
        <v>17</v>
      </c>
      <c r="CG473" t="s">
        <v>33</v>
      </c>
      <c r="CH473" t="s">
        <v>3</v>
      </c>
      <c r="CI473" t="s">
        <v>70</v>
      </c>
      <c r="CJ473" s="68">
        <v>1</v>
      </c>
    </row>
    <row r="474" spans="84:88" x14ac:dyDescent="0.35">
      <c r="CF474">
        <v>17</v>
      </c>
      <c r="CG474" t="s">
        <v>33</v>
      </c>
      <c r="CH474" t="s">
        <v>3</v>
      </c>
      <c r="CI474" t="s">
        <v>71</v>
      </c>
      <c r="CJ474" s="68">
        <v>1</v>
      </c>
    </row>
    <row r="475" spans="84:88" x14ac:dyDescent="0.35">
      <c r="CF475">
        <v>17</v>
      </c>
      <c r="CG475" t="s">
        <v>33</v>
      </c>
      <c r="CH475" t="s">
        <v>3</v>
      </c>
      <c r="CI475" t="s">
        <v>72</v>
      </c>
      <c r="CJ475" s="68">
        <v>1</v>
      </c>
    </row>
    <row r="476" spans="84:88" x14ac:dyDescent="0.35">
      <c r="CF476">
        <v>17</v>
      </c>
      <c r="CG476" t="s">
        <v>33</v>
      </c>
      <c r="CH476" t="s">
        <v>3</v>
      </c>
      <c r="CI476" t="s">
        <v>73</v>
      </c>
      <c r="CJ476" s="68">
        <v>1</v>
      </c>
    </row>
    <row r="477" spans="84:88" x14ac:dyDescent="0.35">
      <c r="CF477">
        <v>17</v>
      </c>
      <c r="CG477" t="s">
        <v>33</v>
      </c>
      <c r="CH477" t="s">
        <v>3</v>
      </c>
      <c r="CI477" t="s">
        <v>74</v>
      </c>
      <c r="CJ477" s="68">
        <v>1</v>
      </c>
    </row>
    <row r="478" spans="84:88" x14ac:dyDescent="0.35">
      <c r="CF478">
        <v>17</v>
      </c>
      <c r="CG478" t="s">
        <v>33</v>
      </c>
      <c r="CH478" t="s">
        <v>3</v>
      </c>
      <c r="CI478" t="s">
        <v>75</v>
      </c>
      <c r="CJ478" s="68">
        <v>1</v>
      </c>
    </row>
    <row r="479" spans="84:88" x14ac:dyDescent="0.35">
      <c r="CF479">
        <v>17</v>
      </c>
      <c r="CG479" t="s">
        <v>33</v>
      </c>
      <c r="CH479" t="s">
        <v>3</v>
      </c>
      <c r="CI479" t="s">
        <v>76</v>
      </c>
      <c r="CJ479" s="68">
        <v>1</v>
      </c>
    </row>
    <row r="480" spans="84:88" x14ac:dyDescent="0.35">
      <c r="CF480">
        <v>17</v>
      </c>
      <c r="CG480" t="s">
        <v>33</v>
      </c>
      <c r="CH480" t="s">
        <v>3</v>
      </c>
      <c r="CI480" t="s">
        <v>77</v>
      </c>
      <c r="CJ480" s="68">
        <v>1</v>
      </c>
    </row>
    <row r="481" spans="84:88" x14ac:dyDescent="0.35">
      <c r="CF481">
        <v>17</v>
      </c>
      <c r="CG481" t="s">
        <v>33</v>
      </c>
      <c r="CH481" t="s">
        <v>3</v>
      </c>
      <c r="CI481" t="s">
        <v>78</v>
      </c>
      <c r="CJ481" s="68">
        <v>1</v>
      </c>
    </row>
    <row r="482" spans="84:88" x14ac:dyDescent="0.35">
      <c r="CF482">
        <v>17</v>
      </c>
      <c r="CG482" t="s">
        <v>33</v>
      </c>
      <c r="CH482" t="s">
        <v>3</v>
      </c>
      <c r="CI482" t="s">
        <v>79</v>
      </c>
      <c r="CJ482" s="68">
        <v>1</v>
      </c>
    </row>
    <row r="483" spans="84:88" x14ac:dyDescent="0.35">
      <c r="CF483">
        <v>17</v>
      </c>
      <c r="CG483" t="s">
        <v>33</v>
      </c>
      <c r="CH483" t="s">
        <v>3</v>
      </c>
      <c r="CI483" t="s">
        <v>80</v>
      </c>
      <c r="CJ483" s="68">
        <v>1</v>
      </c>
    </row>
    <row r="484" spans="84:88" x14ac:dyDescent="0.35">
      <c r="CF484">
        <v>18</v>
      </c>
      <c r="CG484" t="s">
        <v>33</v>
      </c>
      <c r="CH484" t="s">
        <v>2</v>
      </c>
      <c r="CI484" t="s">
        <v>53</v>
      </c>
      <c r="CJ484" s="68">
        <v>0</v>
      </c>
    </row>
    <row r="485" spans="84:88" x14ac:dyDescent="0.35">
      <c r="CF485">
        <v>18</v>
      </c>
      <c r="CG485" t="s">
        <v>33</v>
      </c>
      <c r="CH485" t="s">
        <v>2</v>
      </c>
      <c r="CI485" t="s">
        <v>54</v>
      </c>
      <c r="CJ485" s="68">
        <v>0</v>
      </c>
    </row>
    <row r="486" spans="84:88" x14ac:dyDescent="0.35">
      <c r="CF486">
        <v>18</v>
      </c>
      <c r="CG486" t="s">
        <v>33</v>
      </c>
      <c r="CH486" t="s">
        <v>2</v>
      </c>
      <c r="CI486" t="s">
        <v>55</v>
      </c>
      <c r="CJ486" s="68">
        <v>1</v>
      </c>
    </row>
    <row r="487" spans="84:88" x14ac:dyDescent="0.35">
      <c r="CF487">
        <v>18</v>
      </c>
      <c r="CG487" t="s">
        <v>33</v>
      </c>
      <c r="CH487" t="s">
        <v>2</v>
      </c>
      <c r="CI487" t="s">
        <v>56</v>
      </c>
      <c r="CJ487" s="68">
        <v>1</v>
      </c>
    </row>
    <row r="488" spans="84:88" x14ac:dyDescent="0.35">
      <c r="CF488">
        <v>18</v>
      </c>
      <c r="CG488" t="s">
        <v>33</v>
      </c>
      <c r="CH488" t="s">
        <v>2</v>
      </c>
      <c r="CI488" t="s">
        <v>57</v>
      </c>
      <c r="CJ488" s="68">
        <v>1</v>
      </c>
    </row>
    <row r="489" spans="84:88" x14ac:dyDescent="0.35">
      <c r="CF489">
        <v>18</v>
      </c>
      <c r="CG489" t="s">
        <v>33</v>
      </c>
      <c r="CH489" t="s">
        <v>2</v>
      </c>
      <c r="CI489" t="s">
        <v>58</v>
      </c>
      <c r="CJ489" s="68">
        <v>1</v>
      </c>
    </row>
    <row r="490" spans="84:88" x14ac:dyDescent="0.35">
      <c r="CF490">
        <v>18</v>
      </c>
      <c r="CG490" t="s">
        <v>33</v>
      </c>
      <c r="CH490" t="s">
        <v>2</v>
      </c>
      <c r="CI490" t="s">
        <v>59</v>
      </c>
      <c r="CJ490" s="68">
        <v>1</v>
      </c>
    </row>
    <row r="491" spans="84:88" x14ac:dyDescent="0.35">
      <c r="CF491">
        <v>18</v>
      </c>
      <c r="CG491" t="s">
        <v>33</v>
      </c>
      <c r="CH491" t="s">
        <v>2</v>
      </c>
      <c r="CI491" t="s">
        <v>60</v>
      </c>
      <c r="CJ491" s="68">
        <v>1</v>
      </c>
    </row>
    <row r="492" spans="84:88" x14ac:dyDescent="0.35">
      <c r="CF492">
        <v>18</v>
      </c>
      <c r="CG492" t="s">
        <v>33</v>
      </c>
      <c r="CH492" t="s">
        <v>2</v>
      </c>
      <c r="CI492" t="s">
        <v>61</v>
      </c>
      <c r="CJ492" s="68">
        <v>1</v>
      </c>
    </row>
    <row r="493" spans="84:88" x14ac:dyDescent="0.35">
      <c r="CF493">
        <v>18</v>
      </c>
      <c r="CG493" t="s">
        <v>33</v>
      </c>
      <c r="CH493" t="s">
        <v>2</v>
      </c>
      <c r="CI493" t="s">
        <v>62</v>
      </c>
      <c r="CJ493" s="68">
        <v>1</v>
      </c>
    </row>
    <row r="494" spans="84:88" x14ac:dyDescent="0.35">
      <c r="CF494">
        <v>18</v>
      </c>
      <c r="CG494" t="s">
        <v>33</v>
      </c>
      <c r="CH494" t="s">
        <v>2</v>
      </c>
      <c r="CI494" t="s">
        <v>63</v>
      </c>
      <c r="CJ494" s="68">
        <v>1</v>
      </c>
    </row>
    <row r="495" spans="84:88" x14ac:dyDescent="0.35">
      <c r="CF495">
        <v>18</v>
      </c>
      <c r="CG495" t="s">
        <v>33</v>
      </c>
      <c r="CH495" t="s">
        <v>2</v>
      </c>
      <c r="CI495" t="s">
        <v>64</v>
      </c>
      <c r="CJ495" s="68">
        <v>1</v>
      </c>
    </row>
    <row r="496" spans="84:88" x14ac:dyDescent="0.35">
      <c r="CF496">
        <v>18</v>
      </c>
      <c r="CG496" t="s">
        <v>33</v>
      </c>
      <c r="CH496" t="s">
        <v>2</v>
      </c>
      <c r="CI496" t="s">
        <v>65</v>
      </c>
      <c r="CJ496" s="68">
        <v>1</v>
      </c>
    </row>
    <row r="497" spans="84:88" x14ac:dyDescent="0.35">
      <c r="CF497">
        <v>18</v>
      </c>
      <c r="CG497" t="s">
        <v>33</v>
      </c>
      <c r="CH497" t="s">
        <v>2</v>
      </c>
      <c r="CI497" t="s">
        <v>66</v>
      </c>
      <c r="CJ497" s="68">
        <v>1</v>
      </c>
    </row>
    <row r="498" spans="84:88" x14ac:dyDescent="0.35">
      <c r="CF498">
        <v>18</v>
      </c>
      <c r="CG498" t="s">
        <v>33</v>
      </c>
      <c r="CH498" t="s">
        <v>2</v>
      </c>
      <c r="CI498" t="s">
        <v>67</v>
      </c>
      <c r="CJ498" s="68">
        <v>1</v>
      </c>
    </row>
    <row r="499" spans="84:88" x14ac:dyDescent="0.35">
      <c r="CF499">
        <v>18</v>
      </c>
      <c r="CG499" t="s">
        <v>33</v>
      </c>
      <c r="CH499" t="s">
        <v>2</v>
      </c>
      <c r="CI499" t="s">
        <v>68</v>
      </c>
      <c r="CJ499" s="68">
        <v>1</v>
      </c>
    </row>
    <row r="500" spans="84:88" x14ac:dyDescent="0.35">
      <c r="CF500">
        <v>18</v>
      </c>
      <c r="CG500" t="s">
        <v>33</v>
      </c>
      <c r="CH500" t="s">
        <v>2</v>
      </c>
      <c r="CI500" t="s">
        <v>69</v>
      </c>
      <c r="CJ500" s="68">
        <v>1</v>
      </c>
    </row>
    <row r="501" spans="84:88" x14ac:dyDescent="0.35">
      <c r="CF501">
        <v>18</v>
      </c>
      <c r="CG501" t="s">
        <v>33</v>
      </c>
      <c r="CH501" t="s">
        <v>2</v>
      </c>
      <c r="CI501" t="s">
        <v>70</v>
      </c>
      <c r="CJ501" s="68">
        <v>1</v>
      </c>
    </row>
    <row r="502" spans="84:88" x14ac:dyDescent="0.35">
      <c r="CF502">
        <v>18</v>
      </c>
      <c r="CG502" t="s">
        <v>33</v>
      </c>
      <c r="CH502" t="s">
        <v>2</v>
      </c>
      <c r="CI502" t="s">
        <v>71</v>
      </c>
      <c r="CJ502" s="68">
        <v>1</v>
      </c>
    </row>
    <row r="503" spans="84:88" x14ac:dyDescent="0.35">
      <c r="CF503">
        <v>18</v>
      </c>
      <c r="CG503" t="s">
        <v>33</v>
      </c>
      <c r="CH503" t="s">
        <v>2</v>
      </c>
      <c r="CI503" t="s">
        <v>72</v>
      </c>
      <c r="CJ503" s="68">
        <v>1</v>
      </c>
    </row>
    <row r="504" spans="84:88" x14ac:dyDescent="0.35">
      <c r="CF504">
        <v>18</v>
      </c>
      <c r="CG504" t="s">
        <v>33</v>
      </c>
      <c r="CH504" t="s">
        <v>2</v>
      </c>
      <c r="CI504" t="s">
        <v>73</v>
      </c>
      <c r="CJ504" s="68">
        <v>1</v>
      </c>
    </row>
    <row r="505" spans="84:88" x14ac:dyDescent="0.35">
      <c r="CF505">
        <v>18</v>
      </c>
      <c r="CG505" t="s">
        <v>33</v>
      </c>
      <c r="CH505" t="s">
        <v>2</v>
      </c>
      <c r="CI505" t="s">
        <v>74</v>
      </c>
      <c r="CJ505" s="68">
        <v>1</v>
      </c>
    </row>
    <row r="506" spans="84:88" x14ac:dyDescent="0.35">
      <c r="CF506">
        <v>18</v>
      </c>
      <c r="CG506" t="s">
        <v>33</v>
      </c>
      <c r="CH506" t="s">
        <v>2</v>
      </c>
      <c r="CI506" t="s">
        <v>75</v>
      </c>
      <c r="CJ506" s="68">
        <v>1</v>
      </c>
    </row>
    <row r="507" spans="84:88" x14ac:dyDescent="0.35">
      <c r="CF507">
        <v>18</v>
      </c>
      <c r="CG507" t="s">
        <v>33</v>
      </c>
      <c r="CH507" t="s">
        <v>2</v>
      </c>
      <c r="CI507" t="s">
        <v>76</v>
      </c>
      <c r="CJ507" s="68">
        <v>1</v>
      </c>
    </row>
    <row r="508" spans="84:88" x14ac:dyDescent="0.35">
      <c r="CF508">
        <v>18</v>
      </c>
      <c r="CG508" t="s">
        <v>33</v>
      </c>
      <c r="CH508" t="s">
        <v>2</v>
      </c>
      <c r="CI508" t="s">
        <v>77</v>
      </c>
      <c r="CJ508" s="68">
        <v>1</v>
      </c>
    </row>
    <row r="509" spans="84:88" x14ac:dyDescent="0.35">
      <c r="CF509">
        <v>18</v>
      </c>
      <c r="CG509" t="s">
        <v>33</v>
      </c>
      <c r="CH509" t="s">
        <v>2</v>
      </c>
      <c r="CI509" t="s">
        <v>78</v>
      </c>
      <c r="CJ509" s="68">
        <v>1</v>
      </c>
    </row>
    <row r="510" spans="84:88" x14ac:dyDescent="0.35">
      <c r="CF510">
        <v>18</v>
      </c>
      <c r="CG510" t="s">
        <v>33</v>
      </c>
      <c r="CH510" t="s">
        <v>2</v>
      </c>
      <c r="CI510" t="s">
        <v>79</v>
      </c>
      <c r="CJ510" s="68">
        <v>1</v>
      </c>
    </row>
    <row r="511" spans="84:88" x14ac:dyDescent="0.35">
      <c r="CF511">
        <v>18</v>
      </c>
      <c r="CG511" t="s">
        <v>33</v>
      </c>
      <c r="CH511" t="s">
        <v>2</v>
      </c>
      <c r="CI511" t="s">
        <v>80</v>
      </c>
      <c r="CJ511" s="68">
        <v>1</v>
      </c>
    </row>
    <row r="512" spans="84:88" x14ac:dyDescent="0.35">
      <c r="CF512">
        <v>19</v>
      </c>
      <c r="CG512" t="s">
        <v>33</v>
      </c>
      <c r="CH512" t="s">
        <v>2</v>
      </c>
      <c r="CI512" t="s">
        <v>53</v>
      </c>
      <c r="CJ512" s="68">
        <v>0</v>
      </c>
    </row>
    <row r="513" spans="84:88" x14ac:dyDescent="0.35">
      <c r="CF513">
        <v>19</v>
      </c>
      <c r="CG513" t="s">
        <v>33</v>
      </c>
      <c r="CH513" t="s">
        <v>2</v>
      </c>
      <c r="CI513" t="s">
        <v>54</v>
      </c>
      <c r="CJ513" s="68">
        <v>0</v>
      </c>
    </row>
    <row r="514" spans="84:88" x14ac:dyDescent="0.35">
      <c r="CF514">
        <v>19</v>
      </c>
      <c r="CG514" t="s">
        <v>33</v>
      </c>
      <c r="CH514" t="s">
        <v>2</v>
      </c>
      <c r="CI514" t="s">
        <v>55</v>
      </c>
      <c r="CJ514" s="68">
        <v>1</v>
      </c>
    </row>
    <row r="515" spans="84:88" x14ac:dyDescent="0.35">
      <c r="CF515">
        <v>19</v>
      </c>
      <c r="CG515" t="s">
        <v>33</v>
      </c>
      <c r="CH515" t="s">
        <v>2</v>
      </c>
      <c r="CI515" t="s">
        <v>56</v>
      </c>
      <c r="CJ515" s="68">
        <v>1</v>
      </c>
    </row>
    <row r="516" spans="84:88" x14ac:dyDescent="0.35">
      <c r="CF516">
        <v>19</v>
      </c>
      <c r="CG516" t="s">
        <v>33</v>
      </c>
      <c r="CH516" t="s">
        <v>2</v>
      </c>
      <c r="CI516" t="s">
        <v>57</v>
      </c>
      <c r="CJ516" s="68">
        <v>1</v>
      </c>
    </row>
    <row r="517" spans="84:88" x14ac:dyDescent="0.35">
      <c r="CF517">
        <v>19</v>
      </c>
      <c r="CG517" t="s">
        <v>33</v>
      </c>
      <c r="CH517" t="s">
        <v>2</v>
      </c>
      <c r="CI517" t="s">
        <v>58</v>
      </c>
      <c r="CJ517" s="68">
        <v>1</v>
      </c>
    </row>
    <row r="518" spans="84:88" x14ac:dyDescent="0.35">
      <c r="CF518">
        <v>19</v>
      </c>
      <c r="CG518" t="s">
        <v>33</v>
      </c>
      <c r="CH518" t="s">
        <v>2</v>
      </c>
      <c r="CI518" t="s">
        <v>59</v>
      </c>
      <c r="CJ518" s="68">
        <v>1</v>
      </c>
    </row>
    <row r="519" spans="84:88" x14ac:dyDescent="0.35">
      <c r="CF519">
        <v>19</v>
      </c>
      <c r="CG519" t="s">
        <v>33</v>
      </c>
      <c r="CH519" t="s">
        <v>2</v>
      </c>
      <c r="CI519" t="s">
        <v>60</v>
      </c>
      <c r="CJ519" s="68">
        <v>1</v>
      </c>
    </row>
    <row r="520" spans="84:88" x14ac:dyDescent="0.35">
      <c r="CF520">
        <v>19</v>
      </c>
      <c r="CG520" t="s">
        <v>33</v>
      </c>
      <c r="CH520" t="s">
        <v>2</v>
      </c>
      <c r="CI520" t="s">
        <v>61</v>
      </c>
      <c r="CJ520" s="68">
        <v>1</v>
      </c>
    </row>
    <row r="521" spans="84:88" x14ac:dyDescent="0.35">
      <c r="CF521">
        <v>19</v>
      </c>
      <c r="CG521" t="s">
        <v>33</v>
      </c>
      <c r="CH521" t="s">
        <v>2</v>
      </c>
      <c r="CI521" t="s">
        <v>62</v>
      </c>
      <c r="CJ521" s="68">
        <v>1</v>
      </c>
    </row>
    <row r="522" spans="84:88" x14ac:dyDescent="0.35">
      <c r="CF522">
        <v>19</v>
      </c>
      <c r="CG522" t="s">
        <v>33</v>
      </c>
      <c r="CH522" t="s">
        <v>2</v>
      </c>
      <c r="CI522" t="s">
        <v>63</v>
      </c>
      <c r="CJ522" s="68">
        <v>1</v>
      </c>
    </row>
    <row r="523" spans="84:88" x14ac:dyDescent="0.35">
      <c r="CF523">
        <v>19</v>
      </c>
      <c r="CG523" t="s">
        <v>33</v>
      </c>
      <c r="CH523" t="s">
        <v>2</v>
      </c>
      <c r="CI523" t="s">
        <v>64</v>
      </c>
      <c r="CJ523" s="68">
        <v>1</v>
      </c>
    </row>
    <row r="524" spans="84:88" x14ac:dyDescent="0.35">
      <c r="CF524">
        <v>19</v>
      </c>
      <c r="CG524" t="s">
        <v>33</v>
      </c>
      <c r="CH524" t="s">
        <v>2</v>
      </c>
      <c r="CI524" t="s">
        <v>65</v>
      </c>
      <c r="CJ524" s="68">
        <v>1</v>
      </c>
    </row>
    <row r="525" spans="84:88" x14ac:dyDescent="0.35">
      <c r="CF525">
        <v>19</v>
      </c>
      <c r="CG525" t="s">
        <v>33</v>
      </c>
      <c r="CH525" t="s">
        <v>2</v>
      </c>
      <c r="CI525" t="s">
        <v>66</v>
      </c>
      <c r="CJ525" s="68">
        <v>1</v>
      </c>
    </row>
    <row r="526" spans="84:88" x14ac:dyDescent="0.35">
      <c r="CF526">
        <v>19</v>
      </c>
      <c r="CG526" t="s">
        <v>33</v>
      </c>
      <c r="CH526" t="s">
        <v>2</v>
      </c>
      <c r="CI526" t="s">
        <v>67</v>
      </c>
      <c r="CJ526" s="68">
        <v>1</v>
      </c>
    </row>
    <row r="527" spans="84:88" x14ac:dyDescent="0.35">
      <c r="CF527">
        <v>19</v>
      </c>
      <c r="CG527" t="s">
        <v>33</v>
      </c>
      <c r="CH527" t="s">
        <v>2</v>
      </c>
      <c r="CI527" t="s">
        <v>68</v>
      </c>
      <c r="CJ527" s="68">
        <v>1</v>
      </c>
    </row>
    <row r="528" spans="84:88" x14ac:dyDescent="0.35">
      <c r="CF528">
        <v>19</v>
      </c>
      <c r="CG528" t="s">
        <v>33</v>
      </c>
      <c r="CH528" t="s">
        <v>2</v>
      </c>
      <c r="CI528" t="s">
        <v>69</v>
      </c>
      <c r="CJ528" s="68">
        <v>1</v>
      </c>
    </row>
    <row r="529" spans="84:88" x14ac:dyDescent="0.35">
      <c r="CF529">
        <v>19</v>
      </c>
      <c r="CG529" t="s">
        <v>33</v>
      </c>
      <c r="CH529" t="s">
        <v>2</v>
      </c>
      <c r="CI529" t="s">
        <v>70</v>
      </c>
      <c r="CJ529" s="68">
        <v>1</v>
      </c>
    </row>
    <row r="530" spans="84:88" x14ac:dyDescent="0.35">
      <c r="CF530">
        <v>19</v>
      </c>
      <c r="CG530" t="s">
        <v>33</v>
      </c>
      <c r="CH530" t="s">
        <v>2</v>
      </c>
      <c r="CI530" t="s">
        <v>71</v>
      </c>
      <c r="CJ530" s="68">
        <v>1</v>
      </c>
    </row>
    <row r="531" spans="84:88" x14ac:dyDescent="0.35">
      <c r="CF531">
        <v>19</v>
      </c>
      <c r="CG531" t="s">
        <v>33</v>
      </c>
      <c r="CH531" t="s">
        <v>2</v>
      </c>
      <c r="CI531" t="s">
        <v>72</v>
      </c>
      <c r="CJ531" s="68">
        <v>1</v>
      </c>
    </row>
    <row r="532" spans="84:88" x14ac:dyDescent="0.35">
      <c r="CF532">
        <v>19</v>
      </c>
      <c r="CG532" t="s">
        <v>33</v>
      </c>
      <c r="CH532" t="s">
        <v>2</v>
      </c>
      <c r="CI532" t="s">
        <v>73</v>
      </c>
      <c r="CJ532" s="68">
        <v>1</v>
      </c>
    </row>
    <row r="533" spans="84:88" x14ac:dyDescent="0.35">
      <c r="CF533">
        <v>19</v>
      </c>
      <c r="CG533" t="s">
        <v>33</v>
      </c>
      <c r="CH533" t="s">
        <v>2</v>
      </c>
      <c r="CI533" t="s">
        <v>74</v>
      </c>
      <c r="CJ533" s="68">
        <v>1</v>
      </c>
    </row>
    <row r="534" spans="84:88" x14ac:dyDescent="0.35">
      <c r="CF534">
        <v>19</v>
      </c>
      <c r="CG534" t="s">
        <v>33</v>
      </c>
      <c r="CH534" t="s">
        <v>2</v>
      </c>
      <c r="CI534" t="s">
        <v>75</v>
      </c>
      <c r="CJ534" s="68">
        <v>1</v>
      </c>
    </row>
    <row r="535" spans="84:88" x14ac:dyDescent="0.35">
      <c r="CF535">
        <v>19</v>
      </c>
      <c r="CG535" t="s">
        <v>33</v>
      </c>
      <c r="CH535" t="s">
        <v>2</v>
      </c>
      <c r="CI535" t="s">
        <v>76</v>
      </c>
      <c r="CJ535" s="68">
        <v>1</v>
      </c>
    </row>
    <row r="536" spans="84:88" x14ac:dyDescent="0.35">
      <c r="CF536">
        <v>19</v>
      </c>
      <c r="CG536" t="s">
        <v>33</v>
      </c>
      <c r="CH536" t="s">
        <v>2</v>
      </c>
      <c r="CI536" t="s">
        <v>77</v>
      </c>
      <c r="CJ536" s="68">
        <v>1</v>
      </c>
    </row>
    <row r="537" spans="84:88" x14ac:dyDescent="0.35">
      <c r="CF537">
        <v>19</v>
      </c>
      <c r="CG537" t="s">
        <v>33</v>
      </c>
      <c r="CH537" t="s">
        <v>2</v>
      </c>
      <c r="CI537" t="s">
        <v>78</v>
      </c>
      <c r="CJ537" s="68">
        <v>1</v>
      </c>
    </row>
    <row r="538" spans="84:88" x14ac:dyDescent="0.35">
      <c r="CF538">
        <v>19</v>
      </c>
      <c r="CG538" t="s">
        <v>33</v>
      </c>
      <c r="CH538" t="s">
        <v>2</v>
      </c>
      <c r="CI538" t="s">
        <v>79</v>
      </c>
      <c r="CJ538" s="68">
        <v>1</v>
      </c>
    </row>
    <row r="539" spans="84:88" x14ac:dyDescent="0.35">
      <c r="CF539">
        <v>19</v>
      </c>
      <c r="CG539" t="s">
        <v>33</v>
      </c>
      <c r="CH539" t="s">
        <v>2</v>
      </c>
      <c r="CI539" t="s">
        <v>80</v>
      </c>
      <c r="CJ539" s="68">
        <v>1</v>
      </c>
    </row>
    <row r="540" spans="84:88" x14ac:dyDescent="0.35">
      <c r="CF540">
        <v>20</v>
      </c>
      <c r="CG540" t="s">
        <v>34</v>
      </c>
      <c r="CH540" t="s">
        <v>2</v>
      </c>
      <c r="CI540" t="s">
        <v>50</v>
      </c>
      <c r="CJ540" s="68">
        <v>0</v>
      </c>
    </row>
    <row r="541" spans="84:88" x14ac:dyDescent="0.35">
      <c r="CF541">
        <v>20</v>
      </c>
      <c r="CG541" t="s">
        <v>34</v>
      </c>
      <c r="CH541" t="s">
        <v>2</v>
      </c>
      <c r="CI541" t="s">
        <v>51</v>
      </c>
      <c r="CJ541" s="68">
        <v>0</v>
      </c>
    </row>
    <row r="542" spans="84:88" x14ac:dyDescent="0.35">
      <c r="CF542">
        <v>20</v>
      </c>
      <c r="CG542" t="s">
        <v>34</v>
      </c>
      <c r="CH542" t="s">
        <v>2</v>
      </c>
      <c r="CI542" t="s">
        <v>52</v>
      </c>
      <c r="CJ542" s="68">
        <v>1</v>
      </c>
    </row>
    <row r="543" spans="84:88" x14ac:dyDescent="0.35">
      <c r="CF543">
        <v>20</v>
      </c>
      <c r="CG543" t="s">
        <v>34</v>
      </c>
      <c r="CH543" t="s">
        <v>2</v>
      </c>
      <c r="CI543" t="s">
        <v>53</v>
      </c>
      <c r="CJ543" s="68">
        <v>1</v>
      </c>
    </row>
    <row r="544" spans="84:88" x14ac:dyDescent="0.35">
      <c r="CF544">
        <v>20</v>
      </c>
      <c r="CG544" t="s">
        <v>34</v>
      </c>
      <c r="CH544" t="s">
        <v>2</v>
      </c>
      <c r="CI544" t="s">
        <v>54</v>
      </c>
      <c r="CJ544" s="68">
        <v>1</v>
      </c>
    </row>
    <row r="545" spans="84:88" x14ac:dyDescent="0.35">
      <c r="CF545">
        <v>20</v>
      </c>
      <c r="CG545" t="s">
        <v>34</v>
      </c>
      <c r="CH545" t="s">
        <v>2</v>
      </c>
      <c r="CI545" t="s">
        <v>55</v>
      </c>
      <c r="CJ545" s="68">
        <v>1</v>
      </c>
    </row>
    <row r="546" spans="84:88" x14ac:dyDescent="0.35">
      <c r="CF546">
        <v>20</v>
      </c>
      <c r="CG546" t="s">
        <v>34</v>
      </c>
      <c r="CH546" t="s">
        <v>2</v>
      </c>
      <c r="CI546" t="s">
        <v>56</v>
      </c>
      <c r="CJ546" s="68">
        <v>1</v>
      </c>
    </row>
    <row r="547" spans="84:88" x14ac:dyDescent="0.35">
      <c r="CF547">
        <v>20</v>
      </c>
      <c r="CG547" t="s">
        <v>34</v>
      </c>
      <c r="CH547" t="s">
        <v>2</v>
      </c>
      <c r="CI547" t="s">
        <v>57</v>
      </c>
      <c r="CJ547" s="68">
        <v>1</v>
      </c>
    </row>
    <row r="548" spans="84:88" x14ac:dyDescent="0.35">
      <c r="CF548">
        <v>20</v>
      </c>
      <c r="CG548" t="s">
        <v>34</v>
      </c>
      <c r="CH548" t="s">
        <v>2</v>
      </c>
      <c r="CI548" t="s">
        <v>58</v>
      </c>
      <c r="CJ548" s="68">
        <v>1</v>
      </c>
    </row>
    <row r="549" spans="84:88" x14ac:dyDescent="0.35">
      <c r="CF549">
        <v>20</v>
      </c>
      <c r="CG549" t="s">
        <v>34</v>
      </c>
      <c r="CH549" t="s">
        <v>2</v>
      </c>
      <c r="CI549" t="s">
        <v>59</v>
      </c>
      <c r="CJ549" s="68">
        <v>1</v>
      </c>
    </row>
    <row r="550" spans="84:88" x14ac:dyDescent="0.35">
      <c r="CF550">
        <v>20</v>
      </c>
      <c r="CG550" t="s">
        <v>34</v>
      </c>
      <c r="CH550" t="s">
        <v>2</v>
      </c>
      <c r="CI550" t="s">
        <v>60</v>
      </c>
      <c r="CJ550" s="68">
        <v>1</v>
      </c>
    </row>
    <row r="551" spans="84:88" x14ac:dyDescent="0.35">
      <c r="CF551">
        <v>20</v>
      </c>
      <c r="CG551" t="s">
        <v>34</v>
      </c>
      <c r="CH551" t="s">
        <v>2</v>
      </c>
      <c r="CI551" t="s">
        <v>61</v>
      </c>
      <c r="CJ551" s="68">
        <v>1</v>
      </c>
    </row>
    <row r="552" spans="84:88" x14ac:dyDescent="0.35">
      <c r="CF552">
        <v>20</v>
      </c>
      <c r="CG552" t="s">
        <v>34</v>
      </c>
      <c r="CH552" t="s">
        <v>2</v>
      </c>
      <c r="CI552" t="s">
        <v>62</v>
      </c>
      <c r="CJ552" s="68">
        <v>1</v>
      </c>
    </row>
    <row r="553" spans="84:88" x14ac:dyDescent="0.35">
      <c r="CF553">
        <v>20</v>
      </c>
      <c r="CG553" t="s">
        <v>34</v>
      </c>
      <c r="CH553" t="s">
        <v>2</v>
      </c>
      <c r="CI553" t="s">
        <v>63</v>
      </c>
      <c r="CJ553" s="68">
        <v>1</v>
      </c>
    </row>
    <row r="554" spans="84:88" x14ac:dyDescent="0.35">
      <c r="CF554">
        <v>20</v>
      </c>
      <c r="CG554" t="s">
        <v>34</v>
      </c>
      <c r="CH554" t="s">
        <v>2</v>
      </c>
      <c r="CI554" t="s">
        <v>64</v>
      </c>
      <c r="CJ554" s="68">
        <v>1</v>
      </c>
    </row>
    <row r="555" spans="84:88" x14ac:dyDescent="0.35">
      <c r="CF555">
        <v>20</v>
      </c>
      <c r="CG555" t="s">
        <v>34</v>
      </c>
      <c r="CH555" t="s">
        <v>2</v>
      </c>
      <c r="CI555" t="s">
        <v>65</v>
      </c>
      <c r="CJ555" s="68">
        <v>1</v>
      </c>
    </row>
    <row r="556" spans="84:88" x14ac:dyDescent="0.35">
      <c r="CF556">
        <v>20</v>
      </c>
      <c r="CG556" t="s">
        <v>34</v>
      </c>
      <c r="CH556" t="s">
        <v>2</v>
      </c>
      <c r="CI556" t="s">
        <v>66</v>
      </c>
      <c r="CJ556" s="68">
        <v>1</v>
      </c>
    </row>
    <row r="557" spans="84:88" x14ac:dyDescent="0.35">
      <c r="CF557">
        <v>20</v>
      </c>
      <c r="CG557" t="s">
        <v>34</v>
      </c>
      <c r="CH557" t="s">
        <v>2</v>
      </c>
      <c r="CI557" t="s">
        <v>67</v>
      </c>
      <c r="CJ557" s="68">
        <v>1</v>
      </c>
    </row>
    <row r="558" spans="84:88" x14ac:dyDescent="0.35">
      <c r="CF558">
        <v>20</v>
      </c>
      <c r="CG558" t="s">
        <v>34</v>
      </c>
      <c r="CH558" t="s">
        <v>2</v>
      </c>
      <c r="CI558" t="s">
        <v>68</v>
      </c>
      <c r="CJ558" s="68">
        <v>1</v>
      </c>
    </row>
    <row r="559" spans="84:88" x14ac:dyDescent="0.35">
      <c r="CF559">
        <v>20</v>
      </c>
      <c r="CG559" t="s">
        <v>34</v>
      </c>
      <c r="CH559" t="s">
        <v>2</v>
      </c>
      <c r="CI559" t="s">
        <v>69</v>
      </c>
      <c r="CJ559" s="68">
        <v>1</v>
      </c>
    </row>
    <row r="560" spans="84:88" x14ac:dyDescent="0.35">
      <c r="CF560">
        <v>20</v>
      </c>
      <c r="CG560" t="s">
        <v>34</v>
      </c>
      <c r="CH560" t="s">
        <v>2</v>
      </c>
      <c r="CI560" t="s">
        <v>70</v>
      </c>
      <c r="CJ560" s="68">
        <v>1</v>
      </c>
    </row>
    <row r="561" spans="84:88" x14ac:dyDescent="0.35">
      <c r="CF561">
        <v>20</v>
      </c>
      <c r="CG561" t="s">
        <v>34</v>
      </c>
      <c r="CH561" t="s">
        <v>2</v>
      </c>
      <c r="CI561" t="s">
        <v>71</v>
      </c>
      <c r="CJ561" s="68">
        <v>1</v>
      </c>
    </row>
    <row r="562" spans="84:88" x14ac:dyDescent="0.35">
      <c r="CF562">
        <v>20</v>
      </c>
      <c r="CG562" t="s">
        <v>34</v>
      </c>
      <c r="CH562" t="s">
        <v>2</v>
      </c>
      <c r="CI562" t="s">
        <v>72</v>
      </c>
      <c r="CJ562" s="68">
        <v>1</v>
      </c>
    </row>
    <row r="563" spans="84:88" x14ac:dyDescent="0.35">
      <c r="CF563">
        <v>20</v>
      </c>
      <c r="CG563" t="s">
        <v>34</v>
      </c>
      <c r="CH563" t="s">
        <v>2</v>
      </c>
      <c r="CI563" t="s">
        <v>73</v>
      </c>
      <c r="CJ563" s="68">
        <v>1</v>
      </c>
    </row>
    <row r="564" spans="84:88" x14ac:dyDescent="0.35">
      <c r="CF564">
        <v>20</v>
      </c>
      <c r="CG564" t="s">
        <v>34</v>
      </c>
      <c r="CH564" t="s">
        <v>2</v>
      </c>
      <c r="CI564" t="s">
        <v>74</v>
      </c>
      <c r="CJ564" s="68">
        <v>1</v>
      </c>
    </row>
    <row r="565" spans="84:88" x14ac:dyDescent="0.35">
      <c r="CF565">
        <v>20</v>
      </c>
      <c r="CG565" t="s">
        <v>34</v>
      </c>
      <c r="CH565" t="s">
        <v>2</v>
      </c>
      <c r="CI565" t="s">
        <v>75</v>
      </c>
      <c r="CJ565" s="68">
        <v>1</v>
      </c>
    </row>
    <row r="566" spans="84:88" x14ac:dyDescent="0.35">
      <c r="CF566">
        <v>20</v>
      </c>
      <c r="CG566" t="s">
        <v>34</v>
      </c>
      <c r="CH566" t="s">
        <v>2</v>
      </c>
      <c r="CI566" t="s">
        <v>76</v>
      </c>
      <c r="CJ566" s="68">
        <v>1</v>
      </c>
    </row>
    <row r="567" spans="84:88" x14ac:dyDescent="0.35">
      <c r="CF567">
        <v>20</v>
      </c>
      <c r="CG567" t="s">
        <v>34</v>
      </c>
      <c r="CH567" t="s">
        <v>2</v>
      </c>
      <c r="CI567" t="s">
        <v>77</v>
      </c>
      <c r="CJ567" s="68">
        <v>1</v>
      </c>
    </row>
    <row r="568" spans="84:88" x14ac:dyDescent="0.35">
      <c r="CF568">
        <v>20</v>
      </c>
      <c r="CG568" t="s">
        <v>34</v>
      </c>
      <c r="CH568" t="s">
        <v>2</v>
      </c>
      <c r="CI568" t="s">
        <v>78</v>
      </c>
      <c r="CJ568" s="68">
        <v>1</v>
      </c>
    </row>
    <row r="569" spans="84:88" x14ac:dyDescent="0.35">
      <c r="CF569">
        <v>20</v>
      </c>
      <c r="CG569" t="s">
        <v>34</v>
      </c>
      <c r="CH569" t="s">
        <v>2</v>
      </c>
      <c r="CI569" t="s">
        <v>79</v>
      </c>
      <c r="CJ569" s="68">
        <v>1</v>
      </c>
    </row>
    <row r="570" spans="84:88" x14ac:dyDescent="0.35">
      <c r="CF570">
        <v>20</v>
      </c>
      <c r="CG570" t="s">
        <v>34</v>
      </c>
      <c r="CH570" t="s">
        <v>2</v>
      </c>
      <c r="CI570" t="s">
        <v>80</v>
      </c>
      <c r="CJ570" s="68">
        <v>1</v>
      </c>
    </row>
    <row r="571" spans="84:88" x14ac:dyDescent="0.35">
      <c r="CF571">
        <v>21</v>
      </c>
      <c r="CG571" t="s">
        <v>34</v>
      </c>
      <c r="CH571" t="s">
        <v>2</v>
      </c>
      <c r="CI571" t="s">
        <v>50</v>
      </c>
      <c r="CJ571" s="68">
        <v>0</v>
      </c>
    </row>
    <row r="572" spans="84:88" x14ac:dyDescent="0.35">
      <c r="CF572">
        <v>21</v>
      </c>
      <c r="CG572" t="s">
        <v>34</v>
      </c>
      <c r="CH572" t="s">
        <v>2</v>
      </c>
      <c r="CI572" t="s">
        <v>51</v>
      </c>
      <c r="CJ572" s="68">
        <v>0</v>
      </c>
    </row>
    <row r="573" spans="84:88" x14ac:dyDescent="0.35">
      <c r="CF573">
        <v>21</v>
      </c>
      <c r="CG573" t="s">
        <v>34</v>
      </c>
      <c r="CH573" t="s">
        <v>2</v>
      </c>
      <c r="CI573" t="s">
        <v>52</v>
      </c>
      <c r="CJ573" s="68">
        <v>1</v>
      </c>
    </row>
    <row r="574" spans="84:88" x14ac:dyDescent="0.35">
      <c r="CF574">
        <v>21</v>
      </c>
      <c r="CG574" t="s">
        <v>34</v>
      </c>
      <c r="CH574" t="s">
        <v>2</v>
      </c>
      <c r="CI574" t="s">
        <v>53</v>
      </c>
      <c r="CJ574" s="68">
        <v>1</v>
      </c>
    </row>
    <row r="575" spans="84:88" x14ac:dyDescent="0.35">
      <c r="CF575">
        <v>21</v>
      </c>
      <c r="CG575" t="s">
        <v>34</v>
      </c>
      <c r="CH575" t="s">
        <v>2</v>
      </c>
      <c r="CI575" t="s">
        <v>54</v>
      </c>
      <c r="CJ575" s="68">
        <v>1</v>
      </c>
    </row>
    <row r="576" spans="84:88" x14ac:dyDescent="0.35">
      <c r="CF576">
        <v>21</v>
      </c>
      <c r="CG576" t="s">
        <v>34</v>
      </c>
      <c r="CH576" t="s">
        <v>2</v>
      </c>
      <c r="CI576" t="s">
        <v>55</v>
      </c>
      <c r="CJ576" s="68">
        <v>1</v>
      </c>
    </row>
    <row r="577" spans="84:88" x14ac:dyDescent="0.35">
      <c r="CF577">
        <v>21</v>
      </c>
      <c r="CG577" t="s">
        <v>34</v>
      </c>
      <c r="CH577" t="s">
        <v>2</v>
      </c>
      <c r="CI577" t="s">
        <v>56</v>
      </c>
      <c r="CJ577" s="68">
        <v>1</v>
      </c>
    </row>
    <row r="578" spans="84:88" x14ac:dyDescent="0.35">
      <c r="CF578">
        <v>21</v>
      </c>
      <c r="CG578" t="s">
        <v>34</v>
      </c>
      <c r="CH578" t="s">
        <v>2</v>
      </c>
      <c r="CI578" t="s">
        <v>57</v>
      </c>
      <c r="CJ578" s="68">
        <v>1</v>
      </c>
    </row>
    <row r="579" spans="84:88" x14ac:dyDescent="0.35">
      <c r="CF579">
        <v>21</v>
      </c>
      <c r="CG579" t="s">
        <v>34</v>
      </c>
      <c r="CH579" t="s">
        <v>2</v>
      </c>
      <c r="CI579" t="s">
        <v>58</v>
      </c>
      <c r="CJ579" s="68">
        <v>1</v>
      </c>
    </row>
    <row r="580" spans="84:88" x14ac:dyDescent="0.35">
      <c r="CF580">
        <v>21</v>
      </c>
      <c r="CG580" t="s">
        <v>34</v>
      </c>
      <c r="CH580" t="s">
        <v>2</v>
      </c>
      <c r="CI580" t="s">
        <v>59</v>
      </c>
      <c r="CJ580" s="68">
        <v>1</v>
      </c>
    </row>
    <row r="581" spans="84:88" x14ac:dyDescent="0.35">
      <c r="CF581">
        <v>21</v>
      </c>
      <c r="CG581" t="s">
        <v>34</v>
      </c>
      <c r="CH581" t="s">
        <v>2</v>
      </c>
      <c r="CI581" t="s">
        <v>60</v>
      </c>
      <c r="CJ581" s="68">
        <v>1</v>
      </c>
    </row>
    <row r="582" spans="84:88" x14ac:dyDescent="0.35">
      <c r="CF582">
        <v>21</v>
      </c>
      <c r="CG582" t="s">
        <v>34</v>
      </c>
      <c r="CH582" t="s">
        <v>2</v>
      </c>
      <c r="CI582" t="s">
        <v>61</v>
      </c>
      <c r="CJ582" s="68">
        <v>1</v>
      </c>
    </row>
    <row r="583" spans="84:88" x14ac:dyDescent="0.35">
      <c r="CF583">
        <v>21</v>
      </c>
      <c r="CG583" t="s">
        <v>34</v>
      </c>
      <c r="CH583" t="s">
        <v>2</v>
      </c>
      <c r="CI583" t="s">
        <v>62</v>
      </c>
      <c r="CJ583" s="68">
        <v>1</v>
      </c>
    </row>
    <row r="584" spans="84:88" x14ac:dyDescent="0.35">
      <c r="CF584">
        <v>21</v>
      </c>
      <c r="CG584" t="s">
        <v>34</v>
      </c>
      <c r="CH584" t="s">
        <v>2</v>
      </c>
      <c r="CI584" t="s">
        <v>63</v>
      </c>
      <c r="CJ584" s="68">
        <v>1</v>
      </c>
    </row>
    <row r="585" spans="84:88" x14ac:dyDescent="0.35">
      <c r="CF585">
        <v>21</v>
      </c>
      <c r="CG585" t="s">
        <v>34</v>
      </c>
      <c r="CH585" t="s">
        <v>2</v>
      </c>
      <c r="CI585" t="s">
        <v>64</v>
      </c>
      <c r="CJ585" s="68">
        <v>1</v>
      </c>
    </row>
    <row r="586" spans="84:88" x14ac:dyDescent="0.35">
      <c r="CF586">
        <v>21</v>
      </c>
      <c r="CG586" t="s">
        <v>34</v>
      </c>
      <c r="CH586" t="s">
        <v>2</v>
      </c>
      <c r="CI586" t="s">
        <v>65</v>
      </c>
      <c r="CJ586" s="68">
        <v>1</v>
      </c>
    </row>
    <row r="587" spans="84:88" x14ac:dyDescent="0.35">
      <c r="CF587">
        <v>21</v>
      </c>
      <c r="CG587" t="s">
        <v>34</v>
      </c>
      <c r="CH587" t="s">
        <v>2</v>
      </c>
      <c r="CI587" t="s">
        <v>66</v>
      </c>
      <c r="CJ587" s="68">
        <v>1</v>
      </c>
    </row>
    <row r="588" spans="84:88" x14ac:dyDescent="0.35">
      <c r="CF588">
        <v>21</v>
      </c>
      <c r="CG588" t="s">
        <v>34</v>
      </c>
      <c r="CH588" t="s">
        <v>2</v>
      </c>
      <c r="CI588" t="s">
        <v>67</v>
      </c>
      <c r="CJ588" s="68">
        <v>1</v>
      </c>
    </row>
    <row r="589" spans="84:88" x14ac:dyDescent="0.35">
      <c r="CF589">
        <v>21</v>
      </c>
      <c r="CG589" t="s">
        <v>34</v>
      </c>
      <c r="CH589" t="s">
        <v>2</v>
      </c>
      <c r="CI589" t="s">
        <v>68</v>
      </c>
      <c r="CJ589" s="68">
        <v>1</v>
      </c>
    </row>
    <row r="590" spans="84:88" x14ac:dyDescent="0.35">
      <c r="CF590">
        <v>21</v>
      </c>
      <c r="CG590" t="s">
        <v>34</v>
      </c>
      <c r="CH590" t="s">
        <v>2</v>
      </c>
      <c r="CI590" t="s">
        <v>69</v>
      </c>
      <c r="CJ590" s="68">
        <v>1</v>
      </c>
    </row>
    <row r="591" spans="84:88" x14ac:dyDescent="0.35">
      <c r="CF591">
        <v>21</v>
      </c>
      <c r="CG591" t="s">
        <v>34</v>
      </c>
      <c r="CH591" t="s">
        <v>2</v>
      </c>
      <c r="CI591" t="s">
        <v>70</v>
      </c>
      <c r="CJ591" s="68">
        <v>1</v>
      </c>
    </row>
    <row r="592" spans="84:88" x14ac:dyDescent="0.35">
      <c r="CF592">
        <v>21</v>
      </c>
      <c r="CG592" t="s">
        <v>34</v>
      </c>
      <c r="CH592" t="s">
        <v>2</v>
      </c>
      <c r="CI592" t="s">
        <v>71</v>
      </c>
      <c r="CJ592" s="68">
        <v>1</v>
      </c>
    </row>
    <row r="593" spans="84:88" x14ac:dyDescent="0.35">
      <c r="CF593">
        <v>21</v>
      </c>
      <c r="CG593" t="s">
        <v>34</v>
      </c>
      <c r="CH593" t="s">
        <v>2</v>
      </c>
      <c r="CI593" t="s">
        <v>72</v>
      </c>
      <c r="CJ593" s="68">
        <v>1</v>
      </c>
    </row>
    <row r="594" spans="84:88" x14ac:dyDescent="0.35">
      <c r="CF594">
        <v>21</v>
      </c>
      <c r="CG594" t="s">
        <v>34</v>
      </c>
      <c r="CH594" t="s">
        <v>2</v>
      </c>
      <c r="CI594" t="s">
        <v>73</v>
      </c>
      <c r="CJ594" s="68">
        <v>1</v>
      </c>
    </row>
    <row r="595" spans="84:88" x14ac:dyDescent="0.35">
      <c r="CF595">
        <v>21</v>
      </c>
      <c r="CG595" t="s">
        <v>34</v>
      </c>
      <c r="CH595" t="s">
        <v>2</v>
      </c>
      <c r="CI595" t="s">
        <v>74</v>
      </c>
      <c r="CJ595" s="68">
        <v>1</v>
      </c>
    </row>
    <row r="596" spans="84:88" x14ac:dyDescent="0.35">
      <c r="CF596">
        <v>21</v>
      </c>
      <c r="CG596" t="s">
        <v>34</v>
      </c>
      <c r="CH596" t="s">
        <v>2</v>
      </c>
      <c r="CI596" t="s">
        <v>75</v>
      </c>
      <c r="CJ596" s="68">
        <v>1</v>
      </c>
    </row>
    <row r="597" spans="84:88" x14ac:dyDescent="0.35">
      <c r="CF597">
        <v>21</v>
      </c>
      <c r="CG597" t="s">
        <v>34</v>
      </c>
      <c r="CH597" t="s">
        <v>2</v>
      </c>
      <c r="CI597" t="s">
        <v>76</v>
      </c>
      <c r="CJ597" s="68">
        <v>1</v>
      </c>
    </row>
    <row r="598" spans="84:88" x14ac:dyDescent="0.35">
      <c r="CF598">
        <v>21</v>
      </c>
      <c r="CG598" t="s">
        <v>34</v>
      </c>
      <c r="CH598" t="s">
        <v>2</v>
      </c>
      <c r="CI598" t="s">
        <v>77</v>
      </c>
      <c r="CJ598" s="68">
        <v>1</v>
      </c>
    </row>
    <row r="599" spans="84:88" x14ac:dyDescent="0.35">
      <c r="CF599">
        <v>21</v>
      </c>
      <c r="CG599" t="s">
        <v>34</v>
      </c>
      <c r="CH599" t="s">
        <v>2</v>
      </c>
      <c r="CI599" t="s">
        <v>78</v>
      </c>
      <c r="CJ599" s="68">
        <v>1</v>
      </c>
    </row>
    <row r="600" spans="84:88" x14ac:dyDescent="0.35">
      <c r="CF600">
        <v>21</v>
      </c>
      <c r="CG600" t="s">
        <v>34</v>
      </c>
      <c r="CH600" t="s">
        <v>2</v>
      </c>
      <c r="CI600" t="s">
        <v>79</v>
      </c>
      <c r="CJ600" s="68">
        <v>1</v>
      </c>
    </row>
    <row r="601" spans="84:88" x14ac:dyDescent="0.35">
      <c r="CF601">
        <v>21</v>
      </c>
      <c r="CG601" t="s">
        <v>34</v>
      </c>
      <c r="CH601" t="s">
        <v>2</v>
      </c>
      <c r="CI601" t="s">
        <v>80</v>
      </c>
      <c r="CJ601" s="68">
        <v>1</v>
      </c>
    </row>
    <row r="602" spans="84:88" x14ac:dyDescent="0.35">
      <c r="CF602">
        <v>22</v>
      </c>
      <c r="CG602" t="s">
        <v>34</v>
      </c>
      <c r="CH602" t="s">
        <v>2</v>
      </c>
      <c r="CI602" t="s">
        <v>50</v>
      </c>
      <c r="CJ602" s="68">
        <v>0</v>
      </c>
    </row>
    <row r="603" spans="84:88" x14ac:dyDescent="0.35">
      <c r="CF603">
        <v>22</v>
      </c>
      <c r="CG603" t="s">
        <v>34</v>
      </c>
      <c r="CH603" t="s">
        <v>2</v>
      </c>
      <c r="CI603" t="s">
        <v>51</v>
      </c>
      <c r="CJ603" s="68">
        <v>0</v>
      </c>
    </row>
    <row r="604" spans="84:88" x14ac:dyDescent="0.35">
      <c r="CF604">
        <v>22</v>
      </c>
      <c r="CG604" t="s">
        <v>34</v>
      </c>
      <c r="CH604" t="s">
        <v>2</v>
      </c>
      <c r="CI604" t="s">
        <v>52</v>
      </c>
      <c r="CJ604" s="68">
        <v>1</v>
      </c>
    </row>
    <row r="605" spans="84:88" x14ac:dyDescent="0.35">
      <c r="CF605">
        <v>22</v>
      </c>
      <c r="CG605" t="s">
        <v>34</v>
      </c>
      <c r="CH605" t="s">
        <v>2</v>
      </c>
      <c r="CI605" t="s">
        <v>53</v>
      </c>
      <c r="CJ605" s="68">
        <v>1</v>
      </c>
    </row>
    <row r="606" spans="84:88" x14ac:dyDescent="0.35">
      <c r="CF606">
        <v>22</v>
      </c>
      <c r="CG606" t="s">
        <v>34</v>
      </c>
      <c r="CH606" t="s">
        <v>2</v>
      </c>
      <c r="CI606" t="s">
        <v>54</v>
      </c>
      <c r="CJ606" s="68">
        <v>1</v>
      </c>
    </row>
    <row r="607" spans="84:88" x14ac:dyDescent="0.35">
      <c r="CF607">
        <v>22</v>
      </c>
      <c r="CG607" t="s">
        <v>34</v>
      </c>
      <c r="CH607" t="s">
        <v>2</v>
      </c>
      <c r="CI607" t="s">
        <v>55</v>
      </c>
      <c r="CJ607" s="68">
        <v>1</v>
      </c>
    </row>
    <row r="608" spans="84:88" x14ac:dyDescent="0.35">
      <c r="CF608">
        <v>22</v>
      </c>
      <c r="CG608" t="s">
        <v>34</v>
      </c>
      <c r="CH608" t="s">
        <v>2</v>
      </c>
      <c r="CI608" t="s">
        <v>56</v>
      </c>
      <c r="CJ608" s="68">
        <v>1</v>
      </c>
    </row>
    <row r="609" spans="84:88" x14ac:dyDescent="0.35">
      <c r="CF609">
        <v>22</v>
      </c>
      <c r="CG609" t="s">
        <v>34</v>
      </c>
      <c r="CH609" t="s">
        <v>2</v>
      </c>
      <c r="CI609" t="s">
        <v>57</v>
      </c>
      <c r="CJ609" s="68">
        <v>1</v>
      </c>
    </row>
    <row r="610" spans="84:88" x14ac:dyDescent="0.35">
      <c r="CF610">
        <v>22</v>
      </c>
      <c r="CG610" t="s">
        <v>34</v>
      </c>
      <c r="CH610" t="s">
        <v>2</v>
      </c>
      <c r="CI610" t="s">
        <v>58</v>
      </c>
      <c r="CJ610" s="68">
        <v>1</v>
      </c>
    </row>
    <row r="611" spans="84:88" x14ac:dyDescent="0.35">
      <c r="CF611">
        <v>22</v>
      </c>
      <c r="CG611" t="s">
        <v>34</v>
      </c>
      <c r="CH611" t="s">
        <v>2</v>
      </c>
      <c r="CI611" t="s">
        <v>59</v>
      </c>
      <c r="CJ611" s="68">
        <v>1</v>
      </c>
    </row>
    <row r="612" spans="84:88" x14ac:dyDescent="0.35">
      <c r="CF612">
        <v>22</v>
      </c>
      <c r="CG612" t="s">
        <v>34</v>
      </c>
      <c r="CH612" t="s">
        <v>2</v>
      </c>
      <c r="CI612" t="s">
        <v>60</v>
      </c>
      <c r="CJ612" s="68">
        <v>1</v>
      </c>
    </row>
    <row r="613" spans="84:88" x14ac:dyDescent="0.35">
      <c r="CF613">
        <v>22</v>
      </c>
      <c r="CG613" t="s">
        <v>34</v>
      </c>
      <c r="CH613" t="s">
        <v>2</v>
      </c>
      <c r="CI613" t="s">
        <v>61</v>
      </c>
      <c r="CJ613" s="68">
        <v>1</v>
      </c>
    </row>
    <row r="614" spans="84:88" x14ac:dyDescent="0.35">
      <c r="CF614">
        <v>22</v>
      </c>
      <c r="CG614" t="s">
        <v>34</v>
      </c>
      <c r="CH614" t="s">
        <v>2</v>
      </c>
      <c r="CI614" t="s">
        <v>62</v>
      </c>
      <c r="CJ614" s="68">
        <v>1</v>
      </c>
    </row>
    <row r="615" spans="84:88" x14ac:dyDescent="0.35">
      <c r="CF615">
        <v>22</v>
      </c>
      <c r="CG615" t="s">
        <v>34</v>
      </c>
      <c r="CH615" t="s">
        <v>2</v>
      </c>
      <c r="CI615" t="s">
        <v>63</v>
      </c>
      <c r="CJ615" s="68">
        <v>1</v>
      </c>
    </row>
    <row r="616" spans="84:88" x14ac:dyDescent="0.35">
      <c r="CF616">
        <v>22</v>
      </c>
      <c r="CG616" t="s">
        <v>34</v>
      </c>
      <c r="CH616" t="s">
        <v>2</v>
      </c>
      <c r="CI616" t="s">
        <v>64</v>
      </c>
      <c r="CJ616" s="68">
        <v>1</v>
      </c>
    </row>
    <row r="617" spans="84:88" x14ac:dyDescent="0.35">
      <c r="CF617">
        <v>22</v>
      </c>
      <c r="CG617" t="s">
        <v>34</v>
      </c>
      <c r="CH617" t="s">
        <v>2</v>
      </c>
      <c r="CI617" t="s">
        <v>65</v>
      </c>
      <c r="CJ617" s="68">
        <v>1</v>
      </c>
    </row>
    <row r="618" spans="84:88" x14ac:dyDescent="0.35">
      <c r="CF618">
        <v>22</v>
      </c>
      <c r="CG618" t="s">
        <v>34</v>
      </c>
      <c r="CH618" t="s">
        <v>2</v>
      </c>
      <c r="CI618" t="s">
        <v>66</v>
      </c>
      <c r="CJ618" s="68">
        <v>1</v>
      </c>
    </row>
    <row r="619" spans="84:88" x14ac:dyDescent="0.35">
      <c r="CF619">
        <v>22</v>
      </c>
      <c r="CG619" t="s">
        <v>34</v>
      </c>
      <c r="CH619" t="s">
        <v>2</v>
      </c>
      <c r="CI619" t="s">
        <v>67</v>
      </c>
      <c r="CJ619" s="68">
        <v>1</v>
      </c>
    </row>
    <row r="620" spans="84:88" x14ac:dyDescent="0.35">
      <c r="CF620">
        <v>22</v>
      </c>
      <c r="CG620" t="s">
        <v>34</v>
      </c>
      <c r="CH620" t="s">
        <v>2</v>
      </c>
      <c r="CI620" t="s">
        <v>68</v>
      </c>
      <c r="CJ620" s="68">
        <v>1</v>
      </c>
    </row>
    <row r="621" spans="84:88" x14ac:dyDescent="0.35">
      <c r="CF621">
        <v>22</v>
      </c>
      <c r="CG621" t="s">
        <v>34</v>
      </c>
      <c r="CH621" t="s">
        <v>2</v>
      </c>
      <c r="CI621" t="s">
        <v>69</v>
      </c>
      <c r="CJ621" s="68">
        <v>1</v>
      </c>
    </row>
    <row r="622" spans="84:88" x14ac:dyDescent="0.35">
      <c r="CF622">
        <v>22</v>
      </c>
      <c r="CG622" t="s">
        <v>34</v>
      </c>
      <c r="CH622" t="s">
        <v>2</v>
      </c>
      <c r="CI622" t="s">
        <v>70</v>
      </c>
      <c r="CJ622" s="68">
        <v>1</v>
      </c>
    </row>
    <row r="623" spans="84:88" x14ac:dyDescent="0.35">
      <c r="CF623">
        <v>22</v>
      </c>
      <c r="CG623" t="s">
        <v>34</v>
      </c>
      <c r="CH623" t="s">
        <v>2</v>
      </c>
      <c r="CI623" t="s">
        <v>71</v>
      </c>
      <c r="CJ623" s="68">
        <v>1</v>
      </c>
    </row>
    <row r="624" spans="84:88" x14ac:dyDescent="0.35">
      <c r="CF624">
        <v>22</v>
      </c>
      <c r="CG624" t="s">
        <v>34</v>
      </c>
      <c r="CH624" t="s">
        <v>2</v>
      </c>
      <c r="CI624" t="s">
        <v>72</v>
      </c>
      <c r="CJ624" s="68">
        <v>1</v>
      </c>
    </row>
    <row r="625" spans="84:88" x14ac:dyDescent="0.35">
      <c r="CF625">
        <v>22</v>
      </c>
      <c r="CG625" t="s">
        <v>34</v>
      </c>
      <c r="CH625" t="s">
        <v>2</v>
      </c>
      <c r="CI625" t="s">
        <v>73</v>
      </c>
      <c r="CJ625" s="68">
        <v>1</v>
      </c>
    </row>
    <row r="626" spans="84:88" x14ac:dyDescent="0.35">
      <c r="CF626">
        <v>22</v>
      </c>
      <c r="CG626" t="s">
        <v>34</v>
      </c>
      <c r="CH626" t="s">
        <v>2</v>
      </c>
      <c r="CI626" t="s">
        <v>74</v>
      </c>
      <c r="CJ626" s="68">
        <v>1</v>
      </c>
    </row>
    <row r="627" spans="84:88" x14ac:dyDescent="0.35">
      <c r="CF627">
        <v>22</v>
      </c>
      <c r="CG627" t="s">
        <v>34</v>
      </c>
      <c r="CH627" t="s">
        <v>2</v>
      </c>
      <c r="CI627" t="s">
        <v>75</v>
      </c>
      <c r="CJ627" s="68">
        <v>1</v>
      </c>
    </row>
    <row r="628" spans="84:88" x14ac:dyDescent="0.35">
      <c r="CF628">
        <v>22</v>
      </c>
      <c r="CG628" t="s">
        <v>34</v>
      </c>
      <c r="CH628" t="s">
        <v>2</v>
      </c>
      <c r="CI628" t="s">
        <v>76</v>
      </c>
      <c r="CJ628" s="68">
        <v>1</v>
      </c>
    </row>
    <row r="629" spans="84:88" x14ac:dyDescent="0.35">
      <c r="CF629">
        <v>22</v>
      </c>
      <c r="CG629" t="s">
        <v>34</v>
      </c>
      <c r="CH629" t="s">
        <v>2</v>
      </c>
      <c r="CI629" t="s">
        <v>77</v>
      </c>
      <c r="CJ629" s="68">
        <v>1</v>
      </c>
    </row>
    <row r="630" spans="84:88" x14ac:dyDescent="0.35">
      <c r="CF630">
        <v>22</v>
      </c>
      <c r="CG630" t="s">
        <v>34</v>
      </c>
      <c r="CH630" t="s">
        <v>2</v>
      </c>
      <c r="CI630" t="s">
        <v>78</v>
      </c>
      <c r="CJ630" s="68">
        <v>1</v>
      </c>
    </row>
    <row r="631" spans="84:88" x14ac:dyDescent="0.35">
      <c r="CF631">
        <v>22</v>
      </c>
      <c r="CG631" t="s">
        <v>34</v>
      </c>
      <c r="CH631" t="s">
        <v>2</v>
      </c>
      <c r="CI631" t="s">
        <v>79</v>
      </c>
      <c r="CJ631" s="68">
        <v>1</v>
      </c>
    </row>
    <row r="632" spans="84:88" x14ac:dyDescent="0.35">
      <c r="CF632">
        <v>22</v>
      </c>
      <c r="CG632" t="s">
        <v>34</v>
      </c>
      <c r="CH632" t="s">
        <v>2</v>
      </c>
      <c r="CI632" t="s">
        <v>80</v>
      </c>
      <c r="CJ632" s="68">
        <v>1</v>
      </c>
    </row>
    <row r="633" spans="84:88" x14ac:dyDescent="0.35">
      <c r="CF633">
        <v>23</v>
      </c>
      <c r="CG633" t="s">
        <v>34</v>
      </c>
      <c r="CH633" t="s">
        <v>2</v>
      </c>
      <c r="CI633" t="s">
        <v>50</v>
      </c>
      <c r="CJ633" s="68">
        <v>0</v>
      </c>
    </row>
    <row r="634" spans="84:88" x14ac:dyDescent="0.35">
      <c r="CF634">
        <v>23</v>
      </c>
      <c r="CG634" t="s">
        <v>34</v>
      </c>
      <c r="CH634" t="s">
        <v>2</v>
      </c>
      <c r="CI634" t="s">
        <v>51</v>
      </c>
      <c r="CJ634" s="68">
        <v>0</v>
      </c>
    </row>
    <row r="635" spans="84:88" x14ac:dyDescent="0.35">
      <c r="CF635">
        <v>23</v>
      </c>
      <c r="CG635" t="s">
        <v>34</v>
      </c>
      <c r="CH635" t="s">
        <v>2</v>
      </c>
      <c r="CI635" t="s">
        <v>52</v>
      </c>
      <c r="CJ635" s="68">
        <v>1</v>
      </c>
    </row>
    <row r="636" spans="84:88" x14ac:dyDescent="0.35">
      <c r="CF636">
        <v>23</v>
      </c>
      <c r="CG636" t="s">
        <v>34</v>
      </c>
      <c r="CH636" t="s">
        <v>2</v>
      </c>
      <c r="CI636" t="s">
        <v>53</v>
      </c>
      <c r="CJ636" s="68">
        <v>1</v>
      </c>
    </row>
    <row r="637" spans="84:88" x14ac:dyDescent="0.35">
      <c r="CF637">
        <v>23</v>
      </c>
      <c r="CG637" t="s">
        <v>34</v>
      </c>
      <c r="CH637" t="s">
        <v>2</v>
      </c>
      <c r="CI637" t="s">
        <v>54</v>
      </c>
      <c r="CJ637" s="68">
        <v>1</v>
      </c>
    </row>
    <row r="638" spans="84:88" x14ac:dyDescent="0.35">
      <c r="CF638">
        <v>23</v>
      </c>
      <c r="CG638" t="s">
        <v>34</v>
      </c>
      <c r="CH638" t="s">
        <v>2</v>
      </c>
      <c r="CI638" t="s">
        <v>55</v>
      </c>
      <c r="CJ638" s="68">
        <v>1</v>
      </c>
    </row>
    <row r="639" spans="84:88" x14ac:dyDescent="0.35">
      <c r="CF639">
        <v>23</v>
      </c>
      <c r="CG639" t="s">
        <v>34</v>
      </c>
      <c r="CH639" t="s">
        <v>2</v>
      </c>
      <c r="CI639" t="s">
        <v>56</v>
      </c>
      <c r="CJ639" s="68">
        <v>1</v>
      </c>
    </row>
    <row r="640" spans="84:88" x14ac:dyDescent="0.35">
      <c r="CF640">
        <v>23</v>
      </c>
      <c r="CG640" t="s">
        <v>34</v>
      </c>
      <c r="CH640" t="s">
        <v>2</v>
      </c>
      <c r="CI640" t="s">
        <v>57</v>
      </c>
      <c r="CJ640" s="68">
        <v>1</v>
      </c>
    </row>
    <row r="641" spans="84:88" x14ac:dyDescent="0.35">
      <c r="CF641">
        <v>23</v>
      </c>
      <c r="CG641" t="s">
        <v>34</v>
      </c>
      <c r="CH641" t="s">
        <v>2</v>
      </c>
      <c r="CI641" t="s">
        <v>58</v>
      </c>
      <c r="CJ641" s="68">
        <v>1</v>
      </c>
    </row>
    <row r="642" spans="84:88" x14ac:dyDescent="0.35">
      <c r="CF642">
        <v>23</v>
      </c>
      <c r="CG642" t="s">
        <v>34</v>
      </c>
      <c r="CH642" t="s">
        <v>2</v>
      </c>
      <c r="CI642" t="s">
        <v>59</v>
      </c>
      <c r="CJ642" s="68">
        <v>1</v>
      </c>
    </row>
    <row r="643" spans="84:88" x14ac:dyDescent="0.35">
      <c r="CF643">
        <v>23</v>
      </c>
      <c r="CG643" t="s">
        <v>34</v>
      </c>
      <c r="CH643" t="s">
        <v>2</v>
      </c>
      <c r="CI643" t="s">
        <v>60</v>
      </c>
      <c r="CJ643" s="68">
        <v>1</v>
      </c>
    </row>
    <row r="644" spans="84:88" x14ac:dyDescent="0.35">
      <c r="CF644">
        <v>23</v>
      </c>
      <c r="CG644" t="s">
        <v>34</v>
      </c>
      <c r="CH644" t="s">
        <v>2</v>
      </c>
      <c r="CI644" t="s">
        <v>61</v>
      </c>
      <c r="CJ644" s="68">
        <v>1</v>
      </c>
    </row>
    <row r="645" spans="84:88" x14ac:dyDescent="0.35">
      <c r="CF645">
        <v>23</v>
      </c>
      <c r="CG645" t="s">
        <v>34</v>
      </c>
      <c r="CH645" t="s">
        <v>2</v>
      </c>
      <c r="CI645" t="s">
        <v>62</v>
      </c>
      <c r="CJ645" s="68">
        <v>1</v>
      </c>
    </row>
    <row r="646" spans="84:88" x14ac:dyDescent="0.35">
      <c r="CF646">
        <v>23</v>
      </c>
      <c r="CG646" t="s">
        <v>34</v>
      </c>
      <c r="CH646" t="s">
        <v>2</v>
      </c>
      <c r="CI646" t="s">
        <v>63</v>
      </c>
      <c r="CJ646" s="68">
        <v>1</v>
      </c>
    </row>
    <row r="647" spans="84:88" x14ac:dyDescent="0.35">
      <c r="CF647">
        <v>23</v>
      </c>
      <c r="CG647" t="s">
        <v>34</v>
      </c>
      <c r="CH647" t="s">
        <v>2</v>
      </c>
      <c r="CI647" t="s">
        <v>64</v>
      </c>
      <c r="CJ647" s="68">
        <v>1</v>
      </c>
    </row>
    <row r="648" spans="84:88" x14ac:dyDescent="0.35">
      <c r="CF648">
        <v>23</v>
      </c>
      <c r="CG648" t="s">
        <v>34</v>
      </c>
      <c r="CH648" t="s">
        <v>2</v>
      </c>
      <c r="CI648" t="s">
        <v>65</v>
      </c>
      <c r="CJ648" s="68">
        <v>1</v>
      </c>
    </row>
    <row r="649" spans="84:88" x14ac:dyDescent="0.35">
      <c r="CF649">
        <v>23</v>
      </c>
      <c r="CG649" t="s">
        <v>34</v>
      </c>
      <c r="CH649" t="s">
        <v>2</v>
      </c>
      <c r="CI649" t="s">
        <v>66</v>
      </c>
      <c r="CJ649" s="68">
        <v>1</v>
      </c>
    </row>
    <row r="650" spans="84:88" x14ac:dyDescent="0.35">
      <c r="CF650">
        <v>23</v>
      </c>
      <c r="CG650" t="s">
        <v>34</v>
      </c>
      <c r="CH650" t="s">
        <v>2</v>
      </c>
      <c r="CI650" t="s">
        <v>67</v>
      </c>
      <c r="CJ650" s="68">
        <v>1</v>
      </c>
    </row>
    <row r="651" spans="84:88" x14ac:dyDescent="0.35">
      <c r="CF651">
        <v>23</v>
      </c>
      <c r="CG651" t="s">
        <v>34</v>
      </c>
      <c r="CH651" t="s">
        <v>2</v>
      </c>
      <c r="CI651" t="s">
        <v>68</v>
      </c>
      <c r="CJ651" s="68">
        <v>1</v>
      </c>
    </row>
    <row r="652" spans="84:88" x14ac:dyDescent="0.35">
      <c r="CF652">
        <v>23</v>
      </c>
      <c r="CG652" t="s">
        <v>34</v>
      </c>
      <c r="CH652" t="s">
        <v>2</v>
      </c>
      <c r="CI652" t="s">
        <v>69</v>
      </c>
      <c r="CJ652" s="68">
        <v>1</v>
      </c>
    </row>
    <row r="653" spans="84:88" x14ac:dyDescent="0.35">
      <c r="CF653">
        <v>23</v>
      </c>
      <c r="CG653" t="s">
        <v>34</v>
      </c>
      <c r="CH653" t="s">
        <v>2</v>
      </c>
      <c r="CI653" t="s">
        <v>70</v>
      </c>
      <c r="CJ653" s="68">
        <v>1</v>
      </c>
    </row>
    <row r="654" spans="84:88" x14ac:dyDescent="0.35">
      <c r="CF654">
        <v>23</v>
      </c>
      <c r="CG654" t="s">
        <v>34</v>
      </c>
      <c r="CH654" t="s">
        <v>2</v>
      </c>
      <c r="CI654" t="s">
        <v>71</v>
      </c>
      <c r="CJ654" s="68">
        <v>1</v>
      </c>
    </row>
    <row r="655" spans="84:88" x14ac:dyDescent="0.35">
      <c r="CF655">
        <v>23</v>
      </c>
      <c r="CG655" t="s">
        <v>34</v>
      </c>
      <c r="CH655" t="s">
        <v>2</v>
      </c>
      <c r="CI655" t="s">
        <v>72</v>
      </c>
      <c r="CJ655" s="68">
        <v>1</v>
      </c>
    </row>
    <row r="656" spans="84:88" x14ac:dyDescent="0.35">
      <c r="CF656">
        <v>23</v>
      </c>
      <c r="CG656" t="s">
        <v>34</v>
      </c>
      <c r="CH656" t="s">
        <v>2</v>
      </c>
      <c r="CI656" t="s">
        <v>73</v>
      </c>
      <c r="CJ656" s="68">
        <v>1</v>
      </c>
    </row>
    <row r="657" spans="84:88" x14ac:dyDescent="0.35">
      <c r="CF657">
        <v>23</v>
      </c>
      <c r="CG657" t="s">
        <v>34</v>
      </c>
      <c r="CH657" t="s">
        <v>2</v>
      </c>
      <c r="CI657" t="s">
        <v>74</v>
      </c>
      <c r="CJ657" s="68">
        <v>1</v>
      </c>
    </row>
    <row r="658" spans="84:88" x14ac:dyDescent="0.35">
      <c r="CF658">
        <v>23</v>
      </c>
      <c r="CG658" t="s">
        <v>34</v>
      </c>
      <c r="CH658" t="s">
        <v>2</v>
      </c>
      <c r="CI658" t="s">
        <v>75</v>
      </c>
      <c r="CJ658" s="68">
        <v>1</v>
      </c>
    </row>
    <row r="659" spans="84:88" x14ac:dyDescent="0.35">
      <c r="CF659">
        <v>23</v>
      </c>
      <c r="CG659" t="s">
        <v>34</v>
      </c>
      <c r="CH659" t="s">
        <v>2</v>
      </c>
      <c r="CI659" t="s">
        <v>76</v>
      </c>
      <c r="CJ659" s="68">
        <v>1</v>
      </c>
    </row>
    <row r="660" spans="84:88" x14ac:dyDescent="0.35">
      <c r="CF660">
        <v>23</v>
      </c>
      <c r="CG660" t="s">
        <v>34</v>
      </c>
      <c r="CH660" t="s">
        <v>2</v>
      </c>
      <c r="CI660" t="s">
        <v>77</v>
      </c>
      <c r="CJ660" s="68">
        <v>1</v>
      </c>
    </row>
    <row r="661" spans="84:88" x14ac:dyDescent="0.35">
      <c r="CF661">
        <v>23</v>
      </c>
      <c r="CG661" t="s">
        <v>34</v>
      </c>
      <c r="CH661" t="s">
        <v>2</v>
      </c>
      <c r="CI661" t="s">
        <v>78</v>
      </c>
      <c r="CJ661" s="68">
        <v>1</v>
      </c>
    </row>
    <row r="662" spans="84:88" x14ac:dyDescent="0.35">
      <c r="CF662">
        <v>23</v>
      </c>
      <c r="CG662" t="s">
        <v>34</v>
      </c>
      <c r="CH662" t="s">
        <v>2</v>
      </c>
      <c r="CI662" t="s">
        <v>79</v>
      </c>
      <c r="CJ662" s="68">
        <v>1</v>
      </c>
    </row>
    <row r="663" spans="84:88" x14ac:dyDescent="0.35">
      <c r="CF663">
        <v>23</v>
      </c>
      <c r="CG663" t="s">
        <v>34</v>
      </c>
      <c r="CH663" t="s">
        <v>2</v>
      </c>
      <c r="CI663" t="s">
        <v>80</v>
      </c>
      <c r="CJ663" s="68">
        <v>1</v>
      </c>
    </row>
    <row r="664" spans="84:88" x14ac:dyDescent="0.35">
      <c r="CF664">
        <v>24</v>
      </c>
      <c r="CG664" t="s">
        <v>34</v>
      </c>
      <c r="CH664" t="s">
        <v>2</v>
      </c>
      <c r="CI664" t="s">
        <v>50</v>
      </c>
      <c r="CJ664" s="68">
        <v>0</v>
      </c>
    </row>
    <row r="665" spans="84:88" x14ac:dyDescent="0.35">
      <c r="CF665">
        <v>24</v>
      </c>
      <c r="CG665" t="s">
        <v>34</v>
      </c>
      <c r="CH665" t="s">
        <v>2</v>
      </c>
      <c r="CI665" t="s">
        <v>51</v>
      </c>
      <c r="CJ665" s="68">
        <v>0</v>
      </c>
    </row>
    <row r="666" spans="84:88" x14ac:dyDescent="0.35">
      <c r="CF666">
        <v>24</v>
      </c>
      <c r="CG666" t="s">
        <v>34</v>
      </c>
      <c r="CH666" t="s">
        <v>2</v>
      </c>
      <c r="CI666" t="s">
        <v>52</v>
      </c>
      <c r="CJ666" s="68">
        <v>1</v>
      </c>
    </row>
    <row r="667" spans="84:88" x14ac:dyDescent="0.35">
      <c r="CF667">
        <v>24</v>
      </c>
      <c r="CG667" t="s">
        <v>34</v>
      </c>
      <c r="CH667" t="s">
        <v>2</v>
      </c>
      <c r="CI667" t="s">
        <v>53</v>
      </c>
      <c r="CJ667" s="68">
        <v>1</v>
      </c>
    </row>
    <row r="668" spans="84:88" x14ac:dyDescent="0.35">
      <c r="CF668">
        <v>24</v>
      </c>
      <c r="CG668" t="s">
        <v>34</v>
      </c>
      <c r="CH668" t="s">
        <v>2</v>
      </c>
      <c r="CI668" t="s">
        <v>54</v>
      </c>
      <c r="CJ668" s="68">
        <v>1</v>
      </c>
    </row>
    <row r="669" spans="84:88" x14ac:dyDescent="0.35">
      <c r="CF669">
        <v>24</v>
      </c>
      <c r="CG669" t="s">
        <v>34</v>
      </c>
      <c r="CH669" t="s">
        <v>2</v>
      </c>
      <c r="CI669" t="s">
        <v>55</v>
      </c>
      <c r="CJ669" s="68">
        <v>1</v>
      </c>
    </row>
    <row r="670" spans="84:88" x14ac:dyDescent="0.35">
      <c r="CF670">
        <v>24</v>
      </c>
      <c r="CG670" t="s">
        <v>34</v>
      </c>
      <c r="CH670" t="s">
        <v>2</v>
      </c>
      <c r="CI670" t="s">
        <v>56</v>
      </c>
      <c r="CJ670" s="68">
        <v>1</v>
      </c>
    </row>
    <row r="671" spans="84:88" x14ac:dyDescent="0.35">
      <c r="CF671">
        <v>24</v>
      </c>
      <c r="CG671" t="s">
        <v>34</v>
      </c>
      <c r="CH671" t="s">
        <v>2</v>
      </c>
      <c r="CI671" t="s">
        <v>57</v>
      </c>
      <c r="CJ671" s="68">
        <v>1</v>
      </c>
    </row>
    <row r="672" spans="84:88" x14ac:dyDescent="0.35">
      <c r="CF672">
        <v>24</v>
      </c>
      <c r="CG672" t="s">
        <v>34</v>
      </c>
      <c r="CH672" t="s">
        <v>2</v>
      </c>
      <c r="CI672" t="s">
        <v>58</v>
      </c>
      <c r="CJ672" s="68">
        <v>1</v>
      </c>
    </row>
    <row r="673" spans="84:88" x14ac:dyDescent="0.35">
      <c r="CF673">
        <v>24</v>
      </c>
      <c r="CG673" t="s">
        <v>34</v>
      </c>
      <c r="CH673" t="s">
        <v>2</v>
      </c>
      <c r="CI673" t="s">
        <v>59</v>
      </c>
      <c r="CJ673" s="68">
        <v>1</v>
      </c>
    </row>
    <row r="674" spans="84:88" x14ac:dyDescent="0.35">
      <c r="CF674">
        <v>24</v>
      </c>
      <c r="CG674" t="s">
        <v>34</v>
      </c>
      <c r="CH674" t="s">
        <v>2</v>
      </c>
      <c r="CI674" t="s">
        <v>60</v>
      </c>
      <c r="CJ674" s="68">
        <v>1</v>
      </c>
    </row>
    <row r="675" spans="84:88" x14ac:dyDescent="0.35">
      <c r="CF675">
        <v>24</v>
      </c>
      <c r="CG675" t="s">
        <v>34</v>
      </c>
      <c r="CH675" t="s">
        <v>2</v>
      </c>
      <c r="CI675" t="s">
        <v>61</v>
      </c>
      <c r="CJ675" s="68">
        <v>1</v>
      </c>
    </row>
    <row r="676" spans="84:88" x14ac:dyDescent="0.35">
      <c r="CF676">
        <v>24</v>
      </c>
      <c r="CG676" t="s">
        <v>34</v>
      </c>
      <c r="CH676" t="s">
        <v>2</v>
      </c>
      <c r="CI676" t="s">
        <v>62</v>
      </c>
      <c r="CJ676" s="68">
        <v>1</v>
      </c>
    </row>
    <row r="677" spans="84:88" x14ac:dyDescent="0.35">
      <c r="CF677">
        <v>24</v>
      </c>
      <c r="CG677" t="s">
        <v>34</v>
      </c>
      <c r="CH677" t="s">
        <v>2</v>
      </c>
      <c r="CI677" t="s">
        <v>63</v>
      </c>
      <c r="CJ677" s="68">
        <v>1</v>
      </c>
    </row>
    <row r="678" spans="84:88" x14ac:dyDescent="0.35">
      <c r="CF678">
        <v>24</v>
      </c>
      <c r="CG678" t="s">
        <v>34</v>
      </c>
      <c r="CH678" t="s">
        <v>2</v>
      </c>
      <c r="CI678" t="s">
        <v>64</v>
      </c>
      <c r="CJ678" s="68">
        <v>1</v>
      </c>
    </row>
    <row r="679" spans="84:88" x14ac:dyDescent="0.35">
      <c r="CF679">
        <v>24</v>
      </c>
      <c r="CG679" t="s">
        <v>34</v>
      </c>
      <c r="CH679" t="s">
        <v>2</v>
      </c>
      <c r="CI679" t="s">
        <v>65</v>
      </c>
      <c r="CJ679" s="68">
        <v>1</v>
      </c>
    </row>
    <row r="680" spans="84:88" x14ac:dyDescent="0.35">
      <c r="CF680">
        <v>24</v>
      </c>
      <c r="CG680" t="s">
        <v>34</v>
      </c>
      <c r="CH680" t="s">
        <v>2</v>
      </c>
      <c r="CI680" t="s">
        <v>66</v>
      </c>
      <c r="CJ680" s="68">
        <v>1</v>
      </c>
    </row>
    <row r="681" spans="84:88" x14ac:dyDescent="0.35">
      <c r="CF681">
        <v>24</v>
      </c>
      <c r="CG681" t="s">
        <v>34</v>
      </c>
      <c r="CH681" t="s">
        <v>2</v>
      </c>
      <c r="CI681" t="s">
        <v>67</v>
      </c>
      <c r="CJ681" s="68">
        <v>1</v>
      </c>
    </row>
    <row r="682" spans="84:88" x14ac:dyDescent="0.35">
      <c r="CF682">
        <v>24</v>
      </c>
      <c r="CG682" t="s">
        <v>34</v>
      </c>
      <c r="CH682" t="s">
        <v>2</v>
      </c>
      <c r="CI682" t="s">
        <v>68</v>
      </c>
      <c r="CJ682" s="68">
        <v>1</v>
      </c>
    </row>
    <row r="683" spans="84:88" x14ac:dyDescent="0.35">
      <c r="CF683">
        <v>24</v>
      </c>
      <c r="CG683" t="s">
        <v>34</v>
      </c>
      <c r="CH683" t="s">
        <v>2</v>
      </c>
      <c r="CI683" t="s">
        <v>69</v>
      </c>
      <c r="CJ683" s="68">
        <v>1</v>
      </c>
    </row>
    <row r="684" spans="84:88" x14ac:dyDescent="0.35">
      <c r="CF684">
        <v>24</v>
      </c>
      <c r="CG684" t="s">
        <v>34</v>
      </c>
      <c r="CH684" t="s">
        <v>2</v>
      </c>
      <c r="CI684" t="s">
        <v>70</v>
      </c>
      <c r="CJ684" s="68">
        <v>1</v>
      </c>
    </row>
    <row r="685" spans="84:88" x14ac:dyDescent="0.35">
      <c r="CF685">
        <v>24</v>
      </c>
      <c r="CG685" t="s">
        <v>34</v>
      </c>
      <c r="CH685" t="s">
        <v>2</v>
      </c>
      <c r="CI685" t="s">
        <v>71</v>
      </c>
      <c r="CJ685" s="68">
        <v>1</v>
      </c>
    </row>
    <row r="686" spans="84:88" x14ac:dyDescent="0.35">
      <c r="CF686">
        <v>24</v>
      </c>
      <c r="CG686" t="s">
        <v>34</v>
      </c>
      <c r="CH686" t="s">
        <v>2</v>
      </c>
      <c r="CI686" t="s">
        <v>72</v>
      </c>
      <c r="CJ686" s="68">
        <v>1</v>
      </c>
    </row>
    <row r="687" spans="84:88" x14ac:dyDescent="0.35">
      <c r="CF687">
        <v>24</v>
      </c>
      <c r="CG687" t="s">
        <v>34</v>
      </c>
      <c r="CH687" t="s">
        <v>2</v>
      </c>
      <c r="CI687" t="s">
        <v>73</v>
      </c>
      <c r="CJ687" s="68">
        <v>1</v>
      </c>
    </row>
    <row r="688" spans="84:88" x14ac:dyDescent="0.35">
      <c r="CF688">
        <v>24</v>
      </c>
      <c r="CG688" t="s">
        <v>34</v>
      </c>
      <c r="CH688" t="s">
        <v>2</v>
      </c>
      <c r="CI688" t="s">
        <v>74</v>
      </c>
      <c r="CJ688" s="68">
        <v>1</v>
      </c>
    </row>
    <row r="689" spans="84:88" x14ac:dyDescent="0.35">
      <c r="CF689">
        <v>24</v>
      </c>
      <c r="CG689" t="s">
        <v>34</v>
      </c>
      <c r="CH689" t="s">
        <v>2</v>
      </c>
      <c r="CI689" t="s">
        <v>75</v>
      </c>
      <c r="CJ689" s="68">
        <v>1</v>
      </c>
    </row>
    <row r="690" spans="84:88" x14ac:dyDescent="0.35">
      <c r="CF690">
        <v>24</v>
      </c>
      <c r="CG690" t="s">
        <v>34</v>
      </c>
      <c r="CH690" t="s">
        <v>2</v>
      </c>
      <c r="CI690" t="s">
        <v>76</v>
      </c>
      <c r="CJ690" s="68">
        <v>1</v>
      </c>
    </row>
    <row r="691" spans="84:88" x14ac:dyDescent="0.35">
      <c r="CF691">
        <v>24</v>
      </c>
      <c r="CG691" t="s">
        <v>34</v>
      </c>
      <c r="CH691" t="s">
        <v>2</v>
      </c>
      <c r="CI691" t="s">
        <v>77</v>
      </c>
      <c r="CJ691" s="68">
        <v>1</v>
      </c>
    </row>
    <row r="692" spans="84:88" x14ac:dyDescent="0.35">
      <c r="CF692">
        <v>24</v>
      </c>
      <c r="CG692" t="s">
        <v>34</v>
      </c>
      <c r="CH692" t="s">
        <v>2</v>
      </c>
      <c r="CI692" t="s">
        <v>78</v>
      </c>
      <c r="CJ692" s="68">
        <v>1</v>
      </c>
    </row>
    <row r="693" spans="84:88" x14ac:dyDescent="0.35">
      <c r="CF693">
        <v>24</v>
      </c>
      <c r="CG693" t="s">
        <v>34</v>
      </c>
      <c r="CH693" t="s">
        <v>2</v>
      </c>
      <c r="CI693" t="s">
        <v>79</v>
      </c>
      <c r="CJ693" s="68">
        <v>1</v>
      </c>
    </row>
    <row r="694" spans="84:88" x14ac:dyDescent="0.35">
      <c r="CF694">
        <v>24</v>
      </c>
      <c r="CG694" t="s">
        <v>34</v>
      </c>
      <c r="CH694" t="s">
        <v>2</v>
      </c>
      <c r="CI694" t="s">
        <v>80</v>
      </c>
      <c r="CJ694" s="68">
        <v>1</v>
      </c>
    </row>
    <row r="695" spans="84:88" x14ac:dyDescent="0.35">
      <c r="CF695">
        <v>25</v>
      </c>
      <c r="CG695" t="s">
        <v>35</v>
      </c>
      <c r="CH695" t="s">
        <v>3</v>
      </c>
      <c r="CI695" t="s">
        <v>50</v>
      </c>
      <c r="CJ695" s="68">
        <v>0</v>
      </c>
    </row>
    <row r="696" spans="84:88" x14ac:dyDescent="0.35">
      <c r="CF696">
        <v>25</v>
      </c>
      <c r="CG696" t="s">
        <v>35</v>
      </c>
      <c r="CH696" t="s">
        <v>3</v>
      </c>
      <c r="CI696" t="s">
        <v>51</v>
      </c>
      <c r="CJ696" s="68">
        <v>0</v>
      </c>
    </row>
    <row r="697" spans="84:88" x14ac:dyDescent="0.35">
      <c r="CF697">
        <v>25</v>
      </c>
      <c r="CG697" t="s">
        <v>35</v>
      </c>
      <c r="CH697" t="s">
        <v>3</v>
      </c>
      <c r="CI697" t="s">
        <v>52</v>
      </c>
      <c r="CJ697" s="68">
        <v>0</v>
      </c>
    </row>
    <row r="698" spans="84:88" x14ac:dyDescent="0.35">
      <c r="CF698">
        <v>25</v>
      </c>
      <c r="CG698" t="s">
        <v>35</v>
      </c>
      <c r="CH698" t="s">
        <v>3</v>
      </c>
      <c r="CI698" t="s">
        <v>53</v>
      </c>
      <c r="CJ698" s="68">
        <v>1</v>
      </c>
    </row>
    <row r="699" spans="84:88" x14ac:dyDescent="0.35">
      <c r="CF699">
        <v>25</v>
      </c>
      <c r="CG699" t="s">
        <v>35</v>
      </c>
      <c r="CH699" t="s">
        <v>3</v>
      </c>
      <c r="CI699" t="s">
        <v>54</v>
      </c>
      <c r="CJ699" s="68">
        <v>1</v>
      </c>
    </row>
    <row r="700" spans="84:88" x14ac:dyDescent="0.35">
      <c r="CF700">
        <v>25</v>
      </c>
      <c r="CG700" t="s">
        <v>35</v>
      </c>
      <c r="CH700" t="s">
        <v>3</v>
      </c>
      <c r="CI700" t="s">
        <v>55</v>
      </c>
      <c r="CJ700" s="68">
        <v>1</v>
      </c>
    </row>
    <row r="701" spans="84:88" x14ac:dyDescent="0.35">
      <c r="CF701">
        <v>25</v>
      </c>
      <c r="CG701" t="s">
        <v>35</v>
      </c>
      <c r="CH701" t="s">
        <v>3</v>
      </c>
      <c r="CI701" t="s">
        <v>56</v>
      </c>
      <c r="CJ701" s="68">
        <v>1</v>
      </c>
    </row>
    <row r="702" spans="84:88" x14ac:dyDescent="0.35">
      <c r="CF702">
        <v>25</v>
      </c>
      <c r="CG702" t="s">
        <v>35</v>
      </c>
      <c r="CH702" t="s">
        <v>3</v>
      </c>
      <c r="CI702" t="s">
        <v>57</v>
      </c>
      <c r="CJ702" s="68">
        <v>1</v>
      </c>
    </row>
    <row r="703" spans="84:88" x14ac:dyDescent="0.35">
      <c r="CF703">
        <v>25</v>
      </c>
      <c r="CG703" t="s">
        <v>35</v>
      </c>
      <c r="CH703" t="s">
        <v>3</v>
      </c>
      <c r="CI703" t="s">
        <v>58</v>
      </c>
      <c r="CJ703" s="68">
        <v>1</v>
      </c>
    </row>
    <row r="704" spans="84:88" x14ac:dyDescent="0.35">
      <c r="CF704">
        <v>25</v>
      </c>
      <c r="CG704" t="s">
        <v>35</v>
      </c>
      <c r="CH704" t="s">
        <v>3</v>
      </c>
      <c r="CI704" t="s">
        <v>59</v>
      </c>
      <c r="CJ704" s="68">
        <v>1</v>
      </c>
    </row>
    <row r="705" spans="84:88" x14ac:dyDescent="0.35">
      <c r="CF705">
        <v>25</v>
      </c>
      <c r="CG705" t="s">
        <v>35</v>
      </c>
      <c r="CH705" t="s">
        <v>3</v>
      </c>
      <c r="CI705" t="s">
        <v>60</v>
      </c>
      <c r="CJ705" s="68">
        <v>1</v>
      </c>
    </row>
    <row r="706" spans="84:88" x14ac:dyDescent="0.35">
      <c r="CF706">
        <v>25</v>
      </c>
      <c r="CG706" t="s">
        <v>35</v>
      </c>
      <c r="CH706" t="s">
        <v>3</v>
      </c>
      <c r="CI706" t="s">
        <v>61</v>
      </c>
      <c r="CJ706" s="68">
        <v>1</v>
      </c>
    </row>
    <row r="707" spans="84:88" x14ac:dyDescent="0.35">
      <c r="CF707">
        <v>25</v>
      </c>
      <c r="CG707" t="s">
        <v>35</v>
      </c>
      <c r="CH707" t="s">
        <v>3</v>
      </c>
      <c r="CI707" t="s">
        <v>62</v>
      </c>
      <c r="CJ707" s="68">
        <v>1</v>
      </c>
    </row>
    <row r="708" spans="84:88" x14ac:dyDescent="0.35">
      <c r="CF708">
        <v>25</v>
      </c>
      <c r="CG708" t="s">
        <v>35</v>
      </c>
      <c r="CH708" t="s">
        <v>3</v>
      </c>
      <c r="CI708" t="s">
        <v>63</v>
      </c>
      <c r="CJ708" s="68">
        <v>1</v>
      </c>
    </row>
    <row r="709" spans="84:88" x14ac:dyDescent="0.35">
      <c r="CF709">
        <v>25</v>
      </c>
      <c r="CG709" t="s">
        <v>35</v>
      </c>
      <c r="CH709" t="s">
        <v>3</v>
      </c>
      <c r="CI709" t="s">
        <v>64</v>
      </c>
      <c r="CJ709" s="68">
        <v>1</v>
      </c>
    </row>
    <row r="710" spans="84:88" x14ac:dyDescent="0.35">
      <c r="CF710">
        <v>25</v>
      </c>
      <c r="CG710" t="s">
        <v>35</v>
      </c>
      <c r="CH710" t="s">
        <v>3</v>
      </c>
      <c r="CI710" t="s">
        <v>65</v>
      </c>
      <c r="CJ710" s="68">
        <v>1</v>
      </c>
    </row>
    <row r="711" spans="84:88" x14ac:dyDescent="0.35">
      <c r="CF711">
        <v>25</v>
      </c>
      <c r="CG711" t="s">
        <v>35</v>
      </c>
      <c r="CH711" t="s">
        <v>3</v>
      </c>
      <c r="CI711" t="s">
        <v>66</v>
      </c>
      <c r="CJ711" s="68">
        <v>1</v>
      </c>
    </row>
    <row r="712" spans="84:88" x14ac:dyDescent="0.35">
      <c r="CF712">
        <v>25</v>
      </c>
      <c r="CG712" t="s">
        <v>35</v>
      </c>
      <c r="CH712" t="s">
        <v>3</v>
      </c>
      <c r="CI712" t="s">
        <v>67</v>
      </c>
      <c r="CJ712" s="68">
        <v>1</v>
      </c>
    </row>
    <row r="713" spans="84:88" x14ac:dyDescent="0.35">
      <c r="CF713">
        <v>25</v>
      </c>
      <c r="CG713" t="s">
        <v>35</v>
      </c>
      <c r="CH713" t="s">
        <v>3</v>
      </c>
      <c r="CI713" t="s">
        <v>68</v>
      </c>
      <c r="CJ713" s="68">
        <v>1</v>
      </c>
    </row>
    <row r="714" spans="84:88" x14ac:dyDescent="0.35">
      <c r="CF714">
        <v>25</v>
      </c>
      <c r="CG714" t="s">
        <v>35</v>
      </c>
      <c r="CH714" t="s">
        <v>3</v>
      </c>
      <c r="CI714" t="s">
        <v>69</v>
      </c>
      <c r="CJ714" s="68">
        <v>1</v>
      </c>
    </row>
    <row r="715" spans="84:88" x14ac:dyDescent="0.35">
      <c r="CF715">
        <v>25</v>
      </c>
      <c r="CG715" t="s">
        <v>35</v>
      </c>
      <c r="CH715" t="s">
        <v>3</v>
      </c>
      <c r="CI715" t="s">
        <v>70</v>
      </c>
      <c r="CJ715" s="68">
        <v>1</v>
      </c>
    </row>
    <row r="716" spans="84:88" x14ac:dyDescent="0.35">
      <c r="CF716">
        <v>25</v>
      </c>
      <c r="CG716" t="s">
        <v>35</v>
      </c>
      <c r="CH716" t="s">
        <v>3</v>
      </c>
      <c r="CI716" t="s">
        <v>71</v>
      </c>
      <c r="CJ716" s="68">
        <v>1</v>
      </c>
    </row>
    <row r="717" spans="84:88" x14ac:dyDescent="0.35">
      <c r="CF717">
        <v>25</v>
      </c>
      <c r="CG717" t="s">
        <v>35</v>
      </c>
      <c r="CH717" t="s">
        <v>3</v>
      </c>
      <c r="CI717" t="s">
        <v>72</v>
      </c>
      <c r="CJ717" s="68">
        <v>1</v>
      </c>
    </row>
    <row r="718" spans="84:88" x14ac:dyDescent="0.35">
      <c r="CF718">
        <v>25</v>
      </c>
      <c r="CG718" t="s">
        <v>35</v>
      </c>
      <c r="CH718" t="s">
        <v>3</v>
      </c>
      <c r="CI718" t="s">
        <v>73</v>
      </c>
      <c r="CJ718" s="68">
        <v>1</v>
      </c>
    </row>
    <row r="719" spans="84:88" x14ac:dyDescent="0.35">
      <c r="CF719">
        <v>25</v>
      </c>
      <c r="CG719" t="s">
        <v>35</v>
      </c>
      <c r="CH719" t="s">
        <v>3</v>
      </c>
      <c r="CI719" t="s">
        <v>74</v>
      </c>
      <c r="CJ719" s="68">
        <v>1</v>
      </c>
    </row>
    <row r="720" spans="84:88" x14ac:dyDescent="0.35">
      <c r="CF720">
        <v>25</v>
      </c>
      <c r="CG720" t="s">
        <v>35</v>
      </c>
      <c r="CH720" t="s">
        <v>3</v>
      </c>
      <c r="CI720" t="s">
        <v>75</v>
      </c>
      <c r="CJ720" s="68">
        <v>1</v>
      </c>
    </row>
    <row r="721" spans="84:88" x14ac:dyDescent="0.35">
      <c r="CF721">
        <v>25</v>
      </c>
      <c r="CG721" t="s">
        <v>35</v>
      </c>
      <c r="CH721" t="s">
        <v>3</v>
      </c>
      <c r="CI721" t="s">
        <v>76</v>
      </c>
      <c r="CJ721" s="68">
        <v>1</v>
      </c>
    </row>
    <row r="722" spans="84:88" x14ac:dyDescent="0.35">
      <c r="CF722">
        <v>25</v>
      </c>
      <c r="CG722" t="s">
        <v>35</v>
      </c>
      <c r="CH722" t="s">
        <v>3</v>
      </c>
      <c r="CI722" t="s">
        <v>77</v>
      </c>
      <c r="CJ722" s="68">
        <v>1</v>
      </c>
    </row>
    <row r="723" spans="84:88" x14ac:dyDescent="0.35">
      <c r="CF723">
        <v>25</v>
      </c>
      <c r="CG723" t="s">
        <v>35</v>
      </c>
      <c r="CH723" t="s">
        <v>3</v>
      </c>
      <c r="CI723" t="s">
        <v>78</v>
      </c>
      <c r="CJ723" s="68">
        <v>1</v>
      </c>
    </row>
    <row r="724" spans="84:88" x14ac:dyDescent="0.35">
      <c r="CF724">
        <v>25</v>
      </c>
      <c r="CG724" t="s">
        <v>35</v>
      </c>
      <c r="CH724" t="s">
        <v>3</v>
      </c>
      <c r="CI724" t="s">
        <v>79</v>
      </c>
      <c r="CJ724" s="68">
        <v>1</v>
      </c>
    </row>
    <row r="725" spans="84:88" x14ac:dyDescent="0.35">
      <c r="CF725">
        <v>25</v>
      </c>
      <c r="CG725" t="s">
        <v>35</v>
      </c>
      <c r="CH725" t="s">
        <v>3</v>
      </c>
      <c r="CI725" t="s">
        <v>80</v>
      </c>
      <c r="CJ725" s="68">
        <v>1</v>
      </c>
    </row>
    <row r="726" spans="84:88" x14ac:dyDescent="0.35">
      <c r="CF726">
        <v>26</v>
      </c>
      <c r="CG726" t="s">
        <v>35</v>
      </c>
      <c r="CH726" t="s">
        <v>3</v>
      </c>
      <c r="CI726" t="s">
        <v>50</v>
      </c>
      <c r="CJ726" s="68">
        <v>0</v>
      </c>
    </row>
    <row r="727" spans="84:88" x14ac:dyDescent="0.35">
      <c r="CF727">
        <v>26</v>
      </c>
      <c r="CG727" t="s">
        <v>35</v>
      </c>
      <c r="CH727" t="s">
        <v>3</v>
      </c>
      <c r="CI727" t="s">
        <v>51</v>
      </c>
      <c r="CJ727" s="68">
        <v>0</v>
      </c>
    </row>
    <row r="728" spans="84:88" x14ac:dyDescent="0.35">
      <c r="CF728">
        <v>26</v>
      </c>
      <c r="CG728" t="s">
        <v>35</v>
      </c>
      <c r="CH728" t="s">
        <v>3</v>
      </c>
      <c r="CI728" t="s">
        <v>52</v>
      </c>
      <c r="CJ728" s="68">
        <v>0</v>
      </c>
    </row>
    <row r="729" spans="84:88" x14ac:dyDescent="0.35">
      <c r="CF729">
        <v>26</v>
      </c>
      <c r="CG729" t="s">
        <v>35</v>
      </c>
      <c r="CH729" t="s">
        <v>3</v>
      </c>
      <c r="CI729" t="s">
        <v>53</v>
      </c>
      <c r="CJ729" s="68">
        <v>1</v>
      </c>
    </row>
    <row r="730" spans="84:88" x14ac:dyDescent="0.35">
      <c r="CF730">
        <v>26</v>
      </c>
      <c r="CG730" t="s">
        <v>35</v>
      </c>
      <c r="CH730" t="s">
        <v>3</v>
      </c>
      <c r="CI730" t="s">
        <v>54</v>
      </c>
      <c r="CJ730" s="68">
        <v>1</v>
      </c>
    </row>
    <row r="731" spans="84:88" x14ac:dyDescent="0.35">
      <c r="CF731">
        <v>26</v>
      </c>
      <c r="CG731" t="s">
        <v>35</v>
      </c>
      <c r="CH731" t="s">
        <v>3</v>
      </c>
      <c r="CI731" t="s">
        <v>55</v>
      </c>
      <c r="CJ731" s="68">
        <v>1</v>
      </c>
    </row>
    <row r="732" spans="84:88" x14ac:dyDescent="0.35">
      <c r="CF732">
        <v>26</v>
      </c>
      <c r="CG732" t="s">
        <v>35</v>
      </c>
      <c r="CH732" t="s">
        <v>3</v>
      </c>
      <c r="CI732" t="s">
        <v>56</v>
      </c>
      <c r="CJ732" s="68">
        <v>1</v>
      </c>
    </row>
    <row r="733" spans="84:88" x14ac:dyDescent="0.35">
      <c r="CF733">
        <v>26</v>
      </c>
      <c r="CG733" t="s">
        <v>35</v>
      </c>
      <c r="CH733" t="s">
        <v>3</v>
      </c>
      <c r="CI733" t="s">
        <v>57</v>
      </c>
      <c r="CJ733" s="68">
        <v>1</v>
      </c>
    </row>
    <row r="734" spans="84:88" x14ac:dyDescent="0.35">
      <c r="CF734">
        <v>26</v>
      </c>
      <c r="CG734" t="s">
        <v>35</v>
      </c>
      <c r="CH734" t="s">
        <v>3</v>
      </c>
      <c r="CI734" t="s">
        <v>58</v>
      </c>
      <c r="CJ734" s="68">
        <v>1</v>
      </c>
    </row>
    <row r="735" spans="84:88" x14ac:dyDescent="0.35">
      <c r="CF735">
        <v>26</v>
      </c>
      <c r="CG735" t="s">
        <v>35</v>
      </c>
      <c r="CH735" t="s">
        <v>3</v>
      </c>
      <c r="CI735" t="s">
        <v>59</v>
      </c>
      <c r="CJ735" s="68">
        <v>1</v>
      </c>
    </row>
    <row r="736" spans="84:88" x14ac:dyDescent="0.35">
      <c r="CF736">
        <v>26</v>
      </c>
      <c r="CG736" t="s">
        <v>35</v>
      </c>
      <c r="CH736" t="s">
        <v>3</v>
      </c>
      <c r="CI736" t="s">
        <v>60</v>
      </c>
      <c r="CJ736" s="68">
        <v>1</v>
      </c>
    </row>
    <row r="737" spans="84:88" x14ac:dyDescent="0.35">
      <c r="CF737">
        <v>26</v>
      </c>
      <c r="CG737" t="s">
        <v>35</v>
      </c>
      <c r="CH737" t="s">
        <v>3</v>
      </c>
      <c r="CI737" t="s">
        <v>61</v>
      </c>
      <c r="CJ737" s="68">
        <v>1</v>
      </c>
    </row>
    <row r="738" spans="84:88" x14ac:dyDescent="0.35">
      <c r="CF738">
        <v>26</v>
      </c>
      <c r="CG738" t="s">
        <v>35</v>
      </c>
      <c r="CH738" t="s">
        <v>3</v>
      </c>
      <c r="CI738" t="s">
        <v>62</v>
      </c>
      <c r="CJ738" s="68">
        <v>1</v>
      </c>
    </row>
    <row r="739" spans="84:88" x14ac:dyDescent="0.35">
      <c r="CF739">
        <v>26</v>
      </c>
      <c r="CG739" t="s">
        <v>35</v>
      </c>
      <c r="CH739" t="s">
        <v>3</v>
      </c>
      <c r="CI739" t="s">
        <v>63</v>
      </c>
      <c r="CJ739" s="68">
        <v>1</v>
      </c>
    </row>
    <row r="740" spans="84:88" x14ac:dyDescent="0.35">
      <c r="CF740">
        <v>26</v>
      </c>
      <c r="CG740" t="s">
        <v>35</v>
      </c>
      <c r="CH740" t="s">
        <v>3</v>
      </c>
      <c r="CI740" t="s">
        <v>64</v>
      </c>
      <c r="CJ740" s="68">
        <v>1</v>
      </c>
    </row>
    <row r="741" spans="84:88" x14ac:dyDescent="0.35">
      <c r="CF741">
        <v>26</v>
      </c>
      <c r="CG741" t="s">
        <v>35</v>
      </c>
      <c r="CH741" t="s">
        <v>3</v>
      </c>
      <c r="CI741" t="s">
        <v>65</v>
      </c>
      <c r="CJ741" s="68">
        <v>1</v>
      </c>
    </row>
    <row r="742" spans="84:88" x14ac:dyDescent="0.35">
      <c r="CF742">
        <v>26</v>
      </c>
      <c r="CG742" t="s">
        <v>35</v>
      </c>
      <c r="CH742" t="s">
        <v>3</v>
      </c>
      <c r="CI742" t="s">
        <v>66</v>
      </c>
      <c r="CJ742" s="68">
        <v>1</v>
      </c>
    </row>
    <row r="743" spans="84:88" x14ac:dyDescent="0.35">
      <c r="CF743">
        <v>26</v>
      </c>
      <c r="CG743" t="s">
        <v>35</v>
      </c>
      <c r="CH743" t="s">
        <v>3</v>
      </c>
      <c r="CI743" t="s">
        <v>67</v>
      </c>
      <c r="CJ743" s="68">
        <v>1</v>
      </c>
    </row>
    <row r="744" spans="84:88" x14ac:dyDescent="0.35">
      <c r="CF744">
        <v>26</v>
      </c>
      <c r="CG744" t="s">
        <v>35</v>
      </c>
      <c r="CH744" t="s">
        <v>3</v>
      </c>
      <c r="CI744" t="s">
        <v>68</v>
      </c>
      <c r="CJ744" s="68">
        <v>1</v>
      </c>
    </row>
    <row r="745" spans="84:88" x14ac:dyDescent="0.35">
      <c r="CF745">
        <v>26</v>
      </c>
      <c r="CG745" t="s">
        <v>35</v>
      </c>
      <c r="CH745" t="s">
        <v>3</v>
      </c>
      <c r="CI745" t="s">
        <v>69</v>
      </c>
      <c r="CJ745" s="68">
        <v>1</v>
      </c>
    </row>
    <row r="746" spans="84:88" x14ac:dyDescent="0.35">
      <c r="CF746">
        <v>26</v>
      </c>
      <c r="CG746" t="s">
        <v>35</v>
      </c>
      <c r="CH746" t="s">
        <v>3</v>
      </c>
      <c r="CI746" t="s">
        <v>70</v>
      </c>
      <c r="CJ746" s="68">
        <v>1</v>
      </c>
    </row>
    <row r="747" spans="84:88" x14ac:dyDescent="0.35">
      <c r="CF747">
        <v>26</v>
      </c>
      <c r="CG747" t="s">
        <v>35</v>
      </c>
      <c r="CH747" t="s">
        <v>3</v>
      </c>
      <c r="CI747" t="s">
        <v>71</v>
      </c>
      <c r="CJ747" s="68">
        <v>1</v>
      </c>
    </row>
    <row r="748" spans="84:88" x14ac:dyDescent="0.35">
      <c r="CF748">
        <v>26</v>
      </c>
      <c r="CG748" t="s">
        <v>35</v>
      </c>
      <c r="CH748" t="s">
        <v>3</v>
      </c>
      <c r="CI748" t="s">
        <v>72</v>
      </c>
      <c r="CJ748" s="68">
        <v>1</v>
      </c>
    </row>
    <row r="749" spans="84:88" x14ac:dyDescent="0.35">
      <c r="CF749">
        <v>26</v>
      </c>
      <c r="CG749" t="s">
        <v>35</v>
      </c>
      <c r="CH749" t="s">
        <v>3</v>
      </c>
      <c r="CI749" t="s">
        <v>73</v>
      </c>
      <c r="CJ749" s="68">
        <v>1</v>
      </c>
    </row>
    <row r="750" spans="84:88" x14ac:dyDescent="0.35">
      <c r="CF750">
        <v>26</v>
      </c>
      <c r="CG750" t="s">
        <v>35</v>
      </c>
      <c r="CH750" t="s">
        <v>3</v>
      </c>
      <c r="CI750" t="s">
        <v>74</v>
      </c>
      <c r="CJ750" s="68">
        <v>1</v>
      </c>
    </row>
    <row r="751" spans="84:88" x14ac:dyDescent="0.35">
      <c r="CF751">
        <v>26</v>
      </c>
      <c r="CG751" t="s">
        <v>35</v>
      </c>
      <c r="CH751" t="s">
        <v>3</v>
      </c>
      <c r="CI751" t="s">
        <v>75</v>
      </c>
      <c r="CJ751" s="68">
        <v>1</v>
      </c>
    </row>
    <row r="752" spans="84:88" x14ac:dyDescent="0.35">
      <c r="CF752">
        <v>26</v>
      </c>
      <c r="CG752" t="s">
        <v>35</v>
      </c>
      <c r="CH752" t="s">
        <v>3</v>
      </c>
      <c r="CI752" t="s">
        <v>76</v>
      </c>
      <c r="CJ752" s="68">
        <v>1</v>
      </c>
    </row>
    <row r="753" spans="84:88" x14ac:dyDescent="0.35">
      <c r="CF753">
        <v>26</v>
      </c>
      <c r="CG753" t="s">
        <v>35</v>
      </c>
      <c r="CH753" t="s">
        <v>3</v>
      </c>
      <c r="CI753" t="s">
        <v>77</v>
      </c>
      <c r="CJ753" s="68">
        <v>1</v>
      </c>
    </row>
    <row r="754" spans="84:88" x14ac:dyDescent="0.35">
      <c r="CF754">
        <v>26</v>
      </c>
      <c r="CG754" t="s">
        <v>35</v>
      </c>
      <c r="CH754" t="s">
        <v>3</v>
      </c>
      <c r="CI754" t="s">
        <v>78</v>
      </c>
      <c r="CJ754" s="68">
        <v>1</v>
      </c>
    </row>
    <row r="755" spans="84:88" x14ac:dyDescent="0.35">
      <c r="CF755">
        <v>26</v>
      </c>
      <c r="CG755" t="s">
        <v>35</v>
      </c>
      <c r="CH755" t="s">
        <v>3</v>
      </c>
      <c r="CI755" t="s">
        <v>79</v>
      </c>
      <c r="CJ755" s="68">
        <v>1</v>
      </c>
    </row>
    <row r="756" spans="84:88" x14ac:dyDescent="0.35">
      <c r="CF756">
        <v>26</v>
      </c>
      <c r="CG756" t="s">
        <v>35</v>
      </c>
      <c r="CH756" t="s">
        <v>3</v>
      </c>
      <c r="CI756" t="s">
        <v>80</v>
      </c>
      <c r="CJ756" s="68">
        <v>1</v>
      </c>
    </row>
    <row r="757" spans="84:88" x14ac:dyDescent="0.35">
      <c r="CF757">
        <v>27</v>
      </c>
      <c r="CG757" t="s">
        <v>35</v>
      </c>
      <c r="CH757" t="s">
        <v>3</v>
      </c>
      <c r="CI757" t="s">
        <v>50</v>
      </c>
      <c r="CJ757" s="68">
        <v>0</v>
      </c>
    </row>
    <row r="758" spans="84:88" x14ac:dyDescent="0.35">
      <c r="CF758">
        <v>27</v>
      </c>
      <c r="CG758" t="s">
        <v>35</v>
      </c>
      <c r="CH758" t="s">
        <v>3</v>
      </c>
      <c r="CI758" t="s">
        <v>51</v>
      </c>
      <c r="CJ758" s="68">
        <v>0</v>
      </c>
    </row>
    <row r="759" spans="84:88" x14ac:dyDescent="0.35">
      <c r="CF759">
        <v>27</v>
      </c>
      <c r="CG759" t="s">
        <v>35</v>
      </c>
      <c r="CH759" t="s">
        <v>3</v>
      </c>
      <c r="CI759" t="s">
        <v>52</v>
      </c>
      <c r="CJ759" s="68">
        <v>0</v>
      </c>
    </row>
    <row r="760" spans="84:88" x14ac:dyDescent="0.35">
      <c r="CF760">
        <v>27</v>
      </c>
      <c r="CG760" t="s">
        <v>35</v>
      </c>
      <c r="CH760" t="s">
        <v>3</v>
      </c>
      <c r="CI760" t="s">
        <v>53</v>
      </c>
      <c r="CJ760" s="68">
        <v>1</v>
      </c>
    </row>
    <row r="761" spans="84:88" x14ac:dyDescent="0.35">
      <c r="CF761">
        <v>27</v>
      </c>
      <c r="CG761" t="s">
        <v>35</v>
      </c>
      <c r="CH761" t="s">
        <v>3</v>
      </c>
      <c r="CI761" t="s">
        <v>54</v>
      </c>
      <c r="CJ761" s="68">
        <v>1</v>
      </c>
    </row>
    <row r="762" spans="84:88" x14ac:dyDescent="0.35">
      <c r="CF762">
        <v>27</v>
      </c>
      <c r="CG762" t="s">
        <v>35</v>
      </c>
      <c r="CH762" t="s">
        <v>3</v>
      </c>
      <c r="CI762" t="s">
        <v>55</v>
      </c>
      <c r="CJ762" s="68">
        <v>1</v>
      </c>
    </row>
    <row r="763" spans="84:88" x14ac:dyDescent="0.35">
      <c r="CF763">
        <v>27</v>
      </c>
      <c r="CG763" t="s">
        <v>35</v>
      </c>
      <c r="CH763" t="s">
        <v>3</v>
      </c>
      <c r="CI763" t="s">
        <v>56</v>
      </c>
      <c r="CJ763" s="68">
        <v>1</v>
      </c>
    </row>
    <row r="764" spans="84:88" x14ac:dyDescent="0.35">
      <c r="CF764">
        <v>27</v>
      </c>
      <c r="CG764" t="s">
        <v>35</v>
      </c>
      <c r="CH764" t="s">
        <v>3</v>
      </c>
      <c r="CI764" t="s">
        <v>57</v>
      </c>
      <c r="CJ764" s="68">
        <v>1</v>
      </c>
    </row>
    <row r="765" spans="84:88" x14ac:dyDescent="0.35">
      <c r="CF765">
        <v>27</v>
      </c>
      <c r="CG765" t="s">
        <v>35</v>
      </c>
      <c r="CH765" t="s">
        <v>3</v>
      </c>
      <c r="CI765" t="s">
        <v>58</v>
      </c>
      <c r="CJ765" s="68">
        <v>1</v>
      </c>
    </row>
    <row r="766" spans="84:88" x14ac:dyDescent="0.35">
      <c r="CF766">
        <v>27</v>
      </c>
      <c r="CG766" t="s">
        <v>35</v>
      </c>
      <c r="CH766" t="s">
        <v>3</v>
      </c>
      <c r="CI766" t="s">
        <v>59</v>
      </c>
      <c r="CJ766" s="68">
        <v>1</v>
      </c>
    </row>
    <row r="767" spans="84:88" x14ac:dyDescent="0.35">
      <c r="CF767">
        <v>27</v>
      </c>
      <c r="CG767" t="s">
        <v>35</v>
      </c>
      <c r="CH767" t="s">
        <v>3</v>
      </c>
      <c r="CI767" t="s">
        <v>60</v>
      </c>
      <c r="CJ767" s="68">
        <v>1</v>
      </c>
    </row>
    <row r="768" spans="84:88" x14ac:dyDescent="0.35">
      <c r="CF768">
        <v>27</v>
      </c>
      <c r="CG768" t="s">
        <v>35</v>
      </c>
      <c r="CH768" t="s">
        <v>3</v>
      </c>
      <c r="CI768" t="s">
        <v>61</v>
      </c>
      <c r="CJ768" s="68">
        <v>1</v>
      </c>
    </row>
    <row r="769" spans="84:88" x14ac:dyDescent="0.35">
      <c r="CF769">
        <v>27</v>
      </c>
      <c r="CG769" t="s">
        <v>35</v>
      </c>
      <c r="CH769" t="s">
        <v>3</v>
      </c>
      <c r="CI769" t="s">
        <v>62</v>
      </c>
      <c r="CJ769" s="68">
        <v>1</v>
      </c>
    </row>
    <row r="770" spans="84:88" x14ac:dyDescent="0.35">
      <c r="CF770">
        <v>27</v>
      </c>
      <c r="CG770" t="s">
        <v>35</v>
      </c>
      <c r="CH770" t="s">
        <v>3</v>
      </c>
      <c r="CI770" t="s">
        <v>63</v>
      </c>
      <c r="CJ770" s="68">
        <v>1</v>
      </c>
    </row>
    <row r="771" spans="84:88" x14ac:dyDescent="0.35">
      <c r="CF771">
        <v>27</v>
      </c>
      <c r="CG771" t="s">
        <v>35</v>
      </c>
      <c r="CH771" t="s">
        <v>3</v>
      </c>
      <c r="CI771" t="s">
        <v>64</v>
      </c>
      <c r="CJ771" s="68">
        <v>1</v>
      </c>
    </row>
    <row r="772" spans="84:88" x14ac:dyDescent="0.35">
      <c r="CF772">
        <v>27</v>
      </c>
      <c r="CG772" t="s">
        <v>35</v>
      </c>
      <c r="CH772" t="s">
        <v>3</v>
      </c>
      <c r="CI772" t="s">
        <v>65</v>
      </c>
      <c r="CJ772" s="68">
        <v>1</v>
      </c>
    </row>
    <row r="773" spans="84:88" x14ac:dyDescent="0.35">
      <c r="CF773">
        <v>27</v>
      </c>
      <c r="CG773" t="s">
        <v>35</v>
      </c>
      <c r="CH773" t="s">
        <v>3</v>
      </c>
      <c r="CI773" t="s">
        <v>66</v>
      </c>
      <c r="CJ773" s="68">
        <v>1</v>
      </c>
    </row>
    <row r="774" spans="84:88" x14ac:dyDescent="0.35">
      <c r="CF774">
        <v>27</v>
      </c>
      <c r="CG774" t="s">
        <v>35</v>
      </c>
      <c r="CH774" t="s">
        <v>3</v>
      </c>
      <c r="CI774" t="s">
        <v>67</v>
      </c>
      <c r="CJ774" s="68">
        <v>1</v>
      </c>
    </row>
    <row r="775" spans="84:88" x14ac:dyDescent="0.35">
      <c r="CF775">
        <v>27</v>
      </c>
      <c r="CG775" t="s">
        <v>35</v>
      </c>
      <c r="CH775" t="s">
        <v>3</v>
      </c>
      <c r="CI775" t="s">
        <v>68</v>
      </c>
      <c r="CJ775" s="68">
        <v>1</v>
      </c>
    </row>
    <row r="776" spans="84:88" x14ac:dyDescent="0.35">
      <c r="CF776">
        <v>27</v>
      </c>
      <c r="CG776" t="s">
        <v>35</v>
      </c>
      <c r="CH776" t="s">
        <v>3</v>
      </c>
      <c r="CI776" t="s">
        <v>69</v>
      </c>
      <c r="CJ776" s="68">
        <v>1</v>
      </c>
    </row>
    <row r="777" spans="84:88" x14ac:dyDescent="0.35">
      <c r="CF777">
        <v>27</v>
      </c>
      <c r="CG777" t="s">
        <v>35</v>
      </c>
      <c r="CH777" t="s">
        <v>3</v>
      </c>
      <c r="CI777" t="s">
        <v>70</v>
      </c>
      <c r="CJ777" s="68">
        <v>1</v>
      </c>
    </row>
    <row r="778" spans="84:88" x14ac:dyDescent="0.35">
      <c r="CF778">
        <v>27</v>
      </c>
      <c r="CG778" t="s">
        <v>35</v>
      </c>
      <c r="CH778" t="s">
        <v>3</v>
      </c>
      <c r="CI778" t="s">
        <v>71</v>
      </c>
      <c r="CJ778" s="68">
        <v>1</v>
      </c>
    </row>
    <row r="779" spans="84:88" x14ac:dyDescent="0.35">
      <c r="CF779">
        <v>27</v>
      </c>
      <c r="CG779" t="s">
        <v>35</v>
      </c>
      <c r="CH779" t="s">
        <v>3</v>
      </c>
      <c r="CI779" t="s">
        <v>72</v>
      </c>
      <c r="CJ779" s="68">
        <v>1</v>
      </c>
    </row>
    <row r="780" spans="84:88" x14ac:dyDescent="0.35">
      <c r="CF780">
        <v>27</v>
      </c>
      <c r="CG780" t="s">
        <v>35</v>
      </c>
      <c r="CH780" t="s">
        <v>3</v>
      </c>
      <c r="CI780" t="s">
        <v>73</v>
      </c>
      <c r="CJ780" s="68">
        <v>1</v>
      </c>
    </row>
    <row r="781" spans="84:88" x14ac:dyDescent="0.35">
      <c r="CF781">
        <v>27</v>
      </c>
      <c r="CG781" t="s">
        <v>35</v>
      </c>
      <c r="CH781" t="s">
        <v>3</v>
      </c>
      <c r="CI781" t="s">
        <v>74</v>
      </c>
      <c r="CJ781" s="68">
        <v>1</v>
      </c>
    </row>
    <row r="782" spans="84:88" x14ac:dyDescent="0.35">
      <c r="CF782">
        <v>27</v>
      </c>
      <c r="CG782" t="s">
        <v>35</v>
      </c>
      <c r="CH782" t="s">
        <v>3</v>
      </c>
      <c r="CI782" t="s">
        <v>75</v>
      </c>
      <c r="CJ782" s="68">
        <v>1</v>
      </c>
    </row>
    <row r="783" spans="84:88" x14ac:dyDescent="0.35">
      <c r="CF783">
        <v>27</v>
      </c>
      <c r="CG783" t="s">
        <v>35</v>
      </c>
      <c r="CH783" t="s">
        <v>3</v>
      </c>
      <c r="CI783" t="s">
        <v>76</v>
      </c>
      <c r="CJ783" s="68">
        <v>1</v>
      </c>
    </row>
    <row r="784" spans="84:88" x14ac:dyDescent="0.35">
      <c r="CF784">
        <v>27</v>
      </c>
      <c r="CG784" t="s">
        <v>35</v>
      </c>
      <c r="CH784" t="s">
        <v>3</v>
      </c>
      <c r="CI784" t="s">
        <v>77</v>
      </c>
      <c r="CJ784" s="68">
        <v>1</v>
      </c>
    </row>
    <row r="785" spans="84:88" x14ac:dyDescent="0.35">
      <c r="CF785">
        <v>27</v>
      </c>
      <c r="CG785" t="s">
        <v>35</v>
      </c>
      <c r="CH785" t="s">
        <v>3</v>
      </c>
      <c r="CI785" t="s">
        <v>78</v>
      </c>
      <c r="CJ785" s="68">
        <v>1</v>
      </c>
    </row>
    <row r="786" spans="84:88" x14ac:dyDescent="0.35">
      <c r="CF786">
        <v>27</v>
      </c>
      <c r="CG786" t="s">
        <v>35</v>
      </c>
      <c r="CH786" t="s">
        <v>3</v>
      </c>
      <c r="CI786" t="s">
        <v>79</v>
      </c>
      <c r="CJ786" s="68">
        <v>1</v>
      </c>
    </row>
    <row r="787" spans="84:88" x14ac:dyDescent="0.35">
      <c r="CF787">
        <v>27</v>
      </c>
      <c r="CG787" t="s">
        <v>35</v>
      </c>
      <c r="CH787" t="s">
        <v>3</v>
      </c>
      <c r="CI787" t="s">
        <v>80</v>
      </c>
      <c r="CJ787" s="68">
        <v>1</v>
      </c>
    </row>
  </sheetData>
  <mergeCells count="10">
    <mergeCell ref="B2:E2"/>
    <mergeCell ref="G2:J2"/>
    <mergeCell ref="L2:O2"/>
    <mergeCell ref="V2:Y2"/>
    <mergeCell ref="Q2:T2"/>
    <mergeCell ref="CZ2:DF2"/>
    <mergeCell ref="CR3:CS3"/>
    <mergeCell ref="AU7:CB7"/>
    <mergeCell ref="AU2:BZ2"/>
    <mergeCell ref="CF2:CJ2"/>
  </mergeCells>
  <phoneticPr fontId="11"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04C-4AFA-4375-BCE4-EB010E7E2D09}">
  <sheetPr codeName="Sheet6"/>
  <dimension ref="A4:P551"/>
  <sheetViews>
    <sheetView topLeftCell="A162" zoomScale="70" zoomScaleNormal="70" workbookViewId="0">
      <selection activeCell="B203" sqref="B203:D236"/>
    </sheetView>
  </sheetViews>
  <sheetFormatPr defaultRowHeight="14.5" x14ac:dyDescent="0.35"/>
  <cols>
    <col min="2" max="2" width="11.1796875" bestFit="1" customWidth="1"/>
    <col min="3" max="3" width="17.36328125" bestFit="1" customWidth="1"/>
    <col min="4" max="4" width="9" bestFit="1" customWidth="1"/>
    <col min="5" max="5" width="10.453125" bestFit="1" customWidth="1"/>
    <col min="6" max="6" width="23.26953125" bestFit="1" customWidth="1"/>
    <col min="7" max="7" width="16.1796875" bestFit="1" customWidth="1"/>
    <col min="8" max="8" width="11.81640625" bestFit="1" customWidth="1"/>
    <col min="9" max="9" width="10.81640625" customWidth="1"/>
    <col min="10" max="10" width="12.453125" customWidth="1"/>
    <col min="11" max="11" width="1.81640625" bestFit="1" customWidth="1"/>
    <col min="12" max="33" width="2.81640625" bestFit="1" customWidth="1"/>
    <col min="34" max="34" width="10.7265625" bestFit="1" customWidth="1"/>
  </cols>
  <sheetData>
    <row r="4" spans="1:11" x14ac:dyDescent="0.35">
      <c r="B4" s="87" t="s">
        <v>31</v>
      </c>
      <c r="C4" t="s">
        <v>113</v>
      </c>
    </row>
    <row r="5" spans="1:11" ht="15" thickBot="1" x14ac:dyDescent="0.4">
      <c r="B5" s="87" t="s">
        <v>29</v>
      </c>
      <c r="C5" t="s">
        <v>113</v>
      </c>
      <c r="G5" t="s">
        <v>99</v>
      </c>
    </row>
    <row r="6" spans="1:11" ht="15" thickBot="1" x14ac:dyDescent="0.4">
      <c r="G6" s="108" t="s">
        <v>29</v>
      </c>
      <c r="H6" s="98" t="s">
        <v>94</v>
      </c>
      <c r="I6" s="109" t="s">
        <v>95</v>
      </c>
      <c r="J6" s="110"/>
      <c r="K6" s="70"/>
    </row>
    <row r="7" spans="1:11" x14ac:dyDescent="0.35">
      <c r="A7" t="s">
        <v>100</v>
      </c>
      <c r="B7" s="87" t="s">
        <v>87</v>
      </c>
      <c r="C7" t="s">
        <v>91</v>
      </c>
      <c r="G7" s="99" t="s">
        <v>13</v>
      </c>
      <c r="H7" s="105">
        <f>IFERROR(GETPIVOTDATA("NO",$B$7,"Status","CLOSE"),0)</f>
        <v>19</v>
      </c>
      <c r="I7" s="100">
        <f>IFERROR((H7/H10),0)</f>
        <v>0.70370370370370372</v>
      </c>
      <c r="J7" s="100">
        <f>100%-I7</f>
        <v>0.29629629629629628</v>
      </c>
      <c r="K7" s="70"/>
    </row>
    <row r="8" spans="1:11" x14ac:dyDescent="0.35">
      <c r="B8" s="88" t="s">
        <v>13</v>
      </c>
      <c r="C8">
        <v>19</v>
      </c>
      <c r="G8" s="101" t="s">
        <v>38</v>
      </c>
      <c r="H8" s="106">
        <f>IFERROR(GETPIVOTDATA("NO",$B$7,"Status","OPEN"),0)</f>
        <v>1</v>
      </c>
      <c r="I8" s="102">
        <f>IFERROR(((H8+H9)/H10),0)</f>
        <v>0.29629629629629628</v>
      </c>
      <c r="J8" s="101"/>
      <c r="K8" s="70"/>
    </row>
    <row r="9" spans="1:11" x14ac:dyDescent="0.35">
      <c r="B9" s="88" t="s">
        <v>92</v>
      </c>
      <c r="C9">
        <v>7</v>
      </c>
      <c r="G9" s="103" t="s">
        <v>92</v>
      </c>
      <c r="H9" s="107">
        <f>IFERROR(GETPIVOTDATA("NO",$B$7,"Status","ON PROGRESS"),0)</f>
        <v>7</v>
      </c>
      <c r="I9" s="103"/>
      <c r="J9" s="103"/>
      <c r="K9" s="70"/>
    </row>
    <row r="10" spans="1:11" ht="15" thickBot="1" x14ac:dyDescent="0.4">
      <c r="B10" s="88" t="s">
        <v>38</v>
      </c>
      <c r="C10">
        <v>1</v>
      </c>
      <c r="G10" s="104" t="s">
        <v>96</v>
      </c>
      <c r="H10" s="104">
        <f>SUM(H7:H9)</f>
        <v>27</v>
      </c>
      <c r="I10" s="104"/>
      <c r="J10" s="104"/>
    </row>
    <row r="11" spans="1:11" x14ac:dyDescent="0.35">
      <c r="B11" s="88" t="s">
        <v>88</v>
      </c>
      <c r="C11">
        <v>27</v>
      </c>
    </row>
    <row r="15" spans="1:11" x14ac:dyDescent="0.35">
      <c r="B15" s="87" t="s">
        <v>31</v>
      </c>
      <c r="C15" t="s">
        <v>113</v>
      </c>
    </row>
    <row r="16" spans="1:11" x14ac:dyDescent="0.35">
      <c r="B16" s="87" t="s">
        <v>29</v>
      </c>
      <c r="C16" t="s">
        <v>113</v>
      </c>
    </row>
    <row r="17" spans="1:8" ht="15" thickBot="1" x14ac:dyDescent="0.4">
      <c r="G17" t="s">
        <v>98</v>
      </c>
    </row>
    <row r="18" spans="1:8" ht="15" thickBot="1" x14ac:dyDescent="0.4">
      <c r="A18" t="s">
        <v>101</v>
      </c>
      <c r="C18" s="87" t="s">
        <v>90</v>
      </c>
      <c r="G18" s="98" t="s">
        <v>94</v>
      </c>
      <c r="H18" s="111" t="s">
        <v>27</v>
      </c>
    </row>
    <row r="19" spans="1:8" x14ac:dyDescent="0.35">
      <c r="C19" t="s">
        <v>151</v>
      </c>
      <c r="D19" t="s">
        <v>97</v>
      </c>
      <c r="G19" s="99">
        <f>IFERROR(GETPIVOTDATA("NO",$B$18,"Due Status",H19),0)</f>
        <v>0</v>
      </c>
      <c r="H19" s="99" t="s">
        <v>102</v>
      </c>
    </row>
    <row r="20" spans="1:8" x14ac:dyDescent="0.35">
      <c r="B20" t="s">
        <v>91</v>
      </c>
      <c r="C20">
        <v>1</v>
      </c>
      <c r="D20">
        <v>7</v>
      </c>
      <c r="G20" s="101">
        <f t="shared" ref="G20:G23" si="0">IFERROR(GETPIVOTDATA("NO",$B$18,"Due Status",H20),0)</f>
        <v>1</v>
      </c>
      <c r="H20" s="101" t="s">
        <v>103</v>
      </c>
    </row>
    <row r="21" spans="1:8" x14ac:dyDescent="0.35">
      <c r="G21" s="103">
        <f t="shared" si="0"/>
        <v>0</v>
      </c>
      <c r="H21" s="103" t="s">
        <v>104</v>
      </c>
    </row>
    <row r="22" spans="1:8" x14ac:dyDescent="0.35">
      <c r="G22" s="112">
        <f t="shared" si="0"/>
        <v>0</v>
      </c>
      <c r="H22" s="112" t="s">
        <v>105</v>
      </c>
    </row>
    <row r="23" spans="1:8" x14ac:dyDescent="0.35">
      <c r="G23" s="113">
        <f t="shared" si="0"/>
        <v>7</v>
      </c>
      <c r="H23" s="113" t="s">
        <v>106</v>
      </c>
    </row>
    <row r="24" spans="1:8" ht="15" thickBot="1" x14ac:dyDescent="0.4">
      <c r="G24" s="104"/>
      <c r="H24" s="104"/>
    </row>
    <row r="32" spans="1:8" x14ac:dyDescent="0.35">
      <c r="A32" t="s">
        <v>141</v>
      </c>
      <c r="B32" s="87" t="s">
        <v>31</v>
      </c>
      <c r="C32" t="s">
        <v>113</v>
      </c>
    </row>
    <row r="33" spans="2:16" x14ac:dyDescent="0.35">
      <c r="B33" s="87" t="s">
        <v>29</v>
      </c>
      <c r="C33" t="s">
        <v>113</v>
      </c>
    </row>
    <row r="34" spans="2:16" ht="15" thickBot="1" x14ac:dyDescent="0.4"/>
    <row r="35" spans="2:16" ht="15" thickBot="1" x14ac:dyDescent="0.4">
      <c r="B35" s="87" t="s">
        <v>109</v>
      </c>
      <c r="C35" s="87" t="s">
        <v>90</v>
      </c>
      <c r="I35" s="115"/>
      <c r="J35" s="116"/>
      <c r="K35" s="116"/>
      <c r="L35" s="116"/>
      <c r="M35" s="116"/>
      <c r="N35" s="117"/>
      <c r="O35" s="118" t="s">
        <v>38</v>
      </c>
      <c r="P35" s="119" t="s">
        <v>107</v>
      </c>
    </row>
    <row r="36" spans="2:16" ht="15" thickBot="1" x14ac:dyDescent="0.4">
      <c r="B36" s="87" t="s">
        <v>87</v>
      </c>
      <c r="C36" t="s">
        <v>38</v>
      </c>
      <c r="D36" t="s">
        <v>92</v>
      </c>
      <c r="E36" t="s">
        <v>13</v>
      </c>
      <c r="I36" s="120" t="s">
        <v>110</v>
      </c>
      <c r="J36" s="120" t="s">
        <v>96</v>
      </c>
      <c r="K36" s="120" t="s">
        <v>38</v>
      </c>
      <c r="L36" s="120" t="s">
        <v>111</v>
      </c>
      <c r="M36" s="120" t="s">
        <v>112</v>
      </c>
      <c r="N36" s="120" t="s">
        <v>13</v>
      </c>
      <c r="O36" s="269" t="s">
        <v>95</v>
      </c>
      <c r="P36" s="269"/>
    </row>
    <row r="37" spans="2:16" x14ac:dyDescent="0.35">
      <c r="B37" s="88" t="s">
        <v>7</v>
      </c>
      <c r="E37">
        <v>3</v>
      </c>
      <c r="I37" s="121" t="str">
        <f t="shared" ref="I37:I51" si="1">IF(B37&lt;&gt;"",B37,NA())</f>
        <v>AGUS Y</v>
      </c>
      <c r="J37" s="121">
        <f t="shared" ref="J37:J51" si="2">IFERROR(IF(B37&lt;&gt;"",SUM(M37:N37),""),0)</f>
        <v>3</v>
      </c>
      <c r="K37" s="121">
        <f t="shared" ref="K37:K51" si="3">IFERROR(IF(B37&lt;&gt;"",GETPIVOTDATA("Count of STATUS",$B$35,"PIC",B37,"STATUS","OPEN"),""),0)</f>
        <v>0</v>
      </c>
      <c r="L37" s="121">
        <f t="shared" ref="L37:L51" si="4">IFERROR(IF(B37&lt;&gt;"",GETPIVOTDATA("Count of STATUS",$B$35,"PIC",B37,"STATUS","ON PROGRESS"),""),0)</f>
        <v>0</v>
      </c>
      <c r="M37" s="121">
        <f>K37+L37</f>
        <v>0</v>
      </c>
      <c r="N37" s="121">
        <f t="shared" ref="N37:N51" si="5">IFERROR(IF(B37&lt;&gt;"",GETPIVOTDATA("Count of STATUS",$B$35,"PIC",B37,"STATUS","CLOSE"),""),0)</f>
        <v>3</v>
      </c>
      <c r="O37" s="130">
        <f t="shared" ref="O37:O51" si="6">IF(B37&lt;&gt;"",(K37+L37)/J37,"")</f>
        <v>0</v>
      </c>
      <c r="P37" s="122">
        <f>IFERROR(1-O37,NA())</f>
        <v>1</v>
      </c>
    </row>
    <row r="38" spans="2:16" x14ac:dyDescent="0.35">
      <c r="B38" s="88" t="s">
        <v>8</v>
      </c>
      <c r="E38">
        <v>2</v>
      </c>
      <c r="I38" s="123" t="str">
        <f t="shared" si="1"/>
        <v>AMIN</v>
      </c>
      <c r="J38" s="123">
        <f t="shared" si="2"/>
        <v>2</v>
      </c>
      <c r="K38" s="123">
        <f t="shared" si="3"/>
        <v>0</v>
      </c>
      <c r="L38" s="123">
        <f t="shared" si="4"/>
        <v>0</v>
      </c>
      <c r="M38" s="123">
        <f t="shared" ref="M38:M51" si="7">K38+L38</f>
        <v>0</v>
      </c>
      <c r="N38" s="123">
        <f t="shared" si="5"/>
        <v>2</v>
      </c>
      <c r="O38" s="131">
        <f t="shared" si="6"/>
        <v>0</v>
      </c>
      <c r="P38" s="124">
        <f t="shared" ref="P38:P47" si="8">IFERROR(1-O38,NA())</f>
        <v>1</v>
      </c>
    </row>
    <row r="39" spans="2:16" x14ac:dyDescent="0.35">
      <c r="B39" s="88" t="s">
        <v>4</v>
      </c>
      <c r="D39">
        <v>4</v>
      </c>
      <c r="E39">
        <v>2</v>
      </c>
      <c r="I39" s="125" t="str">
        <f t="shared" si="1"/>
        <v>ANDREAS</v>
      </c>
      <c r="J39" s="125">
        <f t="shared" si="2"/>
        <v>6</v>
      </c>
      <c r="K39" s="125">
        <f t="shared" si="3"/>
        <v>0</v>
      </c>
      <c r="L39" s="125">
        <f t="shared" si="4"/>
        <v>4</v>
      </c>
      <c r="M39" s="125">
        <f t="shared" si="7"/>
        <v>4</v>
      </c>
      <c r="N39" s="125">
        <f t="shared" si="5"/>
        <v>2</v>
      </c>
      <c r="O39" s="132">
        <f t="shared" si="6"/>
        <v>0.66666666666666663</v>
      </c>
      <c r="P39" s="126">
        <f t="shared" si="8"/>
        <v>0.33333333333333337</v>
      </c>
    </row>
    <row r="40" spans="2:16" x14ac:dyDescent="0.35">
      <c r="B40" s="88" t="s">
        <v>15</v>
      </c>
      <c r="E40">
        <v>1</v>
      </c>
      <c r="I40" s="123" t="str">
        <f t="shared" si="1"/>
        <v>GS</v>
      </c>
      <c r="J40" s="123">
        <f t="shared" si="2"/>
        <v>1</v>
      </c>
      <c r="K40" s="123">
        <f t="shared" si="3"/>
        <v>0</v>
      </c>
      <c r="L40" s="123">
        <f t="shared" si="4"/>
        <v>0</v>
      </c>
      <c r="M40" s="123">
        <f t="shared" si="7"/>
        <v>0</v>
      </c>
      <c r="N40" s="123">
        <f t="shared" si="5"/>
        <v>1</v>
      </c>
      <c r="O40" s="131">
        <f t="shared" si="6"/>
        <v>0</v>
      </c>
      <c r="P40" s="124">
        <f t="shared" si="8"/>
        <v>1</v>
      </c>
    </row>
    <row r="41" spans="2:16" x14ac:dyDescent="0.35">
      <c r="B41" s="88" t="s">
        <v>16</v>
      </c>
      <c r="E41">
        <v>2</v>
      </c>
      <c r="I41" s="125" t="str">
        <f t="shared" si="1"/>
        <v>GS HO</v>
      </c>
      <c r="J41" s="125">
        <f t="shared" si="2"/>
        <v>2</v>
      </c>
      <c r="K41" s="125">
        <f t="shared" si="3"/>
        <v>0</v>
      </c>
      <c r="L41" s="125">
        <f t="shared" si="4"/>
        <v>0</v>
      </c>
      <c r="M41" s="125">
        <f t="shared" si="7"/>
        <v>0</v>
      </c>
      <c r="N41" s="125">
        <f t="shared" si="5"/>
        <v>2</v>
      </c>
      <c r="O41" s="132">
        <f t="shared" si="6"/>
        <v>0</v>
      </c>
      <c r="P41" s="127">
        <f t="shared" si="8"/>
        <v>1</v>
      </c>
    </row>
    <row r="42" spans="2:16" x14ac:dyDescent="0.35">
      <c r="B42" s="88" t="s">
        <v>5</v>
      </c>
      <c r="C42">
        <v>1</v>
      </c>
      <c r="D42">
        <v>1</v>
      </c>
      <c r="I42" s="123" t="str">
        <f t="shared" si="1"/>
        <v>HC</v>
      </c>
      <c r="J42" s="123">
        <f t="shared" si="2"/>
        <v>2</v>
      </c>
      <c r="K42" s="123">
        <f t="shared" si="3"/>
        <v>1</v>
      </c>
      <c r="L42" s="123">
        <f t="shared" si="4"/>
        <v>1</v>
      </c>
      <c r="M42" s="123">
        <f t="shared" si="7"/>
        <v>2</v>
      </c>
      <c r="N42" s="123">
        <f t="shared" si="5"/>
        <v>0</v>
      </c>
      <c r="O42" s="131">
        <f t="shared" si="6"/>
        <v>1</v>
      </c>
      <c r="P42" s="128">
        <f t="shared" si="8"/>
        <v>0</v>
      </c>
    </row>
    <row r="43" spans="2:16" x14ac:dyDescent="0.35">
      <c r="B43" s="88" t="s">
        <v>9</v>
      </c>
      <c r="E43">
        <v>2</v>
      </c>
      <c r="I43" s="125" t="str">
        <f t="shared" si="1"/>
        <v>HO</v>
      </c>
      <c r="J43" s="125">
        <f t="shared" si="2"/>
        <v>2</v>
      </c>
      <c r="K43" s="125">
        <f t="shared" si="3"/>
        <v>0</v>
      </c>
      <c r="L43" s="125">
        <f t="shared" si="4"/>
        <v>0</v>
      </c>
      <c r="M43" s="125">
        <f t="shared" si="7"/>
        <v>0</v>
      </c>
      <c r="N43" s="125">
        <f t="shared" si="5"/>
        <v>2</v>
      </c>
      <c r="O43" s="132">
        <f t="shared" si="6"/>
        <v>0</v>
      </c>
      <c r="P43" s="127">
        <f t="shared" si="8"/>
        <v>1</v>
      </c>
    </row>
    <row r="44" spans="2:16" x14ac:dyDescent="0.35">
      <c r="B44" s="88" t="s">
        <v>12</v>
      </c>
      <c r="E44">
        <v>1</v>
      </c>
      <c r="I44" s="123" t="str">
        <f t="shared" si="1"/>
        <v>OLOWAN</v>
      </c>
      <c r="J44" s="123">
        <f t="shared" si="2"/>
        <v>1</v>
      </c>
      <c r="K44" s="123">
        <f t="shared" si="3"/>
        <v>0</v>
      </c>
      <c r="L44" s="123">
        <f t="shared" si="4"/>
        <v>0</v>
      </c>
      <c r="M44" s="123">
        <f t="shared" si="7"/>
        <v>0</v>
      </c>
      <c r="N44" s="123">
        <f t="shared" si="5"/>
        <v>1</v>
      </c>
      <c r="O44" s="131">
        <f t="shared" si="6"/>
        <v>0</v>
      </c>
      <c r="P44" s="128">
        <f t="shared" si="8"/>
        <v>1</v>
      </c>
    </row>
    <row r="45" spans="2:16" x14ac:dyDescent="0.35">
      <c r="B45" s="88" t="s">
        <v>10</v>
      </c>
      <c r="E45">
        <v>1</v>
      </c>
      <c r="I45" s="125" t="str">
        <f t="shared" si="1"/>
        <v>PLANT-LOG</v>
      </c>
      <c r="J45" s="125">
        <f t="shared" si="2"/>
        <v>1</v>
      </c>
      <c r="K45" s="125">
        <f t="shared" si="3"/>
        <v>0</v>
      </c>
      <c r="L45" s="125">
        <f t="shared" si="4"/>
        <v>0</v>
      </c>
      <c r="M45" s="125">
        <f t="shared" si="7"/>
        <v>0</v>
      </c>
      <c r="N45" s="125">
        <f t="shared" si="5"/>
        <v>1</v>
      </c>
      <c r="O45" s="132">
        <f t="shared" si="6"/>
        <v>0</v>
      </c>
      <c r="P45" s="127">
        <f t="shared" si="8"/>
        <v>1</v>
      </c>
    </row>
    <row r="46" spans="2:16" x14ac:dyDescent="0.35">
      <c r="B46" s="88" t="s">
        <v>6</v>
      </c>
      <c r="D46">
        <v>2</v>
      </c>
      <c r="E46">
        <v>3</v>
      </c>
      <c r="I46" s="123" t="str">
        <f t="shared" si="1"/>
        <v>SLD</v>
      </c>
      <c r="J46" s="123">
        <f t="shared" si="2"/>
        <v>5</v>
      </c>
      <c r="K46" s="123">
        <f t="shared" si="3"/>
        <v>0</v>
      </c>
      <c r="L46" s="123">
        <f t="shared" si="4"/>
        <v>2</v>
      </c>
      <c r="M46" s="123">
        <f t="shared" si="7"/>
        <v>2</v>
      </c>
      <c r="N46" s="123">
        <f t="shared" si="5"/>
        <v>3</v>
      </c>
      <c r="O46" s="131">
        <f t="shared" si="6"/>
        <v>0.4</v>
      </c>
      <c r="P46" s="128">
        <f t="shared" si="8"/>
        <v>0.6</v>
      </c>
    </row>
    <row r="47" spans="2:16" x14ac:dyDescent="0.35">
      <c r="B47" s="88" t="s">
        <v>11</v>
      </c>
      <c r="E47">
        <v>2</v>
      </c>
      <c r="I47" s="125" t="str">
        <f t="shared" si="1"/>
        <v>YOHANES</v>
      </c>
      <c r="J47" s="125">
        <f t="shared" si="2"/>
        <v>2</v>
      </c>
      <c r="K47" s="125">
        <f t="shared" si="3"/>
        <v>0</v>
      </c>
      <c r="L47" s="125">
        <f t="shared" si="4"/>
        <v>0</v>
      </c>
      <c r="M47" s="125">
        <f t="shared" si="7"/>
        <v>0</v>
      </c>
      <c r="N47" s="125">
        <f t="shared" si="5"/>
        <v>2</v>
      </c>
      <c r="O47" s="132">
        <f t="shared" si="6"/>
        <v>0</v>
      </c>
      <c r="P47" s="127">
        <f t="shared" si="8"/>
        <v>1</v>
      </c>
    </row>
    <row r="48" spans="2:16" x14ac:dyDescent="0.35">
      <c r="I48" s="123" t="e">
        <f t="shared" si="1"/>
        <v>#N/A</v>
      </c>
      <c r="J48" s="123" t="str">
        <f t="shared" si="2"/>
        <v/>
      </c>
      <c r="K48" s="123" t="str">
        <f t="shared" si="3"/>
        <v/>
      </c>
      <c r="L48" s="123" t="str">
        <f t="shared" si="4"/>
        <v/>
      </c>
      <c r="M48" s="123" t="e">
        <f t="shared" si="7"/>
        <v>#VALUE!</v>
      </c>
      <c r="N48" s="123" t="str">
        <f t="shared" si="5"/>
        <v/>
      </c>
      <c r="O48" s="131" t="str">
        <f t="shared" si="6"/>
        <v/>
      </c>
      <c r="P48" s="127" t="e">
        <f t="shared" ref="P48:P51" si="9">IFERROR(1-O48,NA())</f>
        <v>#N/A</v>
      </c>
    </row>
    <row r="49" spans="1:16" x14ac:dyDescent="0.35">
      <c r="I49" s="125" t="e">
        <f t="shared" si="1"/>
        <v>#N/A</v>
      </c>
      <c r="J49" s="125" t="str">
        <f t="shared" si="2"/>
        <v/>
      </c>
      <c r="K49" s="125" t="str">
        <f t="shared" si="3"/>
        <v/>
      </c>
      <c r="L49" s="125" t="str">
        <f t="shared" si="4"/>
        <v/>
      </c>
      <c r="M49" s="125" t="e">
        <f t="shared" si="7"/>
        <v>#VALUE!</v>
      </c>
      <c r="N49" s="125" t="str">
        <f t="shared" si="5"/>
        <v/>
      </c>
      <c r="O49" s="132" t="str">
        <f t="shared" si="6"/>
        <v/>
      </c>
      <c r="P49" s="127" t="e">
        <f t="shared" si="9"/>
        <v>#N/A</v>
      </c>
    </row>
    <row r="50" spans="1:16" x14ac:dyDescent="0.35">
      <c r="B50" s="88"/>
      <c r="I50" s="123" t="e">
        <f t="shared" si="1"/>
        <v>#N/A</v>
      </c>
      <c r="J50" s="123" t="str">
        <f t="shared" si="2"/>
        <v/>
      </c>
      <c r="K50" s="123" t="str">
        <f t="shared" si="3"/>
        <v/>
      </c>
      <c r="L50" s="123" t="str">
        <f t="shared" si="4"/>
        <v/>
      </c>
      <c r="M50" s="123" t="e">
        <f t="shared" si="7"/>
        <v>#VALUE!</v>
      </c>
      <c r="N50" s="123" t="str">
        <f t="shared" si="5"/>
        <v/>
      </c>
      <c r="O50" s="131" t="str">
        <f t="shared" si="6"/>
        <v/>
      </c>
      <c r="P50" s="127" t="e">
        <f t="shared" si="9"/>
        <v>#N/A</v>
      </c>
    </row>
    <row r="51" spans="1:16" ht="15" thickBot="1" x14ac:dyDescent="0.4">
      <c r="B51" s="88"/>
      <c r="I51" s="129" t="e">
        <f t="shared" si="1"/>
        <v>#N/A</v>
      </c>
      <c r="J51" s="129" t="str">
        <f t="shared" si="2"/>
        <v/>
      </c>
      <c r="K51" s="129" t="str">
        <f t="shared" si="3"/>
        <v/>
      </c>
      <c r="L51" s="129" t="str">
        <f t="shared" si="4"/>
        <v/>
      </c>
      <c r="M51" s="129" t="e">
        <f t="shared" si="7"/>
        <v>#VALUE!</v>
      </c>
      <c r="N51" s="129" t="str">
        <f t="shared" si="5"/>
        <v/>
      </c>
      <c r="O51" s="133" t="str">
        <f t="shared" si="6"/>
        <v/>
      </c>
      <c r="P51" s="133" t="e">
        <f t="shared" si="9"/>
        <v>#N/A</v>
      </c>
    </row>
    <row r="52" spans="1:16" x14ac:dyDescent="0.35">
      <c r="B52" s="88"/>
    </row>
    <row r="53" spans="1:16" x14ac:dyDescent="0.35">
      <c r="B53" s="88"/>
    </row>
    <row r="54" spans="1:16" x14ac:dyDescent="0.35">
      <c r="B54" s="88"/>
    </row>
    <row r="55" spans="1:16" x14ac:dyDescent="0.35">
      <c r="B55" s="88"/>
    </row>
    <row r="56" spans="1:16" x14ac:dyDescent="0.35">
      <c r="A56" t="s">
        <v>143</v>
      </c>
      <c r="B56" s="87" t="s">
        <v>31</v>
      </c>
      <c r="C56" t="s">
        <v>113</v>
      </c>
    </row>
    <row r="57" spans="1:16" x14ac:dyDescent="0.35">
      <c r="B57" s="87" t="s">
        <v>29</v>
      </c>
      <c r="C57" t="s">
        <v>113</v>
      </c>
    </row>
    <row r="59" spans="1:16" x14ac:dyDescent="0.35">
      <c r="B59" s="87" t="s">
        <v>87</v>
      </c>
      <c r="C59" t="s">
        <v>95</v>
      </c>
    </row>
    <row r="60" spans="1:16" x14ac:dyDescent="0.35">
      <c r="B60" s="88" t="s">
        <v>7</v>
      </c>
      <c r="C60" s="77">
        <v>1</v>
      </c>
    </row>
    <row r="61" spans="1:16" x14ac:dyDescent="0.35">
      <c r="B61" s="88" t="s">
        <v>8</v>
      </c>
      <c r="C61" s="77">
        <v>1</v>
      </c>
    </row>
    <row r="62" spans="1:16" x14ac:dyDescent="0.35">
      <c r="B62" s="88" t="s">
        <v>4</v>
      </c>
      <c r="C62" s="77">
        <v>0.33333333333333331</v>
      </c>
    </row>
    <row r="63" spans="1:16" x14ac:dyDescent="0.35">
      <c r="B63" s="88" t="s">
        <v>15</v>
      </c>
      <c r="C63" s="77">
        <v>1</v>
      </c>
    </row>
    <row r="64" spans="1:16" x14ac:dyDescent="0.35">
      <c r="B64" s="88" t="s">
        <v>16</v>
      </c>
      <c r="C64" s="77">
        <v>1</v>
      </c>
    </row>
    <row r="65" spans="2:3" x14ac:dyDescent="0.35">
      <c r="B65" s="88" t="s">
        <v>5</v>
      </c>
      <c r="C65" s="77">
        <v>0</v>
      </c>
    </row>
    <row r="66" spans="2:3" x14ac:dyDescent="0.35">
      <c r="B66" s="88" t="s">
        <v>9</v>
      </c>
      <c r="C66" s="77">
        <v>1</v>
      </c>
    </row>
    <row r="67" spans="2:3" x14ac:dyDescent="0.35">
      <c r="B67" s="88" t="s">
        <v>12</v>
      </c>
      <c r="C67" s="77">
        <v>1</v>
      </c>
    </row>
    <row r="68" spans="2:3" x14ac:dyDescent="0.35">
      <c r="B68" s="88" t="s">
        <v>10</v>
      </c>
      <c r="C68" s="77">
        <v>1</v>
      </c>
    </row>
    <row r="69" spans="2:3" x14ac:dyDescent="0.35">
      <c r="B69" s="88" t="s">
        <v>6</v>
      </c>
      <c r="C69" s="77">
        <v>0.6</v>
      </c>
    </row>
    <row r="70" spans="2:3" x14ac:dyDescent="0.35">
      <c r="B70" s="88" t="s">
        <v>11</v>
      </c>
      <c r="C70" s="77">
        <v>1</v>
      </c>
    </row>
    <row r="86" spans="2:6" x14ac:dyDescent="0.35">
      <c r="B86" s="88"/>
    </row>
    <row r="88" spans="2:6" x14ac:dyDescent="0.35">
      <c r="B88" s="87" t="s">
        <v>89</v>
      </c>
      <c r="C88" s="87" t="s">
        <v>90</v>
      </c>
      <c r="F88" t="s">
        <v>19</v>
      </c>
    </row>
    <row r="89" spans="2:6" x14ac:dyDescent="0.35">
      <c r="B89" s="87" t="s">
        <v>87</v>
      </c>
      <c r="C89" t="s">
        <v>21</v>
      </c>
      <c r="D89" t="s">
        <v>22</v>
      </c>
    </row>
    <row r="90" spans="2:6" x14ac:dyDescent="0.35">
      <c r="B90" s="70">
        <v>1</v>
      </c>
      <c r="C90">
        <v>16</v>
      </c>
      <c r="D90">
        <v>15</v>
      </c>
    </row>
    <row r="91" spans="2:6" x14ac:dyDescent="0.35">
      <c r="B91" s="70">
        <v>2</v>
      </c>
      <c r="C91">
        <v>16</v>
      </c>
      <c r="D91">
        <v>13</v>
      </c>
    </row>
    <row r="92" spans="2:6" x14ac:dyDescent="0.35">
      <c r="B92" s="70">
        <v>3</v>
      </c>
      <c r="C92">
        <v>16</v>
      </c>
      <c r="D92">
        <v>14</v>
      </c>
    </row>
    <row r="93" spans="2:6" x14ac:dyDescent="0.35">
      <c r="B93" s="70">
        <v>4</v>
      </c>
      <c r="C93">
        <v>16</v>
      </c>
      <c r="D93">
        <v>11</v>
      </c>
    </row>
    <row r="94" spans="2:6" x14ac:dyDescent="0.35">
      <c r="B94" s="70">
        <v>5</v>
      </c>
      <c r="C94">
        <v>16</v>
      </c>
      <c r="D94">
        <v>16</v>
      </c>
    </row>
    <row r="95" spans="2:6" x14ac:dyDescent="0.35">
      <c r="B95" s="70">
        <v>6</v>
      </c>
      <c r="C95">
        <v>16</v>
      </c>
      <c r="D95">
        <v>14</v>
      </c>
    </row>
    <row r="96" spans="2:6" x14ac:dyDescent="0.35">
      <c r="B96" s="70">
        <v>7</v>
      </c>
      <c r="C96">
        <v>16</v>
      </c>
      <c r="D96">
        <v>16</v>
      </c>
    </row>
    <row r="97" spans="2:4" x14ac:dyDescent="0.35">
      <c r="B97" s="70">
        <v>8</v>
      </c>
      <c r="C97">
        <v>16</v>
      </c>
      <c r="D97">
        <v>15</v>
      </c>
    </row>
    <row r="98" spans="2:4" x14ac:dyDescent="0.35">
      <c r="B98" s="70">
        <v>9</v>
      </c>
      <c r="C98">
        <v>16</v>
      </c>
      <c r="D98">
        <v>13</v>
      </c>
    </row>
    <row r="99" spans="2:4" x14ac:dyDescent="0.35">
      <c r="B99" s="70">
        <v>10</v>
      </c>
      <c r="C99">
        <v>16</v>
      </c>
      <c r="D99">
        <v>14</v>
      </c>
    </row>
    <row r="100" spans="2:4" x14ac:dyDescent="0.35">
      <c r="B100" s="70">
        <v>11</v>
      </c>
      <c r="C100">
        <v>16</v>
      </c>
      <c r="D100">
        <v>11</v>
      </c>
    </row>
    <row r="101" spans="2:4" x14ac:dyDescent="0.35">
      <c r="B101" s="70">
        <v>12</v>
      </c>
      <c r="C101">
        <v>16</v>
      </c>
      <c r="D101">
        <v>16</v>
      </c>
    </row>
    <row r="102" spans="2:4" x14ac:dyDescent="0.35">
      <c r="B102" s="70">
        <v>13</v>
      </c>
      <c r="C102">
        <v>16</v>
      </c>
      <c r="D102">
        <v>14</v>
      </c>
    </row>
    <row r="103" spans="2:4" x14ac:dyDescent="0.35">
      <c r="B103" s="70">
        <v>14</v>
      </c>
      <c r="C103">
        <v>16</v>
      </c>
      <c r="D103">
        <v>16</v>
      </c>
    </row>
    <row r="104" spans="2:4" x14ac:dyDescent="0.35">
      <c r="B104" s="70">
        <v>15</v>
      </c>
      <c r="C104">
        <v>16</v>
      </c>
      <c r="D104">
        <v>15</v>
      </c>
    </row>
    <row r="105" spans="2:4" x14ac:dyDescent="0.35">
      <c r="B105" s="70">
        <v>16</v>
      </c>
      <c r="C105">
        <v>16</v>
      </c>
      <c r="D105">
        <v>13</v>
      </c>
    </row>
    <row r="106" spans="2:4" x14ac:dyDescent="0.35">
      <c r="B106" s="70">
        <v>17</v>
      </c>
      <c r="C106">
        <v>16</v>
      </c>
      <c r="D106">
        <v>14</v>
      </c>
    </row>
    <row r="107" spans="2:4" x14ac:dyDescent="0.35">
      <c r="B107" s="70">
        <v>18</v>
      </c>
      <c r="C107">
        <v>16</v>
      </c>
      <c r="D107">
        <v>11</v>
      </c>
    </row>
    <row r="108" spans="2:4" x14ac:dyDescent="0.35">
      <c r="B108" s="70">
        <v>19</v>
      </c>
      <c r="C108">
        <v>16</v>
      </c>
      <c r="D108">
        <v>16</v>
      </c>
    </row>
    <row r="109" spans="2:4" x14ac:dyDescent="0.35">
      <c r="B109" s="70">
        <v>20</v>
      </c>
      <c r="C109">
        <v>16</v>
      </c>
      <c r="D109">
        <v>14</v>
      </c>
    </row>
    <row r="110" spans="2:4" x14ac:dyDescent="0.35">
      <c r="B110" s="70">
        <v>21</v>
      </c>
      <c r="C110">
        <v>16</v>
      </c>
      <c r="D110">
        <v>16</v>
      </c>
    </row>
    <row r="111" spans="2:4" x14ac:dyDescent="0.35">
      <c r="B111" s="70">
        <v>22</v>
      </c>
      <c r="C111">
        <v>16</v>
      </c>
      <c r="D111">
        <v>15</v>
      </c>
    </row>
    <row r="112" spans="2:4" x14ac:dyDescent="0.35">
      <c r="B112" s="70">
        <v>23</v>
      </c>
      <c r="C112">
        <v>16</v>
      </c>
      <c r="D112">
        <v>13</v>
      </c>
    </row>
    <row r="113" spans="2:6" x14ac:dyDescent="0.35">
      <c r="B113" s="70">
        <v>24</v>
      </c>
      <c r="C113">
        <v>16</v>
      </c>
      <c r="D113">
        <v>14</v>
      </c>
    </row>
    <row r="114" spans="2:6" x14ac:dyDescent="0.35">
      <c r="B114" s="70">
        <v>25</v>
      </c>
      <c r="C114">
        <v>16</v>
      </c>
      <c r="D114">
        <v>11</v>
      </c>
    </row>
    <row r="115" spans="2:6" x14ac:dyDescent="0.35">
      <c r="B115" s="70">
        <v>26</v>
      </c>
      <c r="C115">
        <v>16</v>
      </c>
      <c r="D115">
        <v>16</v>
      </c>
    </row>
    <row r="116" spans="2:6" x14ac:dyDescent="0.35">
      <c r="B116" s="70">
        <v>27</v>
      </c>
      <c r="C116">
        <v>16</v>
      </c>
      <c r="D116">
        <v>14</v>
      </c>
    </row>
    <row r="117" spans="2:6" x14ac:dyDescent="0.35">
      <c r="B117" s="70">
        <v>28</v>
      </c>
      <c r="C117">
        <v>16</v>
      </c>
      <c r="D117">
        <v>16</v>
      </c>
    </row>
    <row r="118" spans="2:6" x14ac:dyDescent="0.35">
      <c r="B118" s="70">
        <v>29</v>
      </c>
      <c r="C118">
        <v>16</v>
      </c>
      <c r="D118">
        <v>12</v>
      </c>
    </row>
    <row r="119" spans="2:6" x14ac:dyDescent="0.35">
      <c r="B119" s="70">
        <v>30</v>
      </c>
      <c r="C119">
        <v>16</v>
      </c>
      <c r="D119">
        <v>11</v>
      </c>
    </row>
    <row r="120" spans="2:6" x14ac:dyDescent="0.35">
      <c r="B120" s="70">
        <v>31</v>
      </c>
      <c r="C120">
        <v>16</v>
      </c>
      <c r="D120">
        <v>15</v>
      </c>
    </row>
    <row r="127" spans="2:6" x14ac:dyDescent="0.35">
      <c r="B127" s="87" t="s">
        <v>89</v>
      </c>
      <c r="C127" s="87" t="s">
        <v>90</v>
      </c>
      <c r="F127" t="s">
        <v>144</v>
      </c>
    </row>
    <row r="128" spans="2:6" x14ac:dyDescent="0.35">
      <c r="B128" s="87" t="s">
        <v>87</v>
      </c>
      <c r="C128" t="s">
        <v>21</v>
      </c>
      <c r="D128" t="s">
        <v>22</v>
      </c>
    </row>
    <row r="129" spans="2:4" x14ac:dyDescent="0.35">
      <c r="B129" s="88">
        <v>1</v>
      </c>
      <c r="C129" s="77">
        <v>0.9</v>
      </c>
      <c r="D129" s="77">
        <v>0.87</v>
      </c>
    </row>
    <row r="130" spans="2:4" x14ac:dyDescent="0.35">
      <c r="B130" s="88">
        <v>2</v>
      </c>
      <c r="C130" s="77">
        <v>0.9</v>
      </c>
      <c r="D130" s="77">
        <v>0.8</v>
      </c>
    </row>
    <row r="131" spans="2:4" x14ac:dyDescent="0.35">
      <c r="B131" s="88">
        <v>3</v>
      </c>
      <c r="C131" s="77">
        <v>0.9</v>
      </c>
      <c r="D131" s="77">
        <v>0.83</v>
      </c>
    </row>
    <row r="132" spans="2:4" x14ac:dyDescent="0.35">
      <c r="B132" s="88">
        <v>4</v>
      </c>
      <c r="C132" s="77">
        <v>0.9</v>
      </c>
      <c r="D132" s="77">
        <v>0.72</v>
      </c>
    </row>
    <row r="133" spans="2:4" x14ac:dyDescent="0.35">
      <c r="B133" s="88">
        <v>5</v>
      </c>
      <c r="C133" s="77">
        <v>0.9</v>
      </c>
      <c r="D133" s="77">
        <v>1</v>
      </c>
    </row>
    <row r="134" spans="2:4" x14ac:dyDescent="0.35">
      <c r="B134" s="88">
        <v>6</v>
      </c>
      <c r="C134" s="77">
        <v>0.9</v>
      </c>
      <c r="D134" s="77">
        <v>0.9</v>
      </c>
    </row>
    <row r="135" spans="2:4" x14ac:dyDescent="0.35">
      <c r="B135" s="88">
        <v>7</v>
      </c>
      <c r="C135" s="77">
        <v>0.9</v>
      </c>
      <c r="D135" s="77">
        <v>0.98</v>
      </c>
    </row>
    <row r="136" spans="2:4" x14ac:dyDescent="0.35">
      <c r="B136" s="88">
        <v>8</v>
      </c>
      <c r="C136" s="77">
        <v>0.9</v>
      </c>
      <c r="D136" s="77">
        <v>0.93</v>
      </c>
    </row>
    <row r="137" spans="2:4" x14ac:dyDescent="0.35">
      <c r="B137" s="88">
        <v>9</v>
      </c>
      <c r="C137" s="77">
        <v>0.9</v>
      </c>
      <c r="D137" s="77">
        <v>0.87</v>
      </c>
    </row>
    <row r="138" spans="2:4" x14ac:dyDescent="0.35">
      <c r="B138" s="88">
        <v>10</v>
      </c>
      <c r="C138" s="77">
        <v>0.9</v>
      </c>
      <c r="D138" s="77">
        <v>0.8</v>
      </c>
    </row>
    <row r="139" spans="2:4" x14ac:dyDescent="0.35">
      <c r="B139" s="88">
        <v>11</v>
      </c>
      <c r="C139" s="77">
        <v>0.9</v>
      </c>
      <c r="D139" s="77">
        <v>0.83</v>
      </c>
    </row>
    <row r="140" spans="2:4" x14ac:dyDescent="0.35">
      <c r="B140" s="88">
        <v>12</v>
      </c>
      <c r="C140" s="77">
        <v>0.9</v>
      </c>
      <c r="D140" s="77">
        <v>0.72</v>
      </c>
    </row>
    <row r="141" spans="2:4" x14ac:dyDescent="0.35">
      <c r="B141" s="88">
        <v>13</v>
      </c>
      <c r="C141" s="77">
        <v>0.9</v>
      </c>
      <c r="D141" s="77">
        <v>1</v>
      </c>
    </row>
    <row r="142" spans="2:4" x14ac:dyDescent="0.35">
      <c r="B142" s="88">
        <v>14</v>
      </c>
      <c r="C142" s="77">
        <v>0.9</v>
      </c>
      <c r="D142" s="77">
        <v>0.9</v>
      </c>
    </row>
    <row r="143" spans="2:4" x14ac:dyDescent="0.35">
      <c r="B143" s="88">
        <v>15</v>
      </c>
      <c r="C143" s="77">
        <v>0.9</v>
      </c>
      <c r="D143" s="77">
        <v>0.98</v>
      </c>
    </row>
    <row r="144" spans="2:4" x14ac:dyDescent="0.35">
      <c r="B144" s="88">
        <v>16</v>
      </c>
      <c r="C144" s="77">
        <v>0.9</v>
      </c>
      <c r="D144" s="77">
        <v>0.93</v>
      </c>
    </row>
    <row r="145" spans="2:4" x14ac:dyDescent="0.35">
      <c r="B145" s="88">
        <v>17</v>
      </c>
      <c r="C145" s="77">
        <v>0.9</v>
      </c>
      <c r="D145" s="77">
        <v>0.87</v>
      </c>
    </row>
    <row r="146" spans="2:4" x14ac:dyDescent="0.35">
      <c r="B146" s="88">
        <v>18</v>
      </c>
      <c r="C146" s="77">
        <v>0.9</v>
      </c>
      <c r="D146" s="77">
        <v>0.8</v>
      </c>
    </row>
    <row r="147" spans="2:4" x14ac:dyDescent="0.35">
      <c r="B147" s="88">
        <v>19</v>
      </c>
      <c r="C147" s="77">
        <v>0.9</v>
      </c>
      <c r="D147" s="77">
        <v>0.83</v>
      </c>
    </row>
    <row r="148" spans="2:4" x14ac:dyDescent="0.35">
      <c r="B148" s="88">
        <v>20</v>
      </c>
      <c r="C148" s="77">
        <v>0.9</v>
      </c>
      <c r="D148" s="77">
        <v>0.72</v>
      </c>
    </row>
    <row r="149" spans="2:4" x14ac:dyDescent="0.35">
      <c r="B149" s="88">
        <v>21</v>
      </c>
      <c r="C149" s="77">
        <v>0.9</v>
      </c>
      <c r="D149" s="77">
        <v>1</v>
      </c>
    </row>
    <row r="150" spans="2:4" x14ac:dyDescent="0.35">
      <c r="B150" s="88">
        <v>22</v>
      </c>
      <c r="C150" s="77">
        <v>0.9</v>
      </c>
      <c r="D150" s="77">
        <v>0.9</v>
      </c>
    </row>
    <row r="151" spans="2:4" x14ac:dyDescent="0.35">
      <c r="B151" s="88">
        <v>23</v>
      </c>
      <c r="C151" s="77">
        <v>0.9</v>
      </c>
      <c r="D151" s="77">
        <v>0.98</v>
      </c>
    </row>
    <row r="152" spans="2:4" x14ac:dyDescent="0.35">
      <c r="B152" s="88">
        <v>24</v>
      </c>
      <c r="C152" s="77">
        <v>0.9</v>
      </c>
      <c r="D152" s="77">
        <v>0.93</v>
      </c>
    </row>
    <row r="153" spans="2:4" x14ac:dyDescent="0.35">
      <c r="B153" s="88">
        <v>25</v>
      </c>
      <c r="C153" s="77">
        <v>0.9</v>
      </c>
      <c r="D153" s="77">
        <v>0.87</v>
      </c>
    </row>
    <row r="154" spans="2:4" x14ac:dyDescent="0.35">
      <c r="B154" s="88">
        <v>26</v>
      </c>
      <c r="C154" s="77">
        <v>0.9</v>
      </c>
      <c r="D154" s="77">
        <v>0.8</v>
      </c>
    </row>
    <row r="155" spans="2:4" x14ac:dyDescent="0.35">
      <c r="B155" s="88">
        <v>27</v>
      </c>
      <c r="C155" s="77">
        <v>0.9</v>
      </c>
      <c r="D155" s="77">
        <v>0.83</v>
      </c>
    </row>
    <row r="156" spans="2:4" x14ac:dyDescent="0.35">
      <c r="B156" s="88">
        <v>28</v>
      </c>
      <c r="C156" s="77">
        <v>0.9</v>
      </c>
      <c r="D156" s="77">
        <v>0.72</v>
      </c>
    </row>
    <row r="157" spans="2:4" x14ac:dyDescent="0.35">
      <c r="B157" s="88">
        <v>29</v>
      </c>
      <c r="C157" s="77">
        <v>0.9</v>
      </c>
      <c r="D157" s="77">
        <v>1</v>
      </c>
    </row>
    <row r="158" spans="2:4" x14ac:dyDescent="0.35">
      <c r="B158" s="88">
        <v>30</v>
      </c>
      <c r="C158" s="77">
        <v>0.9</v>
      </c>
      <c r="D158" s="77">
        <v>0.9</v>
      </c>
    </row>
    <row r="159" spans="2:4" x14ac:dyDescent="0.35">
      <c r="B159" s="88">
        <v>31</v>
      </c>
      <c r="C159" s="77">
        <v>0.9</v>
      </c>
      <c r="D159" s="77">
        <v>0.98</v>
      </c>
    </row>
    <row r="166" spans="2:6" x14ac:dyDescent="0.35">
      <c r="B166" s="87" t="s">
        <v>89</v>
      </c>
      <c r="C166" s="87" t="s">
        <v>90</v>
      </c>
      <c r="F166" t="s">
        <v>20</v>
      </c>
    </row>
    <row r="167" spans="2:6" x14ac:dyDescent="0.35">
      <c r="B167" s="87" t="s">
        <v>87</v>
      </c>
      <c r="C167" t="s">
        <v>21</v>
      </c>
      <c r="D167" t="s">
        <v>22</v>
      </c>
    </row>
    <row r="168" spans="2:6" x14ac:dyDescent="0.35">
      <c r="B168" s="88">
        <v>1</v>
      </c>
      <c r="C168" s="143">
        <v>70</v>
      </c>
      <c r="D168" s="143">
        <v>80</v>
      </c>
    </row>
    <row r="169" spans="2:6" x14ac:dyDescent="0.35">
      <c r="B169" s="88">
        <v>2</v>
      </c>
      <c r="C169" s="143">
        <v>70</v>
      </c>
      <c r="D169" s="143">
        <v>60</v>
      </c>
    </row>
    <row r="170" spans="2:6" x14ac:dyDescent="0.35">
      <c r="B170" s="88">
        <v>3</v>
      </c>
      <c r="C170" s="143">
        <v>70</v>
      </c>
      <c r="D170" s="143">
        <v>50</v>
      </c>
    </row>
    <row r="171" spans="2:6" x14ac:dyDescent="0.35">
      <c r="B171" s="88">
        <v>4</v>
      </c>
      <c r="C171" s="143">
        <v>70</v>
      </c>
      <c r="D171" s="143">
        <v>75</v>
      </c>
    </row>
    <row r="172" spans="2:6" x14ac:dyDescent="0.35">
      <c r="B172" s="88">
        <v>5</v>
      </c>
      <c r="C172" s="143">
        <v>70</v>
      </c>
      <c r="D172" s="143">
        <v>83</v>
      </c>
    </row>
    <row r="173" spans="2:6" x14ac:dyDescent="0.35">
      <c r="B173" s="88">
        <v>6</v>
      </c>
      <c r="C173" s="143">
        <v>70</v>
      </c>
      <c r="D173" s="143">
        <v>65</v>
      </c>
    </row>
    <row r="174" spans="2:6" x14ac:dyDescent="0.35">
      <c r="B174" s="88">
        <v>7</v>
      </c>
      <c r="C174" s="143">
        <v>70</v>
      </c>
      <c r="D174" s="143">
        <v>73</v>
      </c>
    </row>
    <row r="175" spans="2:6" x14ac:dyDescent="0.35">
      <c r="B175" s="88">
        <v>8</v>
      </c>
      <c r="C175" s="143">
        <v>70</v>
      </c>
      <c r="D175" s="143">
        <v>80</v>
      </c>
    </row>
    <row r="176" spans="2:6" x14ac:dyDescent="0.35">
      <c r="B176" s="88">
        <v>9</v>
      </c>
      <c r="C176" s="143">
        <v>70</v>
      </c>
      <c r="D176" s="143">
        <v>60</v>
      </c>
    </row>
    <row r="177" spans="2:4" x14ac:dyDescent="0.35">
      <c r="B177" s="88">
        <v>10</v>
      </c>
      <c r="C177" s="143">
        <v>70</v>
      </c>
      <c r="D177" s="143">
        <v>50</v>
      </c>
    </row>
    <row r="178" spans="2:4" x14ac:dyDescent="0.35">
      <c r="B178" s="88">
        <v>11</v>
      </c>
      <c r="C178" s="143">
        <v>70</v>
      </c>
      <c r="D178" s="143">
        <v>75</v>
      </c>
    </row>
    <row r="179" spans="2:4" x14ac:dyDescent="0.35">
      <c r="B179" s="88">
        <v>12</v>
      </c>
      <c r="C179" s="143">
        <v>70</v>
      </c>
      <c r="D179" s="143">
        <v>83</v>
      </c>
    </row>
    <row r="180" spans="2:4" x14ac:dyDescent="0.35">
      <c r="B180" s="88">
        <v>13</v>
      </c>
      <c r="C180" s="143">
        <v>70</v>
      </c>
      <c r="D180" s="143">
        <v>65</v>
      </c>
    </row>
    <row r="181" spans="2:4" x14ac:dyDescent="0.35">
      <c r="B181" s="88">
        <v>14</v>
      </c>
      <c r="C181" s="143">
        <v>70</v>
      </c>
      <c r="D181" s="143">
        <v>73</v>
      </c>
    </row>
    <row r="182" spans="2:4" x14ac:dyDescent="0.35">
      <c r="B182" s="88">
        <v>15</v>
      </c>
      <c r="C182" s="143">
        <v>70</v>
      </c>
      <c r="D182" s="143">
        <v>80</v>
      </c>
    </row>
    <row r="183" spans="2:4" x14ac:dyDescent="0.35">
      <c r="B183" s="88">
        <v>16</v>
      </c>
      <c r="C183" s="143">
        <v>70</v>
      </c>
      <c r="D183" s="143">
        <v>60</v>
      </c>
    </row>
    <row r="184" spans="2:4" x14ac:dyDescent="0.35">
      <c r="B184" s="88">
        <v>17</v>
      </c>
      <c r="C184" s="143">
        <v>70</v>
      </c>
      <c r="D184" s="143">
        <v>50</v>
      </c>
    </row>
    <row r="185" spans="2:4" x14ac:dyDescent="0.35">
      <c r="B185" s="88">
        <v>18</v>
      </c>
      <c r="C185" s="143">
        <v>70</v>
      </c>
      <c r="D185" s="143">
        <v>75</v>
      </c>
    </row>
    <row r="186" spans="2:4" x14ac:dyDescent="0.35">
      <c r="B186" s="88">
        <v>19</v>
      </c>
      <c r="C186" s="143">
        <v>70</v>
      </c>
      <c r="D186" s="143">
        <v>83</v>
      </c>
    </row>
    <row r="187" spans="2:4" x14ac:dyDescent="0.35">
      <c r="B187" s="88">
        <v>20</v>
      </c>
      <c r="C187" s="143">
        <v>70</v>
      </c>
      <c r="D187" s="143">
        <v>65</v>
      </c>
    </row>
    <row r="188" spans="2:4" x14ac:dyDescent="0.35">
      <c r="B188" s="88">
        <v>21</v>
      </c>
      <c r="C188" s="143">
        <v>70</v>
      </c>
      <c r="D188" s="143">
        <v>73</v>
      </c>
    </row>
    <row r="189" spans="2:4" x14ac:dyDescent="0.35">
      <c r="B189" s="88">
        <v>22</v>
      </c>
      <c r="C189" s="143">
        <v>70</v>
      </c>
      <c r="D189" s="143">
        <v>80</v>
      </c>
    </row>
    <row r="190" spans="2:4" x14ac:dyDescent="0.35">
      <c r="B190" s="88">
        <v>23</v>
      </c>
      <c r="C190" s="143">
        <v>70</v>
      </c>
      <c r="D190" s="143">
        <v>60</v>
      </c>
    </row>
    <row r="191" spans="2:4" x14ac:dyDescent="0.35">
      <c r="B191" s="88">
        <v>24</v>
      </c>
      <c r="C191" s="143">
        <v>70</v>
      </c>
      <c r="D191" s="143">
        <v>50</v>
      </c>
    </row>
    <row r="192" spans="2:4" x14ac:dyDescent="0.35">
      <c r="B192" s="88">
        <v>25</v>
      </c>
      <c r="C192" s="143">
        <v>70</v>
      </c>
      <c r="D192" s="143">
        <v>75</v>
      </c>
    </row>
    <row r="193" spans="2:6" x14ac:dyDescent="0.35">
      <c r="B193" s="88">
        <v>26</v>
      </c>
      <c r="C193" s="143">
        <v>70</v>
      </c>
      <c r="D193" s="143">
        <v>83</v>
      </c>
    </row>
    <row r="194" spans="2:6" x14ac:dyDescent="0.35">
      <c r="B194" s="88">
        <v>27</v>
      </c>
      <c r="C194" s="143">
        <v>70</v>
      </c>
      <c r="D194" s="143">
        <v>65</v>
      </c>
    </row>
    <row r="195" spans="2:6" x14ac:dyDescent="0.35">
      <c r="B195" s="88">
        <v>28</v>
      </c>
      <c r="C195" s="143">
        <v>70</v>
      </c>
      <c r="D195" s="143">
        <v>73</v>
      </c>
    </row>
    <row r="196" spans="2:6" x14ac:dyDescent="0.35">
      <c r="B196" s="88">
        <v>29</v>
      </c>
      <c r="C196" s="143">
        <v>70</v>
      </c>
      <c r="D196" s="143">
        <v>75</v>
      </c>
    </row>
    <row r="197" spans="2:6" x14ac:dyDescent="0.35">
      <c r="B197" s="88">
        <v>30</v>
      </c>
      <c r="C197" s="143">
        <v>70</v>
      </c>
      <c r="D197" s="143">
        <v>83</v>
      </c>
    </row>
    <row r="198" spans="2:6" x14ac:dyDescent="0.35">
      <c r="B198" s="88">
        <v>31</v>
      </c>
      <c r="C198" s="143">
        <v>70</v>
      </c>
      <c r="D198" s="143">
        <v>65</v>
      </c>
    </row>
    <row r="199" spans="2:6" x14ac:dyDescent="0.35">
      <c r="B199" s="88" t="s">
        <v>88</v>
      </c>
      <c r="C199" s="143">
        <v>2170</v>
      </c>
      <c r="D199" s="143">
        <v>2167</v>
      </c>
    </row>
    <row r="203" spans="2:6" x14ac:dyDescent="0.35">
      <c r="B203" s="87" t="s">
        <v>89</v>
      </c>
      <c r="C203" s="87" t="s">
        <v>90</v>
      </c>
    </row>
    <row r="204" spans="2:6" x14ac:dyDescent="0.35">
      <c r="B204" s="87" t="s">
        <v>87</v>
      </c>
      <c r="C204" t="s">
        <v>21</v>
      </c>
      <c r="D204" t="s">
        <v>22</v>
      </c>
      <c r="F204" t="s">
        <v>138</v>
      </c>
    </row>
    <row r="205" spans="2:6" x14ac:dyDescent="0.35">
      <c r="B205" s="88">
        <v>1</v>
      </c>
      <c r="C205" s="143">
        <v>80</v>
      </c>
      <c r="D205" s="143">
        <v>80</v>
      </c>
    </row>
    <row r="206" spans="2:6" x14ac:dyDescent="0.35">
      <c r="B206" s="88">
        <v>2</v>
      </c>
      <c r="C206" s="143">
        <v>80</v>
      </c>
      <c r="D206" s="143">
        <v>60</v>
      </c>
    </row>
    <row r="207" spans="2:6" x14ac:dyDescent="0.35">
      <c r="B207" s="88">
        <v>3</v>
      </c>
      <c r="C207" s="143">
        <v>80</v>
      </c>
      <c r="D207" s="143">
        <v>50</v>
      </c>
    </row>
    <row r="208" spans="2:6" x14ac:dyDescent="0.35">
      <c r="B208" s="88">
        <v>4</v>
      </c>
      <c r="C208" s="143">
        <v>80</v>
      </c>
      <c r="D208" s="143">
        <v>75</v>
      </c>
    </row>
    <row r="209" spans="2:4" x14ac:dyDescent="0.35">
      <c r="B209" s="88">
        <v>5</v>
      </c>
      <c r="C209" s="143">
        <v>80</v>
      </c>
      <c r="D209" s="143">
        <v>83</v>
      </c>
    </row>
    <row r="210" spans="2:4" x14ac:dyDescent="0.35">
      <c r="B210" s="88">
        <v>6</v>
      </c>
      <c r="C210" s="143">
        <v>80</v>
      </c>
      <c r="D210" s="143">
        <v>65</v>
      </c>
    </row>
    <row r="211" spans="2:4" x14ac:dyDescent="0.35">
      <c r="B211" s="88">
        <v>7</v>
      </c>
      <c r="C211" s="143">
        <v>80</v>
      </c>
      <c r="D211" s="143">
        <v>73</v>
      </c>
    </row>
    <row r="212" spans="2:4" x14ac:dyDescent="0.35">
      <c r="B212" s="88">
        <v>8</v>
      </c>
      <c r="C212" s="143">
        <v>80</v>
      </c>
      <c r="D212" s="143">
        <v>80</v>
      </c>
    </row>
    <row r="213" spans="2:4" x14ac:dyDescent="0.35">
      <c r="B213" s="88">
        <v>9</v>
      </c>
      <c r="C213" s="143">
        <v>80</v>
      </c>
      <c r="D213" s="143">
        <v>60</v>
      </c>
    </row>
    <row r="214" spans="2:4" x14ac:dyDescent="0.35">
      <c r="B214" s="88">
        <v>10</v>
      </c>
      <c r="C214" s="143">
        <v>80</v>
      </c>
      <c r="D214" s="143">
        <v>50</v>
      </c>
    </row>
    <row r="215" spans="2:4" x14ac:dyDescent="0.35">
      <c r="B215" s="88">
        <v>11</v>
      </c>
      <c r="C215" s="143">
        <v>80</v>
      </c>
      <c r="D215" s="143">
        <v>75</v>
      </c>
    </row>
    <row r="216" spans="2:4" x14ac:dyDescent="0.35">
      <c r="B216" s="88">
        <v>12</v>
      </c>
      <c r="C216" s="143">
        <v>80</v>
      </c>
      <c r="D216" s="143">
        <v>83</v>
      </c>
    </row>
    <row r="217" spans="2:4" x14ac:dyDescent="0.35">
      <c r="B217" s="88">
        <v>13</v>
      </c>
      <c r="C217" s="143">
        <v>80</v>
      </c>
      <c r="D217" s="143">
        <v>65</v>
      </c>
    </row>
    <row r="218" spans="2:4" x14ac:dyDescent="0.35">
      <c r="B218" s="88">
        <v>14</v>
      </c>
      <c r="C218" s="143">
        <v>80</v>
      </c>
      <c r="D218" s="143">
        <v>73</v>
      </c>
    </row>
    <row r="219" spans="2:4" x14ac:dyDescent="0.35">
      <c r="B219" s="88">
        <v>15</v>
      </c>
      <c r="C219" s="143">
        <v>80</v>
      </c>
      <c r="D219" s="143">
        <v>80</v>
      </c>
    </row>
    <row r="220" spans="2:4" x14ac:dyDescent="0.35">
      <c r="B220" s="88">
        <v>16</v>
      </c>
      <c r="C220" s="143">
        <v>80</v>
      </c>
      <c r="D220" s="143">
        <v>60</v>
      </c>
    </row>
    <row r="221" spans="2:4" x14ac:dyDescent="0.35">
      <c r="B221" s="88">
        <v>17</v>
      </c>
      <c r="C221" s="143">
        <v>80</v>
      </c>
      <c r="D221" s="143">
        <v>50</v>
      </c>
    </row>
    <row r="222" spans="2:4" x14ac:dyDescent="0.35">
      <c r="B222" s="88">
        <v>18</v>
      </c>
      <c r="C222" s="143">
        <v>80</v>
      </c>
      <c r="D222" s="143">
        <v>75</v>
      </c>
    </row>
    <row r="223" spans="2:4" x14ac:dyDescent="0.35">
      <c r="B223" s="88">
        <v>19</v>
      </c>
      <c r="C223" s="143">
        <v>80</v>
      </c>
      <c r="D223" s="143">
        <v>83</v>
      </c>
    </row>
    <row r="224" spans="2:4" x14ac:dyDescent="0.35">
      <c r="B224" s="88">
        <v>20</v>
      </c>
      <c r="C224" s="143">
        <v>80</v>
      </c>
      <c r="D224" s="143">
        <v>65</v>
      </c>
    </row>
    <row r="225" spans="2:4" x14ac:dyDescent="0.35">
      <c r="B225" s="88">
        <v>21</v>
      </c>
      <c r="C225" s="143">
        <v>80</v>
      </c>
      <c r="D225" s="143">
        <v>73</v>
      </c>
    </row>
    <row r="226" spans="2:4" x14ac:dyDescent="0.35">
      <c r="B226" s="88">
        <v>22</v>
      </c>
      <c r="C226" s="143">
        <v>80</v>
      </c>
      <c r="D226" s="143">
        <v>80</v>
      </c>
    </row>
    <row r="227" spans="2:4" x14ac:dyDescent="0.35">
      <c r="B227" s="88">
        <v>23</v>
      </c>
      <c r="C227" s="143">
        <v>80</v>
      </c>
      <c r="D227" s="143">
        <v>60</v>
      </c>
    </row>
    <row r="228" spans="2:4" x14ac:dyDescent="0.35">
      <c r="B228" s="88">
        <v>24</v>
      </c>
      <c r="C228" s="143">
        <v>80</v>
      </c>
      <c r="D228" s="143">
        <v>50</v>
      </c>
    </row>
    <row r="229" spans="2:4" x14ac:dyDescent="0.35">
      <c r="B229" s="88">
        <v>25</v>
      </c>
      <c r="C229" s="143">
        <v>80</v>
      </c>
      <c r="D229" s="143">
        <v>75</v>
      </c>
    </row>
    <row r="230" spans="2:4" x14ac:dyDescent="0.35">
      <c r="B230" s="88">
        <v>26</v>
      </c>
      <c r="C230" s="143">
        <v>80</v>
      </c>
      <c r="D230" s="143">
        <v>83</v>
      </c>
    </row>
    <row r="231" spans="2:4" x14ac:dyDescent="0.35">
      <c r="B231" s="88">
        <v>27</v>
      </c>
      <c r="C231" s="143">
        <v>80</v>
      </c>
      <c r="D231" s="143">
        <v>65</v>
      </c>
    </row>
    <row r="232" spans="2:4" x14ac:dyDescent="0.35">
      <c r="B232" s="88">
        <v>28</v>
      </c>
      <c r="C232" s="143">
        <v>80</v>
      </c>
      <c r="D232" s="143">
        <v>73</v>
      </c>
    </row>
    <row r="233" spans="2:4" x14ac:dyDescent="0.35">
      <c r="B233" s="88">
        <v>29</v>
      </c>
      <c r="C233" s="143">
        <v>80</v>
      </c>
      <c r="D233" s="143">
        <v>75</v>
      </c>
    </row>
    <row r="234" spans="2:4" x14ac:dyDescent="0.35">
      <c r="B234" s="88">
        <v>30</v>
      </c>
      <c r="C234" s="143">
        <v>80</v>
      </c>
      <c r="D234" s="143">
        <v>83</v>
      </c>
    </row>
    <row r="235" spans="2:4" x14ac:dyDescent="0.35">
      <c r="B235" s="88">
        <v>31</v>
      </c>
      <c r="C235" s="143">
        <v>80</v>
      </c>
      <c r="D235" s="143">
        <v>65</v>
      </c>
    </row>
    <row r="236" spans="2:4" x14ac:dyDescent="0.35">
      <c r="B236" s="88" t="s">
        <v>88</v>
      </c>
      <c r="C236" s="143">
        <v>2480</v>
      </c>
      <c r="D236" s="143">
        <v>2167</v>
      </c>
    </row>
    <row r="243" spans="2:6" x14ac:dyDescent="0.35">
      <c r="B243" s="87" t="s">
        <v>89</v>
      </c>
      <c r="C243" s="87" t="s">
        <v>90</v>
      </c>
    </row>
    <row r="244" spans="2:6" x14ac:dyDescent="0.35">
      <c r="B244" s="87" t="s">
        <v>87</v>
      </c>
      <c r="C244" t="s">
        <v>19</v>
      </c>
      <c r="D244" t="s">
        <v>20</v>
      </c>
      <c r="E244" t="s">
        <v>18</v>
      </c>
      <c r="F244" t="s">
        <v>138</v>
      </c>
    </row>
    <row r="245" spans="2:6" x14ac:dyDescent="0.35">
      <c r="B245" s="88">
        <v>1</v>
      </c>
      <c r="C245" s="144">
        <v>0.9375</v>
      </c>
      <c r="D245" s="144">
        <v>1.1428571428571428</v>
      </c>
      <c r="E245" s="144">
        <v>0.96666666666666667</v>
      </c>
      <c r="F245" s="144">
        <v>1</v>
      </c>
    </row>
    <row r="246" spans="2:6" x14ac:dyDescent="0.35">
      <c r="B246" s="88">
        <v>2</v>
      </c>
      <c r="C246" s="144">
        <v>0.8125</v>
      </c>
      <c r="D246" s="144">
        <v>0.8571428571428571</v>
      </c>
      <c r="E246" s="144">
        <v>0.88888888888888895</v>
      </c>
      <c r="F246" s="144">
        <v>0.75</v>
      </c>
    </row>
    <row r="247" spans="2:6" x14ac:dyDescent="0.35">
      <c r="B247" s="88">
        <v>3</v>
      </c>
      <c r="C247" s="144">
        <v>0.875</v>
      </c>
      <c r="D247" s="144">
        <v>0.7142857142857143</v>
      </c>
      <c r="E247" s="144">
        <v>0.92222222222222217</v>
      </c>
      <c r="F247" s="144">
        <v>0.625</v>
      </c>
    </row>
    <row r="248" spans="2:6" x14ac:dyDescent="0.35">
      <c r="B248" s="88">
        <v>4</v>
      </c>
      <c r="C248" s="144">
        <v>0.6875</v>
      </c>
      <c r="D248" s="144">
        <v>1.0714285714285714</v>
      </c>
      <c r="E248" s="144">
        <v>0.79999999999999993</v>
      </c>
      <c r="F248" s="144">
        <v>0.9375</v>
      </c>
    </row>
    <row r="249" spans="2:6" x14ac:dyDescent="0.35">
      <c r="B249" s="88">
        <v>5</v>
      </c>
      <c r="C249" s="144">
        <v>1</v>
      </c>
      <c r="D249" s="144">
        <v>1.1857142857142857</v>
      </c>
      <c r="E249" s="144">
        <v>1.1111111111111112</v>
      </c>
      <c r="F249" s="144">
        <v>1.0375000000000001</v>
      </c>
    </row>
    <row r="250" spans="2:6" x14ac:dyDescent="0.35">
      <c r="B250" s="88">
        <v>6</v>
      </c>
      <c r="C250" s="144">
        <v>0.875</v>
      </c>
      <c r="D250" s="144">
        <v>0.9285714285714286</v>
      </c>
      <c r="E250" s="144">
        <v>1</v>
      </c>
      <c r="F250" s="144">
        <v>0.8125</v>
      </c>
    </row>
    <row r="251" spans="2:6" x14ac:dyDescent="0.35">
      <c r="B251" s="88">
        <v>7</v>
      </c>
      <c r="C251" s="144">
        <v>1</v>
      </c>
      <c r="D251" s="144">
        <v>1.0428571428571429</v>
      </c>
      <c r="E251" s="144">
        <v>1.0888888888888888</v>
      </c>
      <c r="F251" s="144">
        <v>0.91249999999999998</v>
      </c>
    </row>
    <row r="252" spans="2:6" x14ac:dyDescent="0.35">
      <c r="B252" s="88">
        <v>8</v>
      </c>
      <c r="C252" s="144">
        <v>0.9375</v>
      </c>
      <c r="D252" s="144">
        <v>1.1428571428571428</v>
      </c>
      <c r="E252" s="144">
        <v>1.0333333333333334</v>
      </c>
      <c r="F252" s="144">
        <v>1</v>
      </c>
    </row>
    <row r="253" spans="2:6" x14ac:dyDescent="0.35">
      <c r="B253" s="88">
        <v>9</v>
      </c>
      <c r="C253" s="144">
        <v>0.8125</v>
      </c>
      <c r="D253" s="144">
        <v>0.8571428571428571</v>
      </c>
      <c r="E253" s="144">
        <v>0.96666666666666667</v>
      </c>
      <c r="F253" s="144">
        <v>0.75</v>
      </c>
    </row>
    <row r="254" spans="2:6" x14ac:dyDescent="0.35">
      <c r="B254" s="88">
        <v>10</v>
      </c>
      <c r="C254" s="144">
        <v>0.875</v>
      </c>
      <c r="D254" s="144">
        <v>0.7142857142857143</v>
      </c>
      <c r="E254" s="144">
        <v>0.88888888888888895</v>
      </c>
      <c r="F254" s="144">
        <v>0.625</v>
      </c>
    </row>
    <row r="255" spans="2:6" x14ac:dyDescent="0.35">
      <c r="B255" s="88">
        <v>11</v>
      </c>
      <c r="C255" s="144">
        <v>0.6875</v>
      </c>
      <c r="D255" s="144">
        <v>1.0714285714285714</v>
      </c>
      <c r="E255" s="144">
        <v>0.92222222222222217</v>
      </c>
      <c r="F255" s="144">
        <v>0.9375</v>
      </c>
    </row>
    <row r="256" spans="2:6" x14ac:dyDescent="0.35">
      <c r="B256" s="88">
        <v>12</v>
      </c>
      <c r="C256" s="144">
        <v>1</v>
      </c>
      <c r="D256" s="144">
        <v>1.1857142857142857</v>
      </c>
      <c r="E256" s="144">
        <v>0.79999999999999993</v>
      </c>
      <c r="F256" s="144">
        <v>1.0375000000000001</v>
      </c>
    </row>
    <row r="257" spans="2:6" x14ac:dyDescent="0.35">
      <c r="B257" s="88">
        <v>13</v>
      </c>
      <c r="C257" s="144">
        <v>0.875</v>
      </c>
      <c r="D257" s="144">
        <v>0.9285714285714286</v>
      </c>
      <c r="E257" s="144">
        <v>1.1111111111111112</v>
      </c>
      <c r="F257" s="144">
        <v>0.8125</v>
      </c>
    </row>
    <row r="258" spans="2:6" x14ac:dyDescent="0.35">
      <c r="B258" s="88">
        <v>14</v>
      </c>
      <c r="C258" s="144">
        <v>1</v>
      </c>
      <c r="D258" s="144">
        <v>1.0428571428571429</v>
      </c>
      <c r="E258" s="144">
        <v>1</v>
      </c>
      <c r="F258" s="144">
        <v>0.91249999999999998</v>
      </c>
    </row>
    <row r="259" spans="2:6" x14ac:dyDescent="0.35">
      <c r="B259" s="88">
        <v>15</v>
      </c>
      <c r="C259" s="144">
        <v>0.9375</v>
      </c>
      <c r="D259" s="144">
        <v>1.1428571428571428</v>
      </c>
      <c r="E259" s="144">
        <v>1.0888888888888888</v>
      </c>
      <c r="F259" s="144">
        <v>1</v>
      </c>
    </row>
    <row r="260" spans="2:6" x14ac:dyDescent="0.35">
      <c r="B260" s="88">
        <v>16</v>
      </c>
      <c r="C260" s="144">
        <v>0.8125</v>
      </c>
      <c r="D260" s="144">
        <v>0.8571428571428571</v>
      </c>
      <c r="E260" s="144">
        <v>1.0333333333333334</v>
      </c>
      <c r="F260" s="144">
        <v>0.75</v>
      </c>
    </row>
    <row r="261" spans="2:6" x14ac:dyDescent="0.35">
      <c r="B261" s="88">
        <v>17</v>
      </c>
      <c r="C261" s="144">
        <v>0.875</v>
      </c>
      <c r="D261" s="144">
        <v>0.7142857142857143</v>
      </c>
      <c r="E261" s="144">
        <v>0.96666666666666667</v>
      </c>
      <c r="F261" s="144">
        <v>0.625</v>
      </c>
    </row>
    <row r="262" spans="2:6" x14ac:dyDescent="0.35">
      <c r="B262" s="88">
        <v>18</v>
      </c>
      <c r="C262" s="144">
        <v>0.6875</v>
      </c>
      <c r="D262" s="144">
        <v>1.0714285714285714</v>
      </c>
      <c r="E262" s="144">
        <v>0.88888888888888895</v>
      </c>
      <c r="F262" s="144">
        <v>0.9375</v>
      </c>
    </row>
    <row r="263" spans="2:6" x14ac:dyDescent="0.35">
      <c r="B263" s="88">
        <v>19</v>
      </c>
      <c r="C263" s="144">
        <v>1</v>
      </c>
      <c r="D263" s="144">
        <v>1.1857142857142857</v>
      </c>
      <c r="E263" s="144">
        <v>0.92222222222222217</v>
      </c>
      <c r="F263" s="144">
        <v>1.0375000000000001</v>
      </c>
    </row>
    <row r="264" spans="2:6" x14ac:dyDescent="0.35">
      <c r="B264" s="88">
        <v>20</v>
      </c>
      <c r="C264" s="144">
        <v>0.875</v>
      </c>
      <c r="D264" s="144">
        <v>0.9285714285714286</v>
      </c>
      <c r="E264" s="144">
        <v>0.79999999999999993</v>
      </c>
      <c r="F264" s="144">
        <v>0.8125</v>
      </c>
    </row>
    <row r="265" spans="2:6" x14ac:dyDescent="0.35">
      <c r="B265" s="88">
        <v>21</v>
      </c>
      <c r="C265" s="144">
        <v>1</v>
      </c>
      <c r="D265" s="144">
        <v>1.0428571428571429</v>
      </c>
      <c r="E265" s="144">
        <v>1.1111111111111112</v>
      </c>
      <c r="F265" s="144">
        <v>0.91249999999999998</v>
      </c>
    </row>
    <row r="266" spans="2:6" x14ac:dyDescent="0.35">
      <c r="B266" s="88">
        <v>22</v>
      </c>
      <c r="C266" s="144">
        <v>0.9375</v>
      </c>
      <c r="D266" s="144">
        <v>1.1428571428571428</v>
      </c>
      <c r="E266" s="144">
        <v>1</v>
      </c>
      <c r="F266" s="144">
        <v>1</v>
      </c>
    </row>
    <row r="267" spans="2:6" x14ac:dyDescent="0.35">
      <c r="B267" s="88">
        <v>23</v>
      </c>
      <c r="C267" s="144">
        <v>0.8125</v>
      </c>
      <c r="D267" s="144">
        <v>0.8571428571428571</v>
      </c>
      <c r="E267" s="144">
        <v>1.0888888888888888</v>
      </c>
      <c r="F267" s="144">
        <v>0.75</v>
      </c>
    </row>
    <row r="268" spans="2:6" x14ac:dyDescent="0.35">
      <c r="B268" s="88">
        <v>24</v>
      </c>
      <c r="C268" s="144">
        <v>0.875</v>
      </c>
      <c r="D268" s="144">
        <v>0.7142857142857143</v>
      </c>
      <c r="E268" s="144">
        <v>1.0333333333333334</v>
      </c>
      <c r="F268" s="144">
        <v>0.625</v>
      </c>
    </row>
    <row r="269" spans="2:6" x14ac:dyDescent="0.35">
      <c r="B269" s="88">
        <v>25</v>
      </c>
      <c r="C269" s="144">
        <v>0.6875</v>
      </c>
      <c r="D269" s="144">
        <v>1.0714285714285714</v>
      </c>
      <c r="E269" s="144">
        <v>0.96666666666666667</v>
      </c>
      <c r="F269" s="144">
        <v>0.9375</v>
      </c>
    </row>
    <row r="270" spans="2:6" x14ac:dyDescent="0.35">
      <c r="B270" s="88">
        <v>26</v>
      </c>
      <c r="C270" s="144">
        <v>1</v>
      </c>
      <c r="D270" s="144">
        <v>1.1857142857142857</v>
      </c>
      <c r="E270" s="144">
        <v>0.88888888888888895</v>
      </c>
      <c r="F270" s="144">
        <v>1.0375000000000001</v>
      </c>
    </row>
    <row r="271" spans="2:6" x14ac:dyDescent="0.35">
      <c r="B271" s="88">
        <v>27</v>
      </c>
      <c r="C271" s="144">
        <v>0.875</v>
      </c>
      <c r="D271" s="144">
        <v>0.9285714285714286</v>
      </c>
      <c r="E271" s="144">
        <v>0.92222222222222217</v>
      </c>
      <c r="F271" s="144">
        <v>0.8125</v>
      </c>
    </row>
    <row r="272" spans="2:6" x14ac:dyDescent="0.35">
      <c r="B272" s="88">
        <v>28</v>
      </c>
      <c r="C272" s="144">
        <v>1</v>
      </c>
      <c r="D272" s="144">
        <v>1.0428571428571429</v>
      </c>
      <c r="E272" s="144">
        <v>0.79999999999999993</v>
      </c>
      <c r="F272" s="144">
        <v>0.91249999999999998</v>
      </c>
    </row>
    <row r="273" spans="2:6" x14ac:dyDescent="0.35">
      <c r="B273" s="88">
        <v>29</v>
      </c>
      <c r="C273" s="144">
        <v>0.75</v>
      </c>
      <c r="D273" s="144">
        <v>1.0714285714285714</v>
      </c>
      <c r="E273" s="144">
        <v>1.1111111111111112</v>
      </c>
      <c r="F273" s="144">
        <v>0.9375</v>
      </c>
    </row>
    <row r="274" spans="2:6" x14ac:dyDescent="0.35">
      <c r="B274" s="88">
        <v>30</v>
      </c>
      <c r="C274" s="144">
        <v>0.6875</v>
      </c>
      <c r="D274" s="144">
        <v>1.1857142857142857</v>
      </c>
      <c r="E274" s="144">
        <v>1</v>
      </c>
      <c r="F274" s="144">
        <v>1.0375000000000001</v>
      </c>
    </row>
    <row r="275" spans="2:6" x14ac:dyDescent="0.35">
      <c r="B275" s="88">
        <v>31</v>
      </c>
      <c r="C275" s="144">
        <v>0.9375</v>
      </c>
      <c r="D275" s="144">
        <v>0.9285714285714286</v>
      </c>
      <c r="E275" s="144">
        <v>1.0888888888888888</v>
      </c>
      <c r="F275" s="144">
        <v>0.8125</v>
      </c>
    </row>
    <row r="276" spans="2:6" x14ac:dyDescent="0.35">
      <c r="B276" s="88" t="s">
        <v>88</v>
      </c>
      <c r="C276" s="144">
        <v>27.125</v>
      </c>
      <c r="D276" s="144">
        <v>30.957142857142863</v>
      </c>
      <c r="E276" s="144">
        <v>30.211111111111109</v>
      </c>
      <c r="F276" s="144">
        <v>27.087500000000006</v>
      </c>
    </row>
    <row r="285" spans="2:6" x14ac:dyDescent="0.35">
      <c r="B285" s="87" t="s">
        <v>89</v>
      </c>
      <c r="C285" s="87" t="s">
        <v>90</v>
      </c>
    </row>
    <row r="286" spans="2:6" x14ac:dyDescent="0.35">
      <c r="C286" t="s">
        <v>19</v>
      </c>
      <c r="E286" t="s">
        <v>40</v>
      </c>
    </row>
    <row r="287" spans="2:6" x14ac:dyDescent="0.35">
      <c r="B287" s="87" t="s">
        <v>87</v>
      </c>
      <c r="C287" t="s">
        <v>22</v>
      </c>
      <c r="D287" t="s">
        <v>21</v>
      </c>
      <c r="E287" t="s">
        <v>22</v>
      </c>
      <c r="F287" t="s">
        <v>21</v>
      </c>
    </row>
    <row r="288" spans="2:6" x14ac:dyDescent="0.35">
      <c r="B288" s="88">
        <v>1</v>
      </c>
      <c r="C288">
        <v>15</v>
      </c>
      <c r="D288">
        <v>16</v>
      </c>
      <c r="E288">
        <v>2.5925925925925925E-2</v>
      </c>
      <c r="F288">
        <v>2.2222222222222223E-2</v>
      </c>
    </row>
    <row r="289" spans="2:6" x14ac:dyDescent="0.35">
      <c r="B289" s="88">
        <v>2</v>
      </c>
      <c r="C289">
        <v>13</v>
      </c>
      <c r="D289">
        <v>16</v>
      </c>
      <c r="E289">
        <v>5.9259259259259255E-2</v>
      </c>
      <c r="F289">
        <v>4.4444444444444446E-2</v>
      </c>
    </row>
    <row r="290" spans="2:6" x14ac:dyDescent="0.35">
      <c r="B290" s="88">
        <v>3</v>
      </c>
      <c r="C290">
        <v>14</v>
      </c>
      <c r="D290">
        <v>16</v>
      </c>
      <c r="E290">
        <v>0.1</v>
      </c>
      <c r="F290">
        <v>9.6296296296296297E-2</v>
      </c>
    </row>
    <row r="291" spans="2:6" x14ac:dyDescent="0.35">
      <c r="B291" s="88">
        <v>4</v>
      </c>
      <c r="C291">
        <v>11</v>
      </c>
      <c r="D291">
        <v>16</v>
      </c>
      <c r="E291">
        <v>0.18518518518518517</v>
      </c>
      <c r="F291">
        <v>0.14814814814814817</v>
      </c>
    </row>
    <row r="292" spans="2:6" x14ac:dyDescent="0.35">
      <c r="B292" s="88">
        <v>5</v>
      </c>
      <c r="C292">
        <v>16</v>
      </c>
      <c r="D292">
        <v>16</v>
      </c>
      <c r="E292">
        <v>0.26296296296296301</v>
      </c>
      <c r="F292">
        <v>0.21111111111111108</v>
      </c>
    </row>
    <row r="293" spans="2:6" x14ac:dyDescent="0.35">
      <c r="B293" s="88">
        <v>6</v>
      </c>
      <c r="C293">
        <v>14</v>
      </c>
      <c r="D293">
        <v>16</v>
      </c>
      <c r="E293">
        <v>0.35555555555555546</v>
      </c>
      <c r="F293">
        <v>0.28888888888888892</v>
      </c>
    </row>
    <row r="294" spans="2:6" x14ac:dyDescent="0.35">
      <c r="B294" s="88">
        <v>7</v>
      </c>
      <c r="C294">
        <v>16</v>
      </c>
      <c r="D294">
        <v>16</v>
      </c>
      <c r="E294">
        <v>0.47037037037037033</v>
      </c>
      <c r="F294">
        <v>0.38888888888888878</v>
      </c>
    </row>
    <row r="295" spans="2:6" x14ac:dyDescent="0.35">
      <c r="B295" s="88">
        <v>8</v>
      </c>
      <c r="C295">
        <v>15</v>
      </c>
      <c r="D295">
        <v>16</v>
      </c>
      <c r="E295">
        <v>0.57037037037037053</v>
      </c>
      <c r="F295">
        <v>0.48888888888888893</v>
      </c>
    </row>
    <row r="296" spans="2:6" x14ac:dyDescent="0.35">
      <c r="B296" s="88">
        <v>9</v>
      </c>
      <c r="C296">
        <v>13</v>
      </c>
      <c r="D296">
        <v>16</v>
      </c>
      <c r="E296">
        <v>0.65555555555555567</v>
      </c>
      <c r="F296">
        <v>0.5888888888888888</v>
      </c>
    </row>
    <row r="297" spans="2:6" x14ac:dyDescent="0.35">
      <c r="B297" s="88">
        <v>10</v>
      </c>
      <c r="C297">
        <v>14</v>
      </c>
      <c r="D297">
        <v>16</v>
      </c>
      <c r="E297">
        <v>0.7407407407407407</v>
      </c>
      <c r="F297">
        <v>0.68888888888888911</v>
      </c>
    </row>
    <row r="298" spans="2:6" x14ac:dyDescent="0.35">
      <c r="B298" s="88">
        <v>11</v>
      </c>
      <c r="C298">
        <v>11</v>
      </c>
      <c r="D298">
        <v>16</v>
      </c>
      <c r="E298">
        <v>0.79999999999999982</v>
      </c>
      <c r="F298">
        <v>0.76666666666666661</v>
      </c>
    </row>
    <row r="299" spans="2:6" x14ac:dyDescent="0.35">
      <c r="B299" s="88">
        <v>12</v>
      </c>
      <c r="C299">
        <v>16</v>
      </c>
      <c r="D299">
        <v>16</v>
      </c>
      <c r="E299">
        <v>0.85925925925925928</v>
      </c>
      <c r="F299">
        <v>0.84444444444444433</v>
      </c>
    </row>
    <row r="300" spans="2:6" x14ac:dyDescent="0.35">
      <c r="B300" s="88">
        <v>13</v>
      </c>
      <c r="C300">
        <v>14</v>
      </c>
      <c r="D300">
        <v>16</v>
      </c>
      <c r="E300">
        <v>0.91851851851851862</v>
      </c>
      <c r="F300">
        <v>0.89259259259259249</v>
      </c>
    </row>
    <row r="301" spans="2:6" x14ac:dyDescent="0.35">
      <c r="B301" s="88">
        <v>14</v>
      </c>
      <c r="C301">
        <v>16</v>
      </c>
      <c r="D301">
        <v>16</v>
      </c>
      <c r="E301">
        <v>0.97037037037037044</v>
      </c>
      <c r="F301">
        <v>0.94074074074074077</v>
      </c>
    </row>
    <row r="302" spans="2:6" x14ac:dyDescent="0.35">
      <c r="B302" s="88">
        <v>15</v>
      </c>
      <c r="C302">
        <v>15</v>
      </c>
      <c r="D302">
        <v>16</v>
      </c>
      <c r="E302">
        <v>1</v>
      </c>
      <c r="F302">
        <v>0.97777777777777786</v>
      </c>
    </row>
    <row r="303" spans="2:6" x14ac:dyDescent="0.35">
      <c r="B303" s="88">
        <v>16</v>
      </c>
      <c r="C303">
        <v>13</v>
      </c>
      <c r="D303">
        <v>16</v>
      </c>
      <c r="E303">
        <v>1</v>
      </c>
      <c r="F303">
        <v>1</v>
      </c>
    </row>
    <row r="304" spans="2:6" x14ac:dyDescent="0.35">
      <c r="B304" s="88">
        <v>17</v>
      </c>
      <c r="C304">
        <v>14</v>
      </c>
      <c r="D304">
        <v>16</v>
      </c>
      <c r="E304">
        <v>1</v>
      </c>
      <c r="F304">
        <v>1</v>
      </c>
    </row>
    <row r="305" spans="2:6" x14ac:dyDescent="0.35">
      <c r="B305" s="88">
        <v>18</v>
      </c>
      <c r="C305">
        <v>11</v>
      </c>
      <c r="D305">
        <v>16</v>
      </c>
      <c r="E305">
        <v>1</v>
      </c>
      <c r="F305">
        <v>1</v>
      </c>
    </row>
    <row r="306" spans="2:6" x14ac:dyDescent="0.35">
      <c r="B306" s="88">
        <v>19</v>
      </c>
      <c r="C306">
        <v>16</v>
      </c>
      <c r="D306">
        <v>16</v>
      </c>
      <c r="E306">
        <v>1</v>
      </c>
      <c r="F306">
        <v>1</v>
      </c>
    </row>
    <row r="307" spans="2:6" x14ac:dyDescent="0.35">
      <c r="B307" s="88">
        <v>20</v>
      </c>
      <c r="C307">
        <v>14</v>
      </c>
      <c r="D307">
        <v>16</v>
      </c>
      <c r="E307">
        <v>1</v>
      </c>
      <c r="F307">
        <v>1</v>
      </c>
    </row>
    <row r="308" spans="2:6" x14ac:dyDescent="0.35">
      <c r="B308" s="88">
        <v>21</v>
      </c>
      <c r="C308">
        <v>16</v>
      </c>
      <c r="D308">
        <v>16</v>
      </c>
      <c r="E308">
        <v>1</v>
      </c>
      <c r="F308">
        <v>1</v>
      </c>
    </row>
    <row r="309" spans="2:6" x14ac:dyDescent="0.35">
      <c r="B309" s="88">
        <v>22</v>
      </c>
      <c r="C309">
        <v>15</v>
      </c>
      <c r="D309">
        <v>16</v>
      </c>
      <c r="E309">
        <v>1</v>
      </c>
      <c r="F309">
        <v>1</v>
      </c>
    </row>
    <row r="310" spans="2:6" x14ac:dyDescent="0.35">
      <c r="B310" s="88">
        <v>23</v>
      </c>
      <c r="C310">
        <v>13</v>
      </c>
      <c r="D310">
        <v>16</v>
      </c>
      <c r="E310">
        <v>1</v>
      </c>
      <c r="F310">
        <v>1</v>
      </c>
    </row>
    <row r="311" spans="2:6" x14ac:dyDescent="0.35">
      <c r="B311" s="88">
        <v>24</v>
      </c>
      <c r="C311">
        <v>14</v>
      </c>
      <c r="D311">
        <v>16</v>
      </c>
      <c r="E311">
        <v>1</v>
      </c>
      <c r="F311">
        <v>1</v>
      </c>
    </row>
    <row r="312" spans="2:6" x14ac:dyDescent="0.35">
      <c r="B312" s="88">
        <v>25</v>
      </c>
      <c r="C312">
        <v>11</v>
      </c>
      <c r="D312">
        <v>16</v>
      </c>
      <c r="E312">
        <v>1</v>
      </c>
      <c r="F312">
        <v>1</v>
      </c>
    </row>
    <row r="313" spans="2:6" x14ac:dyDescent="0.35">
      <c r="B313" s="88">
        <v>26</v>
      </c>
      <c r="C313">
        <v>16</v>
      </c>
      <c r="D313">
        <v>16</v>
      </c>
      <c r="E313">
        <v>1</v>
      </c>
      <c r="F313">
        <v>1</v>
      </c>
    </row>
    <row r="314" spans="2:6" x14ac:dyDescent="0.35">
      <c r="B314" s="88">
        <v>27</v>
      </c>
      <c r="C314">
        <v>14</v>
      </c>
      <c r="D314">
        <v>16</v>
      </c>
      <c r="E314">
        <v>1</v>
      </c>
      <c r="F314">
        <v>1</v>
      </c>
    </row>
    <row r="315" spans="2:6" x14ac:dyDescent="0.35">
      <c r="B315" s="88">
        <v>28</v>
      </c>
      <c r="C315">
        <v>16</v>
      </c>
      <c r="D315">
        <v>16</v>
      </c>
      <c r="E315">
        <v>1</v>
      </c>
      <c r="F315">
        <v>1</v>
      </c>
    </row>
    <row r="316" spans="2:6" x14ac:dyDescent="0.35">
      <c r="B316" s="88">
        <v>29</v>
      </c>
      <c r="C316">
        <v>12</v>
      </c>
      <c r="D316">
        <v>16</v>
      </c>
      <c r="E316">
        <v>1</v>
      </c>
      <c r="F316">
        <v>1</v>
      </c>
    </row>
    <row r="317" spans="2:6" x14ac:dyDescent="0.35">
      <c r="B317" s="88">
        <v>30</v>
      </c>
      <c r="C317">
        <v>11</v>
      </c>
      <c r="D317">
        <v>16</v>
      </c>
      <c r="E317">
        <v>1</v>
      </c>
      <c r="F317">
        <v>1</v>
      </c>
    </row>
    <row r="318" spans="2:6" x14ac:dyDescent="0.35">
      <c r="B318" s="88">
        <v>31</v>
      </c>
      <c r="C318">
        <v>15</v>
      </c>
      <c r="D318">
        <v>16</v>
      </c>
      <c r="E318">
        <v>1</v>
      </c>
      <c r="F318">
        <v>1</v>
      </c>
    </row>
    <row r="319" spans="2:6" x14ac:dyDescent="0.35">
      <c r="B319" s="88" t="s">
        <v>88</v>
      </c>
      <c r="C319">
        <v>434</v>
      </c>
      <c r="D319">
        <v>496</v>
      </c>
      <c r="E319">
        <v>23.974074074074075</v>
      </c>
      <c r="F319">
        <v>23.388888888888889</v>
      </c>
    </row>
    <row r="329" spans="2:4" x14ac:dyDescent="0.35">
      <c r="B329" s="87" t="s">
        <v>148</v>
      </c>
      <c r="C329" s="87" t="s">
        <v>90</v>
      </c>
    </row>
    <row r="330" spans="2:4" x14ac:dyDescent="0.35">
      <c r="B330" s="87" t="s">
        <v>149</v>
      </c>
      <c r="C330" t="s">
        <v>22</v>
      </c>
      <c r="D330" t="s">
        <v>21</v>
      </c>
    </row>
    <row r="331" spans="2:4" x14ac:dyDescent="0.35">
      <c r="B331" s="88">
        <v>1</v>
      </c>
      <c r="C331" s="77">
        <v>2.5925925925925925E-2</v>
      </c>
      <c r="D331" s="77">
        <v>2.2222222222222223E-2</v>
      </c>
    </row>
    <row r="332" spans="2:4" x14ac:dyDescent="0.35">
      <c r="B332" s="88">
        <v>2</v>
      </c>
      <c r="C332" s="77">
        <v>5.9259259259259255E-2</v>
      </c>
      <c r="D332" s="77">
        <v>4.4444444444444446E-2</v>
      </c>
    </row>
    <row r="333" spans="2:4" x14ac:dyDescent="0.35">
      <c r="B333" s="88">
        <v>3</v>
      </c>
      <c r="C333" s="77">
        <v>0.1</v>
      </c>
      <c r="D333" s="77">
        <v>9.6296296296296297E-2</v>
      </c>
    </row>
    <row r="334" spans="2:4" x14ac:dyDescent="0.35">
      <c r="B334" s="88">
        <v>4</v>
      </c>
      <c r="C334" s="77">
        <v>0.18518518518518517</v>
      </c>
      <c r="D334" s="77">
        <v>0.14814814814814817</v>
      </c>
    </row>
    <row r="335" spans="2:4" x14ac:dyDescent="0.35">
      <c r="B335" s="88">
        <v>5</v>
      </c>
      <c r="C335" s="77">
        <v>0.26296296296296301</v>
      </c>
      <c r="D335" s="77">
        <v>0.21111111111111108</v>
      </c>
    </row>
    <row r="336" spans="2:4" x14ac:dyDescent="0.35">
      <c r="B336" s="88">
        <v>6</v>
      </c>
      <c r="C336" s="77">
        <v>0.35555555555555546</v>
      </c>
      <c r="D336" s="77">
        <v>0.28888888888888892</v>
      </c>
    </row>
    <row r="337" spans="2:4" x14ac:dyDescent="0.35">
      <c r="B337" s="88">
        <v>7</v>
      </c>
      <c r="C337" s="77">
        <v>0.47037037037037033</v>
      </c>
      <c r="D337" s="77">
        <v>0.38888888888888878</v>
      </c>
    </row>
    <row r="338" spans="2:4" x14ac:dyDescent="0.35">
      <c r="B338" s="88">
        <v>8</v>
      </c>
      <c r="C338" s="77">
        <v>0.57037037037037053</v>
      </c>
      <c r="D338" s="77">
        <v>0.48888888888888893</v>
      </c>
    </row>
    <row r="339" spans="2:4" x14ac:dyDescent="0.35">
      <c r="B339" s="88">
        <v>9</v>
      </c>
      <c r="C339" s="77">
        <v>0.65555555555555567</v>
      </c>
      <c r="D339" s="77">
        <v>0.5888888888888888</v>
      </c>
    </row>
    <row r="340" spans="2:4" x14ac:dyDescent="0.35">
      <c r="B340" s="88">
        <v>10</v>
      </c>
      <c r="C340" s="77">
        <v>0.7407407407407407</v>
      </c>
      <c r="D340" s="77">
        <v>0.68888888888888911</v>
      </c>
    </row>
    <row r="341" spans="2:4" x14ac:dyDescent="0.35">
      <c r="B341" s="88">
        <v>11</v>
      </c>
      <c r="C341" s="77">
        <v>0.79999999999999982</v>
      </c>
      <c r="D341" s="77">
        <v>0.76666666666666661</v>
      </c>
    </row>
    <row r="342" spans="2:4" x14ac:dyDescent="0.35">
      <c r="B342" s="88">
        <v>12</v>
      </c>
      <c r="C342" s="77">
        <v>0.85925925925925928</v>
      </c>
      <c r="D342" s="77">
        <v>0.84444444444444433</v>
      </c>
    </row>
    <row r="343" spans="2:4" x14ac:dyDescent="0.35">
      <c r="B343" s="88">
        <v>13</v>
      </c>
      <c r="C343" s="77">
        <v>0.91851851851851862</v>
      </c>
      <c r="D343" s="77">
        <v>0.89259259259259249</v>
      </c>
    </row>
    <row r="344" spans="2:4" x14ac:dyDescent="0.35">
      <c r="B344" s="88">
        <v>14</v>
      </c>
      <c r="C344" s="77">
        <v>0.97037037037037044</v>
      </c>
      <c r="D344" s="77">
        <v>0.94074074074074077</v>
      </c>
    </row>
    <row r="345" spans="2:4" x14ac:dyDescent="0.35">
      <c r="B345" s="88">
        <v>15</v>
      </c>
      <c r="C345" s="77">
        <v>1</v>
      </c>
      <c r="D345" s="77">
        <v>0.97777777777777786</v>
      </c>
    </row>
    <row r="346" spans="2:4" x14ac:dyDescent="0.35">
      <c r="B346" s="88">
        <v>16</v>
      </c>
      <c r="C346" s="77">
        <v>1</v>
      </c>
      <c r="D346" s="77">
        <v>1</v>
      </c>
    </row>
    <row r="347" spans="2:4" x14ac:dyDescent="0.35">
      <c r="B347" s="88">
        <v>17</v>
      </c>
      <c r="C347" s="77">
        <v>1</v>
      </c>
      <c r="D347" s="77">
        <v>1</v>
      </c>
    </row>
    <row r="348" spans="2:4" x14ac:dyDescent="0.35">
      <c r="B348" s="88">
        <v>18</v>
      </c>
      <c r="C348" s="77">
        <v>1</v>
      </c>
      <c r="D348" s="77">
        <v>1</v>
      </c>
    </row>
    <row r="349" spans="2:4" x14ac:dyDescent="0.35">
      <c r="B349" s="88">
        <v>19</v>
      </c>
      <c r="C349" s="77">
        <v>1</v>
      </c>
      <c r="D349" s="77">
        <v>1</v>
      </c>
    </row>
    <row r="350" spans="2:4" x14ac:dyDescent="0.35">
      <c r="B350" s="88">
        <v>20</v>
      </c>
      <c r="C350" s="77">
        <v>1</v>
      </c>
      <c r="D350" s="77">
        <v>1</v>
      </c>
    </row>
    <row r="351" spans="2:4" x14ac:dyDescent="0.35">
      <c r="B351" s="88">
        <v>21</v>
      </c>
      <c r="C351" s="77">
        <v>1</v>
      </c>
      <c r="D351" s="77">
        <v>1</v>
      </c>
    </row>
    <row r="352" spans="2:4" x14ac:dyDescent="0.35">
      <c r="B352" s="88">
        <v>22</v>
      </c>
      <c r="C352" s="77">
        <v>1</v>
      </c>
      <c r="D352" s="77">
        <v>1</v>
      </c>
    </row>
    <row r="353" spans="2:4" x14ac:dyDescent="0.35">
      <c r="B353" s="88">
        <v>23</v>
      </c>
      <c r="C353" s="77">
        <v>1</v>
      </c>
      <c r="D353" s="77">
        <v>1</v>
      </c>
    </row>
    <row r="354" spans="2:4" x14ac:dyDescent="0.35">
      <c r="B354" s="88">
        <v>24</v>
      </c>
      <c r="C354" s="77">
        <v>1</v>
      </c>
      <c r="D354" s="77">
        <v>1</v>
      </c>
    </row>
    <row r="355" spans="2:4" x14ac:dyDescent="0.35">
      <c r="B355" s="88">
        <v>25</v>
      </c>
      <c r="C355" s="77">
        <v>1</v>
      </c>
      <c r="D355" s="77">
        <v>1</v>
      </c>
    </row>
    <row r="356" spans="2:4" x14ac:dyDescent="0.35">
      <c r="B356" s="88">
        <v>26</v>
      </c>
      <c r="C356" s="77">
        <v>1</v>
      </c>
      <c r="D356" s="77">
        <v>1</v>
      </c>
    </row>
    <row r="357" spans="2:4" x14ac:dyDescent="0.35">
      <c r="B357" s="88">
        <v>27</v>
      </c>
      <c r="C357" s="77">
        <v>1</v>
      </c>
      <c r="D357" s="77">
        <v>1</v>
      </c>
    </row>
    <row r="358" spans="2:4" x14ac:dyDescent="0.35">
      <c r="B358" s="88">
        <v>28</v>
      </c>
      <c r="C358" s="77">
        <v>1</v>
      </c>
      <c r="D358" s="77">
        <v>1</v>
      </c>
    </row>
    <row r="359" spans="2:4" x14ac:dyDescent="0.35">
      <c r="B359" s="88">
        <v>29</v>
      </c>
      <c r="C359" s="77">
        <v>1</v>
      </c>
      <c r="D359" s="77">
        <v>1</v>
      </c>
    </row>
    <row r="360" spans="2:4" x14ac:dyDescent="0.35">
      <c r="B360" s="88">
        <v>30</v>
      </c>
      <c r="C360" s="77">
        <v>1</v>
      </c>
      <c r="D360" s="77">
        <v>1</v>
      </c>
    </row>
    <row r="361" spans="2:4" x14ac:dyDescent="0.35">
      <c r="B361" s="88">
        <v>31</v>
      </c>
      <c r="C361" s="77">
        <v>1</v>
      </c>
      <c r="D361" s="77">
        <v>1</v>
      </c>
    </row>
    <row r="369" spans="2:5" x14ac:dyDescent="0.35">
      <c r="B369" s="87" t="s">
        <v>44</v>
      </c>
      <c r="C369" t="s">
        <v>19</v>
      </c>
      <c r="D369" t="s">
        <v>159</v>
      </c>
      <c r="E369" t="s">
        <v>160</v>
      </c>
    </row>
    <row r="370" spans="2:5" x14ac:dyDescent="0.35">
      <c r="B370" s="88">
        <v>1</v>
      </c>
      <c r="C370" s="143">
        <v>15</v>
      </c>
      <c r="D370" s="144">
        <v>2.5925925925925925E-2</v>
      </c>
      <c r="E370" s="144">
        <v>2.2222222222222223E-2</v>
      </c>
    </row>
    <row r="371" spans="2:5" x14ac:dyDescent="0.35">
      <c r="B371" s="88">
        <v>2</v>
      </c>
      <c r="C371" s="143">
        <v>15</v>
      </c>
      <c r="D371" s="144">
        <v>5.9259259259259255E-2</v>
      </c>
      <c r="E371" s="144">
        <v>4.4444444444444446E-2</v>
      </c>
    </row>
    <row r="372" spans="2:5" x14ac:dyDescent="0.35">
      <c r="B372" s="88">
        <v>3</v>
      </c>
      <c r="C372" s="143">
        <v>13</v>
      </c>
      <c r="D372" s="144">
        <v>0.1</v>
      </c>
      <c r="E372" s="144">
        <v>9.6296296296296297E-2</v>
      </c>
    </row>
    <row r="373" spans="2:5" x14ac:dyDescent="0.35">
      <c r="B373" s="88">
        <v>4</v>
      </c>
      <c r="C373" s="143">
        <v>13</v>
      </c>
      <c r="D373" s="144">
        <v>0.18518518518518517</v>
      </c>
      <c r="E373" s="144">
        <v>0.14814814814814817</v>
      </c>
    </row>
    <row r="374" spans="2:5" x14ac:dyDescent="0.35">
      <c r="B374" s="88">
        <v>5</v>
      </c>
      <c r="C374" s="143">
        <v>14</v>
      </c>
      <c r="D374" s="144">
        <v>0.26296296296296301</v>
      </c>
      <c r="E374" s="144">
        <v>0.21111111111111108</v>
      </c>
    </row>
    <row r="375" spans="2:5" x14ac:dyDescent="0.35">
      <c r="B375" s="88">
        <v>6</v>
      </c>
      <c r="C375" s="143">
        <v>14</v>
      </c>
      <c r="D375" s="144">
        <v>0.35555555555555546</v>
      </c>
      <c r="E375" s="144">
        <v>0.28888888888888892</v>
      </c>
    </row>
    <row r="376" spans="2:5" x14ac:dyDescent="0.35">
      <c r="B376" s="88">
        <v>7</v>
      </c>
      <c r="C376" s="143">
        <v>11</v>
      </c>
      <c r="D376" s="144">
        <v>0.47037037037037033</v>
      </c>
      <c r="E376" s="144">
        <v>0.38888888888888878</v>
      </c>
    </row>
    <row r="377" spans="2:5" x14ac:dyDescent="0.35">
      <c r="B377" s="88">
        <v>8</v>
      </c>
      <c r="C377" s="143">
        <v>11</v>
      </c>
      <c r="D377" s="144">
        <v>0.57037037037037053</v>
      </c>
      <c r="E377" s="144">
        <v>0.48888888888888893</v>
      </c>
    </row>
    <row r="378" spans="2:5" x14ac:dyDescent="0.35">
      <c r="B378" s="88">
        <v>9</v>
      </c>
      <c r="C378" s="143">
        <v>16</v>
      </c>
      <c r="D378" s="144">
        <v>0.65555555555555567</v>
      </c>
      <c r="E378" s="144">
        <v>0.5888888888888888</v>
      </c>
    </row>
    <row r="379" spans="2:5" x14ac:dyDescent="0.35">
      <c r="B379" s="88">
        <v>10</v>
      </c>
      <c r="C379" s="143">
        <v>16</v>
      </c>
      <c r="D379" s="144">
        <v>0.7407407407407407</v>
      </c>
      <c r="E379" s="144">
        <v>0.68888888888888911</v>
      </c>
    </row>
    <row r="380" spans="2:5" x14ac:dyDescent="0.35">
      <c r="B380" s="88">
        <v>11</v>
      </c>
      <c r="C380" s="143">
        <v>14</v>
      </c>
      <c r="D380" s="144">
        <v>0.79999999999999982</v>
      </c>
      <c r="E380" s="144">
        <v>0.76666666666666661</v>
      </c>
    </row>
    <row r="381" spans="2:5" x14ac:dyDescent="0.35">
      <c r="B381" s="88">
        <v>12</v>
      </c>
      <c r="C381" s="143">
        <v>14</v>
      </c>
      <c r="D381" s="144">
        <v>0.85925925925925928</v>
      </c>
      <c r="E381" s="144">
        <v>0.84444444444444433</v>
      </c>
    </row>
    <row r="382" spans="2:5" x14ac:dyDescent="0.35">
      <c r="B382" s="88">
        <v>13</v>
      </c>
      <c r="C382" s="143">
        <v>16</v>
      </c>
      <c r="D382" s="144">
        <v>0.91851851851851862</v>
      </c>
      <c r="E382" s="144">
        <v>0.89259259259259249</v>
      </c>
    </row>
    <row r="383" spans="2:5" x14ac:dyDescent="0.35">
      <c r="B383" s="88">
        <v>14</v>
      </c>
      <c r="C383" s="143">
        <v>16</v>
      </c>
      <c r="D383" s="144">
        <v>0.97037037037037044</v>
      </c>
      <c r="E383" s="144">
        <v>0.94074074074074077</v>
      </c>
    </row>
    <row r="384" spans="2:5" x14ac:dyDescent="0.35">
      <c r="B384" s="88">
        <v>15</v>
      </c>
      <c r="C384" s="143">
        <v>15</v>
      </c>
      <c r="D384" s="144">
        <v>1</v>
      </c>
      <c r="E384" s="144">
        <v>0.97777777777777786</v>
      </c>
    </row>
    <row r="385" spans="2:5" x14ac:dyDescent="0.35">
      <c r="B385" s="88">
        <v>16</v>
      </c>
      <c r="C385" s="143">
        <v>15</v>
      </c>
      <c r="D385" s="144">
        <v>1</v>
      </c>
      <c r="E385" s="144">
        <v>1</v>
      </c>
    </row>
    <row r="386" spans="2:5" x14ac:dyDescent="0.35">
      <c r="B386" s="88">
        <v>17</v>
      </c>
      <c r="C386" s="143">
        <v>13</v>
      </c>
      <c r="D386" s="144">
        <v>1</v>
      </c>
      <c r="E386" s="144">
        <v>1</v>
      </c>
    </row>
    <row r="387" spans="2:5" x14ac:dyDescent="0.35">
      <c r="B387" s="88">
        <v>18</v>
      </c>
      <c r="C387" s="143">
        <v>13</v>
      </c>
      <c r="D387" s="144">
        <v>1</v>
      </c>
      <c r="E387" s="144">
        <v>1</v>
      </c>
    </row>
    <row r="388" spans="2:5" x14ac:dyDescent="0.35">
      <c r="B388" s="88">
        <v>19</v>
      </c>
      <c r="C388" s="143">
        <v>14</v>
      </c>
      <c r="D388" s="144">
        <v>1</v>
      </c>
      <c r="E388" s="144">
        <v>1</v>
      </c>
    </row>
    <row r="389" spans="2:5" x14ac:dyDescent="0.35">
      <c r="B389" s="88">
        <v>20</v>
      </c>
      <c r="C389" s="143">
        <v>14</v>
      </c>
      <c r="D389" s="144">
        <v>1</v>
      </c>
      <c r="E389" s="144">
        <v>1</v>
      </c>
    </row>
    <row r="390" spans="2:5" x14ac:dyDescent="0.35">
      <c r="B390" s="88">
        <v>21</v>
      </c>
      <c r="C390" s="143">
        <v>11</v>
      </c>
      <c r="D390" s="144">
        <v>1</v>
      </c>
      <c r="E390" s="144">
        <v>1</v>
      </c>
    </row>
    <row r="391" spans="2:5" x14ac:dyDescent="0.35">
      <c r="B391" s="88">
        <v>22</v>
      </c>
      <c r="C391" s="143">
        <v>11</v>
      </c>
      <c r="D391" s="144">
        <v>1</v>
      </c>
      <c r="E391" s="144">
        <v>1</v>
      </c>
    </row>
    <row r="392" spans="2:5" x14ac:dyDescent="0.35">
      <c r="B392" s="88">
        <v>23</v>
      </c>
      <c r="C392" s="143">
        <v>16</v>
      </c>
      <c r="D392" s="144">
        <v>1</v>
      </c>
      <c r="E392" s="144">
        <v>1</v>
      </c>
    </row>
    <row r="393" spans="2:5" x14ac:dyDescent="0.35">
      <c r="B393" s="88">
        <v>24</v>
      </c>
      <c r="C393" s="143">
        <v>16</v>
      </c>
      <c r="D393" s="144">
        <v>1</v>
      </c>
      <c r="E393" s="144">
        <v>1</v>
      </c>
    </row>
    <row r="394" spans="2:5" x14ac:dyDescent="0.35">
      <c r="B394" s="88">
        <v>25</v>
      </c>
      <c r="C394" s="143">
        <v>14</v>
      </c>
      <c r="D394" s="144">
        <v>1</v>
      </c>
      <c r="E394" s="144">
        <v>1</v>
      </c>
    </row>
    <row r="395" spans="2:5" x14ac:dyDescent="0.35">
      <c r="B395" s="88">
        <v>26</v>
      </c>
      <c r="C395" s="143">
        <v>14</v>
      </c>
      <c r="D395" s="144">
        <v>1</v>
      </c>
      <c r="E395" s="144">
        <v>1</v>
      </c>
    </row>
    <row r="396" spans="2:5" x14ac:dyDescent="0.35">
      <c r="B396" s="88">
        <v>27</v>
      </c>
      <c r="C396" s="143">
        <v>16</v>
      </c>
      <c r="D396" s="144">
        <v>1</v>
      </c>
      <c r="E396" s="144">
        <v>1</v>
      </c>
    </row>
    <row r="397" spans="2:5" x14ac:dyDescent="0.35">
      <c r="B397" s="88">
        <v>28</v>
      </c>
      <c r="C397" s="143">
        <v>16</v>
      </c>
      <c r="D397" s="144">
        <v>1</v>
      </c>
      <c r="E397" s="144">
        <v>1</v>
      </c>
    </row>
    <row r="398" spans="2:5" x14ac:dyDescent="0.35">
      <c r="B398" s="88">
        <v>29</v>
      </c>
      <c r="C398" s="143">
        <v>15</v>
      </c>
      <c r="D398" s="144">
        <v>1</v>
      </c>
      <c r="E398" s="144">
        <v>1</v>
      </c>
    </row>
    <row r="399" spans="2:5" x14ac:dyDescent="0.35">
      <c r="B399" s="88">
        <v>30</v>
      </c>
      <c r="C399" s="143">
        <v>15</v>
      </c>
      <c r="D399" s="144">
        <v>1</v>
      </c>
      <c r="E399" s="144">
        <v>1</v>
      </c>
    </row>
    <row r="400" spans="2:5" x14ac:dyDescent="0.35">
      <c r="B400" s="88">
        <v>31</v>
      </c>
      <c r="C400" s="143">
        <v>13</v>
      </c>
      <c r="D400" s="144">
        <v>1</v>
      </c>
      <c r="E400" s="144">
        <v>1</v>
      </c>
    </row>
    <row r="403" spans="2:5" x14ac:dyDescent="0.35">
      <c r="B403" s="87" t="s">
        <v>44</v>
      </c>
      <c r="C403" t="s">
        <v>144</v>
      </c>
      <c r="D403" t="s">
        <v>159</v>
      </c>
      <c r="E403" t="s">
        <v>160</v>
      </c>
    </row>
    <row r="404" spans="2:5" x14ac:dyDescent="0.35">
      <c r="B404" s="88">
        <v>1</v>
      </c>
      <c r="C404" s="201">
        <v>0.87</v>
      </c>
      <c r="D404" s="144">
        <v>2.5925925925925925E-2</v>
      </c>
      <c r="E404" s="144">
        <v>2.2222222222222223E-2</v>
      </c>
    </row>
    <row r="405" spans="2:5" x14ac:dyDescent="0.35">
      <c r="B405" s="88">
        <v>2</v>
      </c>
      <c r="C405" s="201">
        <v>0.87</v>
      </c>
      <c r="D405" s="144">
        <v>5.9259259259259255E-2</v>
      </c>
      <c r="E405" s="144">
        <v>4.4444444444444446E-2</v>
      </c>
    </row>
    <row r="406" spans="2:5" x14ac:dyDescent="0.35">
      <c r="B406" s="88">
        <v>3</v>
      </c>
      <c r="C406" s="201">
        <v>0.8</v>
      </c>
      <c r="D406" s="144">
        <v>0.1</v>
      </c>
      <c r="E406" s="144">
        <v>9.6296296296296297E-2</v>
      </c>
    </row>
    <row r="407" spans="2:5" x14ac:dyDescent="0.35">
      <c r="B407" s="88">
        <v>4</v>
      </c>
      <c r="C407" s="201">
        <v>0.8</v>
      </c>
      <c r="D407" s="144">
        <v>0.18518518518518517</v>
      </c>
      <c r="E407" s="144">
        <v>0.14814814814814817</v>
      </c>
    </row>
    <row r="408" spans="2:5" x14ac:dyDescent="0.35">
      <c r="B408" s="88">
        <v>5</v>
      </c>
      <c r="C408" s="201">
        <v>0.83</v>
      </c>
      <c r="D408" s="144">
        <v>0.26296296296296301</v>
      </c>
      <c r="E408" s="144">
        <v>0.21111111111111108</v>
      </c>
    </row>
    <row r="409" spans="2:5" x14ac:dyDescent="0.35">
      <c r="B409" s="88">
        <v>6</v>
      </c>
      <c r="C409" s="201">
        <v>0.83</v>
      </c>
      <c r="D409" s="144">
        <v>0.35555555555555546</v>
      </c>
      <c r="E409" s="144">
        <v>0.28888888888888892</v>
      </c>
    </row>
    <row r="410" spans="2:5" x14ac:dyDescent="0.35">
      <c r="B410" s="88">
        <v>7</v>
      </c>
      <c r="C410" s="201">
        <v>0.72</v>
      </c>
      <c r="D410" s="144">
        <v>0.47037037037037033</v>
      </c>
      <c r="E410" s="144">
        <v>0.38888888888888878</v>
      </c>
    </row>
    <row r="411" spans="2:5" x14ac:dyDescent="0.35">
      <c r="B411" s="88">
        <v>8</v>
      </c>
      <c r="C411" s="201">
        <v>0.72</v>
      </c>
      <c r="D411" s="144">
        <v>0.57037037037037053</v>
      </c>
      <c r="E411" s="144">
        <v>0.48888888888888893</v>
      </c>
    </row>
    <row r="412" spans="2:5" x14ac:dyDescent="0.35">
      <c r="B412" s="88">
        <v>9</v>
      </c>
      <c r="C412" s="201">
        <v>1</v>
      </c>
      <c r="D412" s="144">
        <v>0.65555555555555567</v>
      </c>
      <c r="E412" s="144">
        <v>0.5888888888888888</v>
      </c>
    </row>
    <row r="413" spans="2:5" x14ac:dyDescent="0.35">
      <c r="B413" s="88">
        <v>10</v>
      </c>
      <c r="C413" s="201">
        <v>1</v>
      </c>
      <c r="D413" s="144">
        <v>0.7407407407407407</v>
      </c>
      <c r="E413" s="144">
        <v>0.68888888888888911</v>
      </c>
    </row>
    <row r="414" spans="2:5" x14ac:dyDescent="0.35">
      <c r="B414" s="88">
        <v>11</v>
      </c>
      <c r="C414" s="201">
        <v>0.9</v>
      </c>
      <c r="D414" s="144">
        <v>0.79999999999999982</v>
      </c>
      <c r="E414" s="144">
        <v>0.76666666666666661</v>
      </c>
    </row>
    <row r="415" spans="2:5" x14ac:dyDescent="0.35">
      <c r="B415" s="88">
        <v>12</v>
      </c>
      <c r="C415" s="201">
        <v>0.9</v>
      </c>
      <c r="D415" s="144">
        <v>0.85925925925925928</v>
      </c>
      <c r="E415" s="144">
        <v>0.84444444444444433</v>
      </c>
    </row>
    <row r="416" spans="2:5" x14ac:dyDescent="0.35">
      <c r="B416" s="88">
        <v>13</v>
      </c>
      <c r="C416" s="201">
        <v>0.98</v>
      </c>
      <c r="D416" s="144">
        <v>0.91851851851851862</v>
      </c>
      <c r="E416" s="144">
        <v>0.89259259259259249</v>
      </c>
    </row>
    <row r="417" spans="2:5" x14ac:dyDescent="0.35">
      <c r="B417" s="88">
        <v>14</v>
      </c>
      <c r="C417" s="201">
        <v>0.98</v>
      </c>
      <c r="D417" s="144">
        <v>0.97037037037037044</v>
      </c>
      <c r="E417" s="144">
        <v>0.94074074074074077</v>
      </c>
    </row>
    <row r="418" spans="2:5" x14ac:dyDescent="0.35">
      <c r="B418" s="88">
        <v>15</v>
      </c>
      <c r="C418" s="201">
        <v>0.93</v>
      </c>
      <c r="D418" s="144">
        <v>1</v>
      </c>
      <c r="E418" s="144">
        <v>0.97777777777777786</v>
      </c>
    </row>
    <row r="419" spans="2:5" x14ac:dyDescent="0.35">
      <c r="B419" s="88">
        <v>16</v>
      </c>
      <c r="C419" s="201">
        <v>0.93</v>
      </c>
      <c r="D419" s="144">
        <v>1</v>
      </c>
      <c r="E419" s="144">
        <v>1</v>
      </c>
    </row>
    <row r="420" spans="2:5" x14ac:dyDescent="0.35">
      <c r="B420" s="88">
        <v>17</v>
      </c>
      <c r="C420" s="201">
        <v>0.87</v>
      </c>
      <c r="D420" s="144">
        <v>1</v>
      </c>
      <c r="E420" s="144">
        <v>1</v>
      </c>
    </row>
    <row r="421" spans="2:5" x14ac:dyDescent="0.35">
      <c r="B421" s="88">
        <v>18</v>
      </c>
      <c r="C421" s="201">
        <v>0.87</v>
      </c>
      <c r="D421" s="144">
        <v>1</v>
      </c>
      <c r="E421" s="144">
        <v>1</v>
      </c>
    </row>
    <row r="422" spans="2:5" x14ac:dyDescent="0.35">
      <c r="B422" s="88">
        <v>19</v>
      </c>
      <c r="C422" s="201">
        <v>0.8</v>
      </c>
      <c r="D422" s="144">
        <v>1</v>
      </c>
      <c r="E422" s="144">
        <v>1</v>
      </c>
    </row>
    <row r="423" spans="2:5" x14ac:dyDescent="0.35">
      <c r="B423" s="88">
        <v>20</v>
      </c>
      <c r="C423" s="201">
        <v>0.8</v>
      </c>
      <c r="D423" s="144">
        <v>1</v>
      </c>
      <c r="E423" s="144">
        <v>1</v>
      </c>
    </row>
    <row r="424" spans="2:5" x14ac:dyDescent="0.35">
      <c r="B424" s="88">
        <v>21</v>
      </c>
      <c r="C424" s="201">
        <v>0.83</v>
      </c>
      <c r="D424" s="144">
        <v>1</v>
      </c>
      <c r="E424" s="144">
        <v>1</v>
      </c>
    </row>
    <row r="425" spans="2:5" x14ac:dyDescent="0.35">
      <c r="B425" s="88">
        <v>22</v>
      </c>
      <c r="C425" s="201">
        <v>0.83</v>
      </c>
      <c r="D425" s="144">
        <v>1</v>
      </c>
      <c r="E425" s="144">
        <v>1</v>
      </c>
    </row>
    <row r="426" spans="2:5" x14ac:dyDescent="0.35">
      <c r="B426" s="88">
        <v>23</v>
      </c>
      <c r="C426" s="201">
        <v>0.72</v>
      </c>
      <c r="D426" s="144">
        <v>1</v>
      </c>
      <c r="E426" s="144">
        <v>1</v>
      </c>
    </row>
    <row r="427" spans="2:5" x14ac:dyDescent="0.35">
      <c r="B427" s="88">
        <v>24</v>
      </c>
      <c r="C427" s="201">
        <v>0.72</v>
      </c>
      <c r="D427" s="144">
        <v>1</v>
      </c>
      <c r="E427" s="144">
        <v>1</v>
      </c>
    </row>
    <row r="428" spans="2:5" x14ac:dyDescent="0.35">
      <c r="B428" s="88">
        <v>25</v>
      </c>
      <c r="C428" s="201">
        <v>1</v>
      </c>
      <c r="D428" s="144">
        <v>1</v>
      </c>
      <c r="E428" s="144">
        <v>1</v>
      </c>
    </row>
    <row r="429" spans="2:5" x14ac:dyDescent="0.35">
      <c r="B429" s="88">
        <v>26</v>
      </c>
      <c r="C429" s="201">
        <v>1</v>
      </c>
      <c r="D429" s="144">
        <v>1</v>
      </c>
      <c r="E429" s="144">
        <v>1</v>
      </c>
    </row>
    <row r="430" spans="2:5" x14ac:dyDescent="0.35">
      <c r="B430" s="88">
        <v>27</v>
      </c>
      <c r="C430" s="201">
        <v>0.9</v>
      </c>
      <c r="D430" s="144">
        <v>1</v>
      </c>
      <c r="E430" s="144">
        <v>1</v>
      </c>
    </row>
    <row r="431" spans="2:5" x14ac:dyDescent="0.35">
      <c r="B431" s="88">
        <v>28</v>
      </c>
      <c r="C431" s="201">
        <v>0.9</v>
      </c>
      <c r="D431" s="144">
        <v>1</v>
      </c>
      <c r="E431" s="144">
        <v>1</v>
      </c>
    </row>
    <row r="432" spans="2:5" x14ac:dyDescent="0.35">
      <c r="B432" s="88">
        <v>29</v>
      </c>
      <c r="C432" s="201">
        <v>0.98</v>
      </c>
      <c r="D432" s="144">
        <v>1</v>
      </c>
      <c r="E432" s="144">
        <v>1</v>
      </c>
    </row>
    <row r="433" spans="2:5" x14ac:dyDescent="0.35">
      <c r="B433" s="88">
        <v>30</v>
      </c>
      <c r="C433" s="201">
        <v>0.98</v>
      </c>
      <c r="D433" s="144">
        <v>1</v>
      </c>
      <c r="E433" s="144">
        <v>1</v>
      </c>
    </row>
    <row r="434" spans="2:5" x14ac:dyDescent="0.35">
      <c r="B434" s="88">
        <v>31</v>
      </c>
      <c r="C434" s="201">
        <v>0.93</v>
      </c>
      <c r="D434" s="144">
        <v>1</v>
      </c>
      <c r="E434" s="144">
        <v>1</v>
      </c>
    </row>
    <row r="442" spans="2:5" x14ac:dyDescent="0.35">
      <c r="B442" s="87" t="s">
        <v>44</v>
      </c>
      <c r="C442" t="s">
        <v>163</v>
      </c>
      <c r="D442" t="s">
        <v>159</v>
      </c>
      <c r="E442" t="s">
        <v>160</v>
      </c>
    </row>
    <row r="443" spans="2:5" x14ac:dyDescent="0.35">
      <c r="B443" s="88">
        <v>1</v>
      </c>
      <c r="C443">
        <v>80</v>
      </c>
      <c r="D443" s="144">
        <v>2.5925925925925925E-2</v>
      </c>
      <c r="E443" s="144">
        <v>2.2222222222222223E-2</v>
      </c>
    </row>
    <row r="444" spans="2:5" x14ac:dyDescent="0.35">
      <c r="B444" s="88">
        <v>2</v>
      </c>
      <c r="C444">
        <v>80</v>
      </c>
      <c r="D444" s="144">
        <v>5.9259259259259255E-2</v>
      </c>
      <c r="E444" s="144">
        <v>4.4444444444444446E-2</v>
      </c>
    </row>
    <row r="445" spans="2:5" x14ac:dyDescent="0.35">
      <c r="B445" s="88">
        <v>3</v>
      </c>
      <c r="C445">
        <v>60</v>
      </c>
      <c r="D445" s="144">
        <v>0.1</v>
      </c>
      <c r="E445" s="144">
        <v>9.6296296296296297E-2</v>
      </c>
    </row>
    <row r="446" spans="2:5" x14ac:dyDescent="0.35">
      <c r="B446" s="88">
        <v>4</v>
      </c>
      <c r="C446">
        <v>60</v>
      </c>
      <c r="D446" s="144">
        <v>0.18518518518518517</v>
      </c>
      <c r="E446" s="144">
        <v>0.14814814814814817</v>
      </c>
    </row>
    <row r="447" spans="2:5" x14ac:dyDescent="0.35">
      <c r="B447" s="88">
        <v>5</v>
      </c>
      <c r="C447">
        <v>50</v>
      </c>
      <c r="D447" s="144">
        <v>0.26296296296296301</v>
      </c>
      <c r="E447" s="144">
        <v>0.21111111111111108</v>
      </c>
    </row>
    <row r="448" spans="2:5" x14ac:dyDescent="0.35">
      <c r="B448" s="88">
        <v>6</v>
      </c>
      <c r="C448">
        <v>50</v>
      </c>
      <c r="D448" s="144">
        <v>0.35555555555555546</v>
      </c>
      <c r="E448" s="144">
        <v>0.28888888888888892</v>
      </c>
    </row>
    <row r="449" spans="2:5" x14ac:dyDescent="0.35">
      <c r="B449" s="88">
        <v>7</v>
      </c>
      <c r="C449">
        <v>75</v>
      </c>
      <c r="D449" s="144">
        <v>0.47037037037037033</v>
      </c>
      <c r="E449" s="144">
        <v>0.38888888888888878</v>
      </c>
    </row>
    <row r="450" spans="2:5" x14ac:dyDescent="0.35">
      <c r="B450" s="88">
        <v>8</v>
      </c>
      <c r="C450">
        <v>75</v>
      </c>
      <c r="D450" s="144">
        <v>0.57037037037037053</v>
      </c>
      <c r="E450" s="144">
        <v>0.48888888888888893</v>
      </c>
    </row>
    <row r="451" spans="2:5" x14ac:dyDescent="0.35">
      <c r="B451" s="88">
        <v>9</v>
      </c>
      <c r="C451">
        <v>83</v>
      </c>
      <c r="D451" s="144">
        <v>0.65555555555555567</v>
      </c>
      <c r="E451" s="144">
        <v>0.5888888888888888</v>
      </c>
    </row>
    <row r="452" spans="2:5" x14ac:dyDescent="0.35">
      <c r="B452" s="88">
        <v>10</v>
      </c>
      <c r="C452">
        <v>83</v>
      </c>
      <c r="D452" s="144">
        <v>0.7407407407407407</v>
      </c>
      <c r="E452" s="144">
        <v>0.68888888888888911</v>
      </c>
    </row>
    <row r="453" spans="2:5" x14ac:dyDescent="0.35">
      <c r="B453" s="88">
        <v>11</v>
      </c>
      <c r="C453">
        <v>65</v>
      </c>
      <c r="D453" s="144">
        <v>0.79999999999999982</v>
      </c>
      <c r="E453" s="144">
        <v>0.76666666666666661</v>
      </c>
    </row>
    <row r="454" spans="2:5" x14ac:dyDescent="0.35">
      <c r="B454" s="88">
        <v>12</v>
      </c>
      <c r="C454">
        <v>65</v>
      </c>
      <c r="D454" s="144">
        <v>0.85925925925925928</v>
      </c>
      <c r="E454" s="144">
        <v>0.84444444444444433</v>
      </c>
    </row>
    <row r="455" spans="2:5" x14ac:dyDescent="0.35">
      <c r="B455" s="88">
        <v>13</v>
      </c>
      <c r="C455">
        <v>73</v>
      </c>
      <c r="D455" s="144">
        <v>0.91851851851851862</v>
      </c>
      <c r="E455" s="144">
        <v>0.89259259259259249</v>
      </c>
    </row>
    <row r="456" spans="2:5" x14ac:dyDescent="0.35">
      <c r="B456" s="88">
        <v>14</v>
      </c>
      <c r="C456">
        <v>73</v>
      </c>
      <c r="D456" s="144">
        <v>0.97037037037037044</v>
      </c>
      <c r="E456" s="144">
        <v>0.94074074074074077</v>
      </c>
    </row>
    <row r="457" spans="2:5" x14ac:dyDescent="0.35">
      <c r="B457" s="88">
        <v>15</v>
      </c>
      <c r="C457">
        <v>80</v>
      </c>
      <c r="D457" s="144">
        <v>1</v>
      </c>
      <c r="E457" s="144">
        <v>0.97777777777777786</v>
      </c>
    </row>
    <row r="458" spans="2:5" x14ac:dyDescent="0.35">
      <c r="B458" s="88">
        <v>16</v>
      </c>
      <c r="C458">
        <v>80</v>
      </c>
      <c r="D458" s="144">
        <v>1</v>
      </c>
      <c r="E458" s="144">
        <v>1</v>
      </c>
    </row>
    <row r="459" spans="2:5" x14ac:dyDescent="0.35">
      <c r="B459" s="88">
        <v>17</v>
      </c>
      <c r="C459">
        <v>60</v>
      </c>
      <c r="D459" s="144">
        <v>1</v>
      </c>
      <c r="E459" s="144">
        <v>1</v>
      </c>
    </row>
    <row r="460" spans="2:5" x14ac:dyDescent="0.35">
      <c r="B460" s="88">
        <v>18</v>
      </c>
      <c r="C460">
        <v>60</v>
      </c>
      <c r="D460" s="144">
        <v>1</v>
      </c>
      <c r="E460" s="144">
        <v>1</v>
      </c>
    </row>
    <row r="461" spans="2:5" x14ac:dyDescent="0.35">
      <c r="B461" s="88">
        <v>19</v>
      </c>
      <c r="C461">
        <v>50</v>
      </c>
      <c r="D461" s="144">
        <v>1</v>
      </c>
      <c r="E461" s="144">
        <v>1</v>
      </c>
    </row>
    <row r="462" spans="2:5" x14ac:dyDescent="0.35">
      <c r="B462" s="88">
        <v>20</v>
      </c>
      <c r="C462">
        <v>50</v>
      </c>
      <c r="D462" s="144">
        <v>1</v>
      </c>
      <c r="E462" s="144">
        <v>1</v>
      </c>
    </row>
    <row r="463" spans="2:5" x14ac:dyDescent="0.35">
      <c r="B463" s="88">
        <v>21</v>
      </c>
      <c r="C463">
        <v>75</v>
      </c>
      <c r="D463" s="144">
        <v>1</v>
      </c>
      <c r="E463" s="144">
        <v>1</v>
      </c>
    </row>
    <row r="464" spans="2:5" x14ac:dyDescent="0.35">
      <c r="B464" s="88">
        <v>22</v>
      </c>
      <c r="C464">
        <v>75</v>
      </c>
      <c r="D464" s="144">
        <v>1</v>
      </c>
      <c r="E464" s="144">
        <v>1</v>
      </c>
    </row>
    <row r="465" spans="2:5" x14ac:dyDescent="0.35">
      <c r="B465" s="88">
        <v>23</v>
      </c>
      <c r="C465">
        <v>83</v>
      </c>
      <c r="D465" s="144">
        <v>1</v>
      </c>
      <c r="E465" s="144">
        <v>1</v>
      </c>
    </row>
    <row r="466" spans="2:5" x14ac:dyDescent="0.35">
      <c r="B466" s="88">
        <v>24</v>
      </c>
      <c r="C466">
        <v>83</v>
      </c>
      <c r="D466" s="144">
        <v>1</v>
      </c>
      <c r="E466" s="144">
        <v>1</v>
      </c>
    </row>
    <row r="467" spans="2:5" x14ac:dyDescent="0.35">
      <c r="B467" s="88">
        <v>25</v>
      </c>
      <c r="C467">
        <v>65</v>
      </c>
      <c r="D467" s="144">
        <v>1</v>
      </c>
      <c r="E467" s="144">
        <v>1</v>
      </c>
    </row>
    <row r="468" spans="2:5" x14ac:dyDescent="0.35">
      <c r="B468" s="88">
        <v>26</v>
      </c>
      <c r="C468">
        <v>65</v>
      </c>
      <c r="D468" s="144">
        <v>1</v>
      </c>
      <c r="E468" s="144">
        <v>1</v>
      </c>
    </row>
    <row r="469" spans="2:5" x14ac:dyDescent="0.35">
      <c r="B469" s="88">
        <v>27</v>
      </c>
      <c r="C469">
        <v>73</v>
      </c>
      <c r="D469" s="144">
        <v>1</v>
      </c>
      <c r="E469" s="144">
        <v>1</v>
      </c>
    </row>
    <row r="470" spans="2:5" x14ac:dyDescent="0.35">
      <c r="B470" s="88">
        <v>28</v>
      </c>
      <c r="C470">
        <v>73</v>
      </c>
      <c r="D470" s="144">
        <v>1</v>
      </c>
      <c r="E470" s="144">
        <v>1</v>
      </c>
    </row>
    <row r="471" spans="2:5" x14ac:dyDescent="0.35">
      <c r="B471" s="88">
        <v>29</v>
      </c>
      <c r="C471">
        <v>80</v>
      </c>
      <c r="D471" s="144">
        <v>1</v>
      </c>
      <c r="E471" s="144">
        <v>1</v>
      </c>
    </row>
    <row r="472" spans="2:5" x14ac:dyDescent="0.35">
      <c r="B472" s="88">
        <v>30</v>
      </c>
      <c r="C472">
        <v>80</v>
      </c>
      <c r="D472" s="144">
        <v>1</v>
      </c>
      <c r="E472" s="144">
        <v>1</v>
      </c>
    </row>
    <row r="473" spans="2:5" x14ac:dyDescent="0.35">
      <c r="B473" s="88">
        <v>31</v>
      </c>
      <c r="C473">
        <v>60</v>
      </c>
      <c r="D473" s="144">
        <v>1</v>
      </c>
      <c r="E473" s="144">
        <v>1</v>
      </c>
    </row>
    <row r="483" spans="2:5" x14ac:dyDescent="0.35">
      <c r="B483" s="87" t="s">
        <v>44</v>
      </c>
      <c r="C483" t="s">
        <v>164</v>
      </c>
      <c r="D483" t="s">
        <v>159</v>
      </c>
      <c r="E483" t="s">
        <v>160</v>
      </c>
    </row>
    <row r="484" spans="2:5" x14ac:dyDescent="0.35">
      <c r="B484" s="88">
        <v>1</v>
      </c>
      <c r="C484">
        <v>80</v>
      </c>
      <c r="D484" s="144">
        <v>2.5925925925925925E-2</v>
      </c>
      <c r="E484" s="144">
        <v>2.2222222222222223E-2</v>
      </c>
    </row>
    <row r="485" spans="2:5" x14ac:dyDescent="0.35">
      <c r="B485" s="88">
        <v>2</v>
      </c>
      <c r="C485">
        <v>80</v>
      </c>
      <c r="D485" s="144">
        <v>5.9259259259259255E-2</v>
      </c>
      <c r="E485" s="144">
        <v>4.4444444444444446E-2</v>
      </c>
    </row>
    <row r="486" spans="2:5" x14ac:dyDescent="0.35">
      <c r="B486" s="88">
        <v>3</v>
      </c>
      <c r="C486">
        <v>60</v>
      </c>
      <c r="D486" s="144">
        <v>0.1</v>
      </c>
      <c r="E486" s="144">
        <v>9.6296296296296297E-2</v>
      </c>
    </row>
    <row r="487" spans="2:5" x14ac:dyDescent="0.35">
      <c r="B487" s="88">
        <v>4</v>
      </c>
      <c r="C487">
        <v>60</v>
      </c>
      <c r="D487" s="144">
        <v>0.18518518518518517</v>
      </c>
      <c r="E487" s="144">
        <v>0.14814814814814817</v>
      </c>
    </row>
    <row r="488" spans="2:5" x14ac:dyDescent="0.35">
      <c r="B488" s="88">
        <v>5</v>
      </c>
      <c r="C488">
        <v>50</v>
      </c>
      <c r="D488" s="144">
        <v>0.26296296296296301</v>
      </c>
      <c r="E488" s="144">
        <v>0.21111111111111108</v>
      </c>
    </row>
    <row r="489" spans="2:5" x14ac:dyDescent="0.35">
      <c r="B489" s="88">
        <v>6</v>
      </c>
      <c r="C489">
        <v>50</v>
      </c>
      <c r="D489" s="144">
        <v>0.35555555555555546</v>
      </c>
      <c r="E489" s="144">
        <v>0.28888888888888892</v>
      </c>
    </row>
    <row r="490" spans="2:5" x14ac:dyDescent="0.35">
      <c r="B490" s="88">
        <v>7</v>
      </c>
      <c r="C490">
        <v>75</v>
      </c>
      <c r="D490" s="144">
        <v>0.47037037037037033</v>
      </c>
      <c r="E490" s="144">
        <v>0.38888888888888878</v>
      </c>
    </row>
    <row r="491" spans="2:5" x14ac:dyDescent="0.35">
      <c r="B491" s="88">
        <v>8</v>
      </c>
      <c r="C491">
        <v>75</v>
      </c>
      <c r="D491" s="144">
        <v>0.57037037037037053</v>
      </c>
      <c r="E491" s="144">
        <v>0.48888888888888893</v>
      </c>
    </row>
    <row r="492" spans="2:5" x14ac:dyDescent="0.35">
      <c r="B492" s="88">
        <v>9</v>
      </c>
      <c r="C492">
        <v>83</v>
      </c>
      <c r="D492" s="144">
        <v>0.65555555555555567</v>
      </c>
      <c r="E492" s="144">
        <v>0.5888888888888888</v>
      </c>
    </row>
    <row r="493" spans="2:5" x14ac:dyDescent="0.35">
      <c r="B493" s="88">
        <v>10</v>
      </c>
      <c r="C493">
        <v>83</v>
      </c>
      <c r="D493" s="144">
        <v>0.7407407407407407</v>
      </c>
      <c r="E493" s="144">
        <v>0.68888888888888911</v>
      </c>
    </row>
    <row r="494" spans="2:5" x14ac:dyDescent="0.35">
      <c r="B494" s="88">
        <v>11</v>
      </c>
      <c r="C494">
        <v>65</v>
      </c>
      <c r="D494" s="144">
        <v>0.79999999999999982</v>
      </c>
      <c r="E494" s="144">
        <v>0.76666666666666661</v>
      </c>
    </row>
    <row r="495" spans="2:5" x14ac:dyDescent="0.35">
      <c r="B495" s="88">
        <v>12</v>
      </c>
      <c r="C495">
        <v>65</v>
      </c>
      <c r="D495" s="144">
        <v>0.85925925925925928</v>
      </c>
      <c r="E495" s="144">
        <v>0.84444444444444433</v>
      </c>
    </row>
    <row r="496" spans="2:5" x14ac:dyDescent="0.35">
      <c r="B496" s="88">
        <v>13</v>
      </c>
      <c r="C496">
        <v>73</v>
      </c>
      <c r="D496" s="144">
        <v>0.91851851851851862</v>
      </c>
      <c r="E496" s="144">
        <v>0.89259259259259249</v>
      </c>
    </row>
    <row r="497" spans="2:5" x14ac:dyDescent="0.35">
      <c r="B497" s="88">
        <v>14</v>
      </c>
      <c r="C497">
        <v>73</v>
      </c>
      <c r="D497" s="144">
        <v>0.97037037037037044</v>
      </c>
      <c r="E497" s="144">
        <v>0.94074074074074077</v>
      </c>
    </row>
    <row r="498" spans="2:5" x14ac:dyDescent="0.35">
      <c r="B498" s="88">
        <v>15</v>
      </c>
      <c r="C498">
        <v>80</v>
      </c>
      <c r="D498" s="144">
        <v>1</v>
      </c>
      <c r="E498" s="144">
        <v>0.97777777777777786</v>
      </c>
    </row>
    <row r="499" spans="2:5" x14ac:dyDescent="0.35">
      <c r="B499" s="88">
        <v>16</v>
      </c>
      <c r="C499">
        <v>80</v>
      </c>
      <c r="D499" s="144">
        <v>1</v>
      </c>
      <c r="E499" s="144">
        <v>1</v>
      </c>
    </row>
    <row r="500" spans="2:5" x14ac:dyDescent="0.35">
      <c r="B500" s="88">
        <v>17</v>
      </c>
      <c r="C500">
        <v>60</v>
      </c>
      <c r="D500" s="144">
        <v>1</v>
      </c>
      <c r="E500" s="144">
        <v>1</v>
      </c>
    </row>
    <row r="501" spans="2:5" x14ac:dyDescent="0.35">
      <c r="B501" s="88">
        <v>18</v>
      </c>
      <c r="C501">
        <v>60</v>
      </c>
      <c r="D501" s="144">
        <v>1</v>
      </c>
      <c r="E501" s="144">
        <v>1</v>
      </c>
    </row>
    <row r="502" spans="2:5" x14ac:dyDescent="0.35">
      <c r="B502" s="88">
        <v>19</v>
      </c>
      <c r="C502">
        <v>50</v>
      </c>
      <c r="D502" s="144">
        <v>1</v>
      </c>
      <c r="E502" s="144">
        <v>1</v>
      </c>
    </row>
    <row r="503" spans="2:5" x14ac:dyDescent="0.35">
      <c r="B503" s="88">
        <v>20</v>
      </c>
      <c r="C503">
        <v>50</v>
      </c>
      <c r="D503" s="144">
        <v>1</v>
      </c>
      <c r="E503" s="144">
        <v>1</v>
      </c>
    </row>
    <row r="504" spans="2:5" x14ac:dyDescent="0.35">
      <c r="B504" s="88">
        <v>21</v>
      </c>
      <c r="C504">
        <v>75</v>
      </c>
      <c r="D504" s="144">
        <v>1</v>
      </c>
      <c r="E504" s="144">
        <v>1</v>
      </c>
    </row>
    <row r="505" spans="2:5" x14ac:dyDescent="0.35">
      <c r="B505" s="88">
        <v>22</v>
      </c>
      <c r="C505">
        <v>75</v>
      </c>
      <c r="D505" s="144">
        <v>1</v>
      </c>
      <c r="E505" s="144">
        <v>1</v>
      </c>
    </row>
    <row r="506" spans="2:5" x14ac:dyDescent="0.35">
      <c r="B506" s="88">
        <v>23</v>
      </c>
      <c r="C506">
        <v>83</v>
      </c>
      <c r="D506" s="144">
        <v>1</v>
      </c>
      <c r="E506" s="144">
        <v>1</v>
      </c>
    </row>
    <row r="507" spans="2:5" x14ac:dyDescent="0.35">
      <c r="B507" s="88">
        <v>24</v>
      </c>
      <c r="C507">
        <v>83</v>
      </c>
      <c r="D507" s="144">
        <v>1</v>
      </c>
      <c r="E507" s="144">
        <v>1</v>
      </c>
    </row>
    <row r="508" spans="2:5" x14ac:dyDescent="0.35">
      <c r="B508" s="88">
        <v>25</v>
      </c>
      <c r="C508">
        <v>65</v>
      </c>
      <c r="D508" s="144">
        <v>1</v>
      </c>
      <c r="E508" s="144">
        <v>1</v>
      </c>
    </row>
    <row r="509" spans="2:5" x14ac:dyDescent="0.35">
      <c r="B509" s="88">
        <v>26</v>
      </c>
      <c r="C509">
        <v>65</v>
      </c>
      <c r="D509" s="144">
        <v>1</v>
      </c>
      <c r="E509" s="144">
        <v>1</v>
      </c>
    </row>
    <row r="510" spans="2:5" x14ac:dyDescent="0.35">
      <c r="B510" s="88">
        <v>27</v>
      </c>
      <c r="C510">
        <v>73</v>
      </c>
      <c r="D510" s="144">
        <v>1</v>
      </c>
      <c r="E510" s="144">
        <v>1</v>
      </c>
    </row>
    <row r="511" spans="2:5" x14ac:dyDescent="0.35">
      <c r="B511" s="88">
        <v>28</v>
      </c>
      <c r="C511">
        <v>73</v>
      </c>
      <c r="D511" s="144">
        <v>1</v>
      </c>
      <c r="E511" s="144">
        <v>1</v>
      </c>
    </row>
    <row r="512" spans="2:5" x14ac:dyDescent="0.35">
      <c r="B512" s="88">
        <v>29</v>
      </c>
      <c r="C512">
        <v>80</v>
      </c>
      <c r="D512" s="144">
        <v>1</v>
      </c>
      <c r="E512" s="144">
        <v>1</v>
      </c>
    </row>
    <row r="513" spans="2:8" x14ac:dyDescent="0.35">
      <c r="B513" s="88">
        <v>30</v>
      </c>
      <c r="C513">
        <v>80</v>
      </c>
      <c r="D513" s="144">
        <v>1</v>
      </c>
      <c r="E513" s="144">
        <v>1</v>
      </c>
    </row>
    <row r="514" spans="2:8" x14ac:dyDescent="0.35">
      <c r="B514" s="88">
        <v>31</v>
      </c>
      <c r="C514">
        <v>60</v>
      </c>
      <c r="D514" s="144">
        <v>1</v>
      </c>
      <c r="E514" s="144">
        <v>1</v>
      </c>
    </row>
    <row r="520" spans="2:8" x14ac:dyDescent="0.35">
      <c r="B520" s="87" t="s">
        <v>44</v>
      </c>
      <c r="C520" t="s">
        <v>159</v>
      </c>
      <c r="D520" t="s">
        <v>160</v>
      </c>
      <c r="E520" t="s">
        <v>164</v>
      </c>
      <c r="F520" t="s">
        <v>158</v>
      </c>
      <c r="G520" t="s">
        <v>161</v>
      </c>
      <c r="H520" t="s">
        <v>162</v>
      </c>
    </row>
    <row r="521" spans="2:8" x14ac:dyDescent="0.35">
      <c r="B521" s="88">
        <v>1</v>
      </c>
      <c r="C521" s="144">
        <v>2.5925925925925925E-2</v>
      </c>
      <c r="D521" s="144">
        <v>2.2222222222222223E-2</v>
      </c>
      <c r="E521">
        <v>80</v>
      </c>
      <c r="F521" s="143">
        <v>15</v>
      </c>
      <c r="G521" s="201">
        <v>0.87</v>
      </c>
      <c r="H521">
        <v>80</v>
      </c>
    </row>
    <row r="522" spans="2:8" x14ac:dyDescent="0.35">
      <c r="B522" s="88">
        <v>2</v>
      </c>
      <c r="C522" s="144">
        <v>5.9259259259259255E-2</v>
      </c>
      <c r="D522" s="144">
        <v>4.4444444444444446E-2</v>
      </c>
      <c r="E522">
        <v>80</v>
      </c>
      <c r="F522" s="143">
        <v>15</v>
      </c>
      <c r="G522" s="201">
        <v>0.87</v>
      </c>
      <c r="H522">
        <v>80</v>
      </c>
    </row>
    <row r="523" spans="2:8" x14ac:dyDescent="0.35">
      <c r="B523" s="88">
        <v>3</v>
      </c>
      <c r="C523" s="144">
        <v>0.1</v>
      </c>
      <c r="D523" s="144">
        <v>9.6296296296296297E-2</v>
      </c>
      <c r="E523">
        <v>60</v>
      </c>
      <c r="F523" s="143">
        <v>13</v>
      </c>
      <c r="G523" s="201">
        <v>0.8</v>
      </c>
      <c r="H523">
        <v>60</v>
      </c>
    </row>
    <row r="524" spans="2:8" x14ac:dyDescent="0.35">
      <c r="B524" s="88">
        <v>4</v>
      </c>
      <c r="C524" s="144">
        <v>0.18518518518518517</v>
      </c>
      <c r="D524" s="144">
        <v>0.14814814814814817</v>
      </c>
      <c r="E524">
        <v>60</v>
      </c>
      <c r="F524" s="143">
        <v>13</v>
      </c>
      <c r="G524" s="201">
        <v>0.8</v>
      </c>
      <c r="H524">
        <v>60</v>
      </c>
    </row>
    <row r="525" spans="2:8" x14ac:dyDescent="0.35">
      <c r="B525" s="88">
        <v>5</v>
      </c>
      <c r="C525" s="144">
        <v>0.26296296296296301</v>
      </c>
      <c r="D525" s="144">
        <v>0.21111111111111108</v>
      </c>
      <c r="E525">
        <v>50</v>
      </c>
      <c r="F525" s="143">
        <v>14</v>
      </c>
      <c r="G525" s="201">
        <v>0.83</v>
      </c>
      <c r="H525">
        <v>50</v>
      </c>
    </row>
    <row r="526" spans="2:8" x14ac:dyDescent="0.35">
      <c r="B526" s="88">
        <v>6</v>
      </c>
      <c r="C526" s="144">
        <v>0.35555555555555546</v>
      </c>
      <c r="D526" s="144">
        <v>0.28888888888888892</v>
      </c>
      <c r="E526">
        <v>50</v>
      </c>
      <c r="F526" s="143">
        <v>14</v>
      </c>
      <c r="G526" s="201">
        <v>0.83</v>
      </c>
      <c r="H526">
        <v>50</v>
      </c>
    </row>
    <row r="527" spans="2:8" x14ac:dyDescent="0.35">
      <c r="B527" s="88">
        <v>7</v>
      </c>
      <c r="C527" s="144">
        <v>0.47037037037037033</v>
      </c>
      <c r="D527" s="144">
        <v>0.38888888888888878</v>
      </c>
      <c r="E527">
        <v>75</v>
      </c>
      <c r="F527" s="143">
        <v>11</v>
      </c>
      <c r="G527" s="201">
        <v>0.72</v>
      </c>
      <c r="H527">
        <v>75</v>
      </c>
    </row>
    <row r="528" spans="2:8" x14ac:dyDescent="0.35">
      <c r="B528" s="88">
        <v>8</v>
      </c>
      <c r="C528" s="144">
        <v>0.57037037037037053</v>
      </c>
      <c r="D528" s="144">
        <v>0.48888888888888893</v>
      </c>
      <c r="E528">
        <v>75</v>
      </c>
      <c r="F528" s="143">
        <v>11</v>
      </c>
      <c r="G528" s="201">
        <v>0.72</v>
      </c>
      <c r="H528">
        <v>75</v>
      </c>
    </row>
    <row r="529" spans="2:8" x14ac:dyDescent="0.35">
      <c r="B529" s="88">
        <v>9</v>
      </c>
      <c r="C529" s="144">
        <v>0.65555555555555567</v>
      </c>
      <c r="D529" s="144">
        <v>0.5888888888888888</v>
      </c>
      <c r="E529">
        <v>83</v>
      </c>
      <c r="F529" s="143">
        <v>16</v>
      </c>
      <c r="G529" s="201">
        <v>1</v>
      </c>
      <c r="H529">
        <v>83</v>
      </c>
    </row>
    <row r="530" spans="2:8" x14ac:dyDescent="0.35">
      <c r="B530" s="88">
        <v>10</v>
      </c>
      <c r="C530" s="144">
        <v>0.7407407407407407</v>
      </c>
      <c r="D530" s="144">
        <v>0.68888888888888911</v>
      </c>
      <c r="E530">
        <v>83</v>
      </c>
      <c r="F530" s="143">
        <v>16</v>
      </c>
      <c r="G530" s="201">
        <v>1</v>
      </c>
      <c r="H530">
        <v>83</v>
      </c>
    </row>
    <row r="531" spans="2:8" x14ac:dyDescent="0.35">
      <c r="B531" s="88">
        <v>11</v>
      </c>
      <c r="C531" s="144">
        <v>0.79999999999999982</v>
      </c>
      <c r="D531" s="144">
        <v>0.76666666666666661</v>
      </c>
      <c r="E531">
        <v>65</v>
      </c>
      <c r="F531" s="143">
        <v>14</v>
      </c>
      <c r="G531" s="201">
        <v>0.9</v>
      </c>
      <c r="H531">
        <v>65</v>
      </c>
    </row>
    <row r="532" spans="2:8" x14ac:dyDescent="0.35">
      <c r="B532" s="88">
        <v>12</v>
      </c>
      <c r="C532" s="144">
        <v>0.85925925925925928</v>
      </c>
      <c r="D532" s="144">
        <v>0.84444444444444433</v>
      </c>
      <c r="E532">
        <v>65</v>
      </c>
      <c r="F532" s="143">
        <v>14</v>
      </c>
      <c r="G532" s="201">
        <v>0.9</v>
      </c>
      <c r="H532">
        <v>65</v>
      </c>
    </row>
    <row r="533" spans="2:8" x14ac:dyDescent="0.35">
      <c r="B533" s="88">
        <v>13</v>
      </c>
      <c r="C533" s="144">
        <v>0.91851851851851862</v>
      </c>
      <c r="D533" s="144">
        <v>0.89259259259259249</v>
      </c>
      <c r="E533">
        <v>73</v>
      </c>
      <c r="F533" s="143">
        <v>16</v>
      </c>
      <c r="G533" s="201">
        <v>0.98</v>
      </c>
      <c r="H533">
        <v>73</v>
      </c>
    </row>
    <row r="534" spans="2:8" x14ac:dyDescent="0.35">
      <c r="B534" s="88">
        <v>14</v>
      </c>
      <c r="C534" s="144">
        <v>0.97037037037037044</v>
      </c>
      <c r="D534" s="144">
        <v>0.94074074074074077</v>
      </c>
      <c r="E534">
        <v>73</v>
      </c>
      <c r="F534" s="143">
        <v>16</v>
      </c>
      <c r="G534" s="201">
        <v>0.98</v>
      </c>
      <c r="H534">
        <v>73</v>
      </c>
    </row>
    <row r="535" spans="2:8" x14ac:dyDescent="0.35">
      <c r="B535" s="88">
        <v>15</v>
      </c>
      <c r="C535" s="144">
        <v>1</v>
      </c>
      <c r="D535" s="144">
        <v>0.97777777777777786</v>
      </c>
      <c r="E535">
        <v>80</v>
      </c>
      <c r="F535" s="143">
        <v>15</v>
      </c>
      <c r="G535" s="201">
        <v>0.93</v>
      </c>
      <c r="H535">
        <v>80</v>
      </c>
    </row>
    <row r="536" spans="2:8" x14ac:dyDescent="0.35">
      <c r="B536" s="88">
        <v>16</v>
      </c>
      <c r="C536" s="144">
        <v>1</v>
      </c>
      <c r="D536" s="144">
        <v>1</v>
      </c>
      <c r="E536">
        <v>80</v>
      </c>
      <c r="F536" s="143">
        <v>15</v>
      </c>
      <c r="G536" s="201">
        <v>0.93</v>
      </c>
      <c r="H536">
        <v>80</v>
      </c>
    </row>
    <row r="537" spans="2:8" x14ac:dyDescent="0.35">
      <c r="B537" s="88">
        <v>17</v>
      </c>
      <c r="C537" s="144">
        <v>1</v>
      </c>
      <c r="D537" s="144">
        <v>1</v>
      </c>
      <c r="E537">
        <v>60</v>
      </c>
      <c r="F537" s="143">
        <v>13</v>
      </c>
      <c r="G537" s="201">
        <v>0.87</v>
      </c>
      <c r="H537">
        <v>60</v>
      </c>
    </row>
    <row r="538" spans="2:8" x14ac:dyDescent="0.35">
      <c r="B538" s="88">
        <v>18</v>
      </c>
      <c r="C538" s="144">
        <v>1</v>
      </c>
      <c r="D538" s="144">
        <v>1</v>
      </c>
      <c r="E538">
        <v>60</v>
      </c>
      <c r="F538" s="143">
        <v>13</v>
      </c>
      <c r="G538" s="201">
        <v>0.87</v>
      </c>
      <c r="H538">
        <v>60</v>
      </c>
    </row>
    <row r="539" spans="2:8" x14ac:dyDescent="0.35">
      <c r="B539" s="88">
        <v>19</v>
      </c>
      <c r="C539" s="144">
        <v>1</v>
      </c>
      <c r="D539" s="144">
        <v>1</v>
      </c>
      <c r="E539">
        <v>50</v>
      </c>
      <c r="F539" s="143">
        <v>14</v>
      </c>
      <c r="G539" s="201">
        <v>0.8</v>
      </c>
      <c r="H539">
        <v>50</v>
      </c>
    </row>
    <row r="540" spans="2:8" x14ac:dyDescent="0.35">
      <c r="B540" s="88">
        <v>20</v>
      </c>
      <c r="C540" s="144">
        <v>1</v>
      </c>
      <c r="D540" s="144">
        <v>1</v>
      </c>
      <c r="E540">
        <v>50</v>
      </c>
      <c r="F540" s="143">
        <v>14</v>
      </c>
      <c r="G540" s="201">
        <v>0.8</v>
      </c>
      <c r="H540">
        <v>50</v>
      </c>
    </row>
    <row r="541" spans="2:8" x14ac:dyDescent="0.35">
      <c r="B541" s="88">
        <v>21</v>
      </c>
      <c r="C541" s="144">
        <v>1</v>
      </c>
      <c r="D541" s="144">
        <v>1</v>
      </c>
      <c r="E541">
        <v>75</v>
      </c>
      <c r="F541" s="143">
        <v>11</v>
      </c>
      <c r="G541" s="201">
        <v>0.83</v>
      </c>
      <c r="H541">
        <v>75</v>
      </c>
    </row>
    <row r="542" spans="2:8" x14ac:dyDescent="0.35">
      <c r="B542" s="88">
        <v>22</v>
      </c>
      <c r="C542" s="144">
        <v>1</v>
      </c>
      <c r="D542" s="144">
        <v>1</v>
      </c>
      <c r="E542">
        <v>75</v>
      </c>
      <c r="F542" s="143">
        <v>11</v>
      </c>
      <c r="G542" s="201">
        <v>0.83</v>
      </c>
      <c r="H542">
        <v>75</v>
      </c>
    </row>
    <row r="543" spans="2:8" x14ac:dyDescent="0.35">
      <c r="B543" s="88">
        <v>23</v>
      </c>
      <c r="C543" s="144">
        <v>1</v>
      </c>
      <c r="D543" s="144">
        <v>1</v>
      </c>
      <c r="E543">
        <v>83</v>
      </c>
      <c r="F543" s="143">
        <v>16</v>
      </c>
      <c r="G543" s="201">
        <v>0.72</v>
      </c>
      <c r="H543">
        <v>83</v>
      </c>
    </row>
    <row r="544" spans="2:8" x14ac:dyDescent="0.35">
      <c r="B544" s="88">
        <v>24</v>
      </c>
      <c r="C544" s="144">
        <v>1</v>
      </c>
      <c r="D544" s="144">
        <v>1</v>
      </c>
      <c r="E544">
        <v>83</v>
      </c>
      <c r="F544" s="143">
        <v>16</v>
      </c>
      <c r="G544" s="201">
        <v>0.72</v>
      </c>
      <c r="H544">
        <v>83</v>
      </c>
    </row>
    <row r="545" spans="2:8" x14ac:dyDescent="0.35">
      <c r="B545" s="88">
        <v>25</v>
      </c>
      <c r="C545" s="144">
        <v>1</v>
      </c>
      <c r="D545" s="144">
        <v>1</v>
      </c>
      <c r="E545">
        <v>65</v>
      </c>
      <c r="F545" s="143">
        <v>14</v>
      </c>
      <c r="G545" s="201">
        <v>1</v>
      </c>
      <c r="H545">
        <v>65</v>
      </c>
    </row>
    <row r="546" spans="2:8" x14ac:dyDescent="0.35">
      <c r="B546" s="88">
        <v>26</v>
      </c>
      <c r="C546" s="144">
        <v>1</v>
      </c>
      <c r="D546" s="144">
        <v>1</v>
      </c>
      <c r="E546">
        <v>65</v>
      </c>
      <c r="F546" s="143">
        <v>14</v>
      </c>
      <c r="G546" s="201">
        <v>1</v>
      </c>
      <c r="H546">
        <v>65</v>
      </c>
    </row>
    <row r="547" spans="2:8" x14ac:dyDescent="0.35">
      <c r="B547" s="88">
        <v>27</v>
      </c>
      <c r="C547" s="144">
        <v>1</v>
      </c>
      <c r="D547" s="144">
        <v>1</v>
      </c>
      <c r="E547">
        <v>73</v>
      </c>
      <c r="F547" s="143">
        <v>16</v>
      </c>
      <c r="G547" s="201">
        <v>0.9</v>
      </c>
      <c r="H547">
        <v>73</v>
      </c>
    </row>
    <row r="548" spans="2:8" x14ac:dyDescent="0.35">
      <c r="B548" s="88">
        <v>28</v>
      </c>
      <c r="C548" s="144">
        <v>1</v>
      </c>
      <c r="D548" s="144">
        <v>1</v>
      </c>
      <c r="E548">
        <v>73</v>
      </c>
      <c r="F548" s="143">
        <v>16</v>
      </c>
      <c r="G548" s="201">
        <v>0.9</v>
      </c>
      <c r="H548">
        <v>73</v>
      </c>
    </row>
    <row r="549" spans="2:8" x14ac:dyDescent="0.35">
      <c r="B549" s="88">
        <v>29</v>
      </c>
      <c r="C549" s="144">
        <v>1</v>
      </c>
      <c r="D549" s="144">
        <v>1</v>
      </c>
      <c r="E549">
        <v>80</v>
      </c>
      <c r="F549" s="143">
        <v>15</v>
      </c>
      <c r="G549" s="201">
        <v>0.98</v>
      </c>
      <c r="H549">
        <v>80</v>
      </c>
    </row>
    <row r="550" spans="2:8" x14ac:dyDescent="0.35">
      <c r="B550" s="88">
        <v>30</v>
      </c>
      <c r="C550" s="144">
        <v>1</v>
      </c>
      <c r="D550" s="144">
        <v>1</v>
      </c>
      <c r="E550">
        <v>80</v>
      </c>
      <c r="F550" s="143">
        <v>15</v>
      </c>
      <c r="G550" s="201">
        <v>0.98</v>
      </c>
      <c r="H550">
        <v>80</v>
      </c>
    </row>
    <row r="551" spans="2:8" x14ac:dyDescent="0.35">
      <c r="B551" s="88">
        <v>31</v>
      </c>
      <c r="C551" s="144">
        <v>1</v>
      </c>
      <c r="D551" s="144">
        <v>1</v>
      </c>
      <c r="E551">
        <v>60</v>
      </c>
      <c r="F551" s="143">
        <v>13</v>
      </c>
      <c r="G551" s="201">
        <v>0.93</v>
      </c>
      <c r="H551">
        <v>60</v>
      </c>
    </row>
  </sheetData>
  <autoFilter ref="I36:P51" xr:uid="{2088204C-4AFA-4375-BCE4-EB010E7E2D09}">
    <filterColumn colId="6" showButton="0"/>
  </autoFilter>
  <mergeCells count="1">
    <mergeCell ref="O36:P36"/>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A6D0-4E89-4661-BFA3-2C6A31067FB1}">
  <sheetPr codeName="Sheet7"/>
  <dimension ref="D3:AK185"/>
  <sheetViews>
    <sheetView topLeftCell="A4" zoomScale="50" zoomScaleNormal="55" zoomScaleSheetLayoutView="40" workbookViewId="0">
      <selection activeCell="S192" sqref="S192"/>
    </sheetView>
  </sheetViews>
  <sheetFormatPr defaultRowHeight="14.5" x14ac:dyDescent="0.35"/>
  <cols>
    <col min="3" max="3" width="8.7265625" customWidth="1"/>
    <col min="4" max="4" width="4.1796875" customWidth="1"/>
    <col min="5" max="28" width="9" customWidth="1"/>
    <col min="29" max="29" width="4.1796875" customWidth="1"/>
    <col min="30" max="30" width="4.453125" customWidth="1"/>
  </cols>
  <sheetData>
    <row r="3" spans="4:37" ht="15" thickBot="1" x14ac:dyDescent="0.4"/>
    <row r="4" spans="4:37" ht="24.5" x14ac:dyDescent="0.45">
      <c r="D4" s="89"/>
      <c r="E4" s="90"/>
      <c r="F4" s="91"/>
      <c r="G4" s="91"/>
      <c r="H4" s="91"/>
      <c r="I4" s="91"/>
      <c r="J4" s="91"/>
      <c r="K4" s="91"/>
      <c r="L4" s="91"/>
      <c r="M4" s="91"/>
      <c r="N4" s="91"/>
      <c r="O4" s="91"/>
      <c r="P4" s="91"/>
      <c r="Q4" s="91"/>
      <c r="R4" s="91"/>
      <c r="S4" s="91"/>
      <c r="T4" s="91"/>
      <c r="U4" s="91"/>
      <c r="V4" s="91"/>
      <c r="W4" s="91"/>
      <c r="X4" s="91"/>
      <c r="Y4" s="91"/>
      <c r="Z4" s="91"/>
      <c r="AA4" s="91"/>
      <c r="AB4" s="91"/>
      <c r="AC4" s="92"/>
      <c r="AD4" s="93"/>
      <c r="AE4" s="134"/>
      <c r="AF4" s="135"/>
      <c r="AG4" s="135"/>
      <c r="AH4" s="135"/>
      <c r="AI4" s="135"/>
      <c r="AJ4" s="135"/>
      <c r="AK4" s="136"/>
    </row>
    <row r="5" spans="4:37" ht="24.5" x14ac:dyDescent="0.45">
      <c r="D5" s="94"/>
      <c r="E5" s="114" t="s">
        <v>108</v>
      </c>
      <c r="F5" s="95"/>
      <c r="G5" s="95"/>
      <c r="H5" s="95"/>
      <c r="I5" s="95"/>
      <c r="J5" s="95"/>
      <c r="K5" s="95"/>
      <c r="L5" s="95"/>
      <c r="M5" s="95"/>
      <c r="N5" s="95"/>
      <c r="O5" s="95"/>
      <c r="P5" s="95"/>
      <c r="Q5" s="95"/>
      <c r="R5" s="95"/>
      <c r="S5" s="95"/>
      <c r="T5" s="95"/>
      <c r="U5" s="95"/>
      <c r="V5" s="95"/>
      <c r="W5" s="95"/>
      <c r="X5" s="95"/>
      <c r="Y5" s="95"/>
      <c r="Z5" s="95"/>
      <c r="AA5" s="95"/>
      <c r="AB5" s="95"/>
      <c r="AC5" s="96"/>
      <c r="AD5" s="93"/>
      <c r="AE5" s="137"/>
      <c r="AF5" s="138"/>
      <c r="AG5" s="138"/>
      <c r="AH5" s="138"/>
      <c r="AI5" s="138"/>
      <c r="AJ5" s="138"/>
      <c r="AK5" s="139"/>
    </row>
    <row r="6" spans="4:37" x14ac:dyDescent="0.35">
      <c r="D6" s="94"/>
      <c r="E6" s="95"/>
      <c r="F6" s="95"/>
      <c r="G6" s="95"/>
      <c r="H6" s="95"/>
      <c r="I6" s="95"/>
      <c r="J6" s="95"/>
      <c r="K6" s="95"/>
      <c r="L6" s="95"/>
      <c r="M6" s="95"/>
      <c r="N6" s="95"/>
      <c r="O6" s="95"/>
      <c r="P6" s="95"/>
      <c r="Q6" s="95"/>
      <c r="R6" s="95"/>
      <c r="S6" s="95"/>
      <c r="T6" s="95"/>
      <c r="U6" s="95"/>
      <c r="V6" s="95"/>
      <c r="W6" s="95"/>
      <c r="X6" s="95"/>
      <c r="Y6" s="95"/>
      <c r="Z6" s="95"/>
      <c r="AA6" s="95"/>
      <c r="AB6" s="95"/>
      <c r="AC6" s="96"/>
      <c r="AD6" s="93"/>
      <c r="AE6" s="137"/>
      <c r="AF6" s="138"/>
      <c r="AG6" s="138"/>
      <c r="AH6" s="138"/>
      <c r="AI6" s="138"/>
      <c r="AJ6" s="138"/>
      <c r="AK6" s="139"/>
    </row>
    <row r="7" spans="4:37" x14ac:dyDescent="0.35">
      <c r="D7" s="94"/>
      <c r="E7" s="95"/>
      <c r="F7" s="95"/>
      <c r="G7" s="95"/>
      <c r="H7" s="95"/>
      <c r="I7" s="95"/>
      <c r="J7" s="95"/>
      <c r="K7" s="95"/>
      <c r="L7" s="95"/>
      <c r="M7" s="95"/>
      <c r="N7" s="95"/>
      <c r="O7" s="95"/>
      <c r="P7" s="95"/>
      <c r="Q7" s="95"/>
      <c r="R7" s="95"/>
      <c r="S7" s="95"/>
      <c r="T7" s="95"/>
      <c r="U7" s="95"/>
      <c r="V7" s="95"/>
      <c r="W7" s="95"/>
      <c r="X7" s="95"/>
      <c r="Y7" s="95"/>
      <c r="Z7" s="95"/>
      <c r="AA7" s="95"/>
      <c r="AB7" s="95"/>
      <c r="AC7" s="96"/>
      <c r="AD7" s="93"/>
      <c r="AE7" s="137"/>
      <c r="AF7" s="138"/>
      <c r="AG7" s="138"/>
      <c r="AH7" s="138"/>
      <c r="AI7" s="138"/>
      <c r="AJ7" s="138"/>
      <c r="AK7" s="139"/>
    </row>
    <row r="8" spans="4:37" x14ac:dyDescent="0.35">
      <c r="D8" s="94"/>
      <c r="E8" s="95"/>
      <c r="F8" s="95"/>
      <c r="G8" s="95"/>
      <c r="H8" s="95"/>
      <c r="I8" s="95"/>
      <c r="J8" s="95"/>
      <c r="K8" s="95"/>
      <c r="L8" s="95"/>
      <c r="M8" s="95"/>
      <c r="N8" s="95"/>
      <c r="O8" s="95"/>
      <c r="P8" s="95"/>
      <c r="Q8" s="95"/>
      <c r="R8" s="95"/>
      <c r="S8" s="95"/>
      <c r="T8" s="95"/>
      <c r="U8" s="95"/>
      <c r="V8" s="95"/>
      <c r="W8" s="95"/>
      <c r="X8" s="95"/>
      <c r="Y8" s="95"/>
      <c r="Z8" s="95"/>
      <c r="AA8" s="95"/>
      <c r="AB8" s="95"/>
      <c r="AC8" s="96"/>
      <c r="AD8" s="93"/>
      <c r="AE8" s="137"/>
      <c r="AF8" s="138"/>
      <c r="AG8" s="138"/>
      <c r="AH8" s="138"/>
      <c r="AI8" s="138"/>
      <c r="AJ8" s="138"/>
      <c r="AK8" s="139"/>
    </row>
    <row r="9" spans="4:37" x14ac:dyDescent="0.35">
      <c r="D9" s="94"/>
      <c r="E9" s="95"/>
      <c r="F9" s="95"/>
      <c r="G9" s="95"/>
      <c r="H9" s="95"/>
      <c r="I9" s="95"/>
      <c r="J9" s="95"/>
      <c r="K9" s="95"/>
      <c r="L9" s="95"/>
      <c r="M9" s="95"/>
      <c r="N9" s="95"/>
      <c r="O9" s="95"/>
      <c r="P9" s="95"/>
      <c r="Q9" s="95"/>
      <c r="R9" s="95"/>
      <c r="S9" s="95"/>
      <c r="T9" s="95"/>
      <c r="U9" s="95"/>
      <c r="V9" s="95"/>
      <c r="W9" s="95"/>
      <c r="X9" s="95"/>
      <c r="Y9" s="95"/>
      <c r="Z9" s="95"/>
      <c r="AA9" s="95"/>
      <c r="AB9" s="95"/>
      <c r="AC9" s="96"/>
      <c r="AD9" s="93"/>
      <c r="AE9" s="137"/>
      <c r="AF9" s="138"/>
      <c r="AG9" s="138"/>
      <c r="AH9" s="138"/>
      <c r="AI9" s="138"/>
      <c r="AJ9" s="138"/>
      <c r="AK9" s="139"/>
    </row>
    <row r="10" spans="4:37" x14ac:dyDescent="0.35">
      <c r="D10" s="94"/>
      <c r="E10" s="95"/>
      <c r="F10" s="95"/>
      <c r="G10" s="95"/>
      <c r="H10" s="95"/>
      <c r="I10" s="95"/>
      <c r="J10" s="95"/>
      <c r="K10" s="95"/>
      <c r="L10" s="95"/>
      <c r="M10" s="95"/>
      <c r="N10" s="95"/>
      <c r="O10" s="95"/>
      <c r="P10" s="95"/>
      <c r="Q10" s="95"/>
      <c r="R10" s="95"/>
      <c r="S10" s="95"/>
      <c r="T10" s="95"/>
      <c r="U10" s="95"/>
      <c r="V10" s="95"/>
      <c r="W10" s="95"/>
      <c r="X10" s="95"/>
      <c r="Y10" s="95"/>
      <c r="Z10" s="95"/>
      <c r="AA10" s="95"/>
      <c r="AB10" s="95"/>
      <c r="AC10" s="96"/>
      <c r="AD10" s="93"/>
      <c r="AE10" s="137"/>
      <c r="AF10" s="138"/>
      <c r="AG10" s="138"/>
      <c r="AH10" s="138"/>
      <c r="AI10" s="138"/>
      <c r="AJ10" s="138"/>
      <c r="AK10" s="139"/>
    </row>
    <row r="11" spans="4:37" x14ac:dyDescent="0.35">
      <c r="D11" s="94"/>
      <c r="E11" s="95"/>
      <c r="F11" s="95"/>
      <c r="G11" s="95"/>
      <c r="H11" s="95"/>
      <c r="I11" s="95"/>
      <c r="J11" s="95"/>
      <c r="K11" s="95"/>
      <c r="L11" s="95"/>
      <c r="M11" s="95"/>
      <c r="N11" s="95"/>
      <c r="O11" s="95"/>
      <c r="P11" s="95"/>
      <c r="Q11" s="95"/>
      <c r="R11" s="95"/>
      <c r="S11" s="95"/>
      <c r="T11" s="95"/>
      <c r="U11" s="95"/>
      <c r="V11" s="95"/>
      <c r="W11" s="95"/>
      <c r="X11" s="95"/>
      <c r="Y11" s="95"/>
      <c r="Z11" s="95"/>
      <c r="AA11" s="95"/>
      <c r="AB11" s="95"/>
      <c r="AC11" s="96"/>
      <c r="AD11" s="93"/>
      <c r="AE11" s="137"/>
      <c r="AF11" s="138"/>
      <c r="AG11" s="138"/>
      <c r="AH11" s="138"/>
      <c r="AI11" s="138"/>
      <c r="AJ11" s="138"/>
      <c r="AK11" s="139"/>
    </row>
    <row r="12" spans="4:37" x14ac:dyDescent="0.35">
      <c r="D12" s="94"/>
      <c r="E12" s="95"/>
      <c r="F12" s="95"/>
      <c r="G12" s="95"/>
      <c r="H12" s="95"/>
      <c r="I12" s="95"/>
      <c r="J12" s="95"/>
      <c r="K12" s="95"/>
      <c r="L12" s="95"/>
      <c r="M12" s="95"/>
      <c r="N12" s="95"/>
      <c r="O12" s="95"/>
      <c r="P12" s="95"/>
      <c r="Q12" s="95"/>
      <c r="R12" s="95"/>
      <c r="S12" s="95"/>
      <c r="T12" s="95"/>
      <c r="U12" s="95"/>
      <c r="V12" s="95"/>
      <c r="W12" s="95"/>
      <c r="X12" s="95"/>
      <c r="Y12" s="95"/>
      <c r="Z12" s="95"/>
      <c r="AA12" s="95"/>
      <c r="AB12" s="95"/>
      <c r="AC12" s="96"/>
      <c r="AD12" s="93"/>
      <c r="AE12" s="137"/>
      <c r="AF12" s="138"/>
      <c r="AG12" s="138"/>
      <c r="AH12" s="138"/>
      <c r="AI12" s="138"/>
      <c r="AJ12" s="138"/>
      <c r="AK12" s="139"/>
    </row>
    <row r="13" spans="4:37" x14ac:dyDescent="0.35">
      <c r="D13" s="94"/>
      <c r="E13" s="95"/>
      <c r="F13" s="95"/>
      <c r="G13" s="95"/>
      <c r="H13" s="95"/>
      <c r="I13" s="95"/>
      <c r="J13" s="95"/>
      <c r="K13" s="95"/>
      <c r="L13" s="95"/>
      <c r="M13" s="95"/>
      <c r="N13" s="95"/>
      <c r="O13" s="95"/>
      <c r="P13" s="95"/>
      <c r="Q13" s="95"/>
      <c r="R13" s="95"/>
      <c r="S13" s="95"/>
      <c r="T13" s="95"/>
      <c r="U13" s="95"/>
      <c r="V13" s="95"/>
      <c r="W13" s="95"/>
      <c r="X13" s="95"/>
      <c r="Y13" s="95"/>
      <c r="Z13" s="95"/>
      <c r="AA13" s="95"/>
      <c r="AB13" s="95"/>
      <c r="AC13" s="96"/>
      <c r="AD13" s="93"/>
      <c r="AE13" s="137"/>
      <c r="AF13" s="138"/>
      <c r="AG13" s="138"/>
      <c r="AH13" s="138"/>
      <c r="AI13" s="138"/>
      <c r="AJ13" s="138"/>
      <c r="AK13" s="139"/>
    </row>
    <row r="14" spans="4:37" x14ac:dyDescent="0.35">
      <c r="D14" s="94"/>
      <c r="E14" s="95"/>
      <c r="F14" s="95"/>
      <c r="G14" s="95"/>
      <c r="H14" s="95"/>
      <c r="I14" s="95"/>
      <c r="J14" s="95"/>
      <c r="K14" s="95"/>
      <c r="L14" s="95"/>
      <c r="M14" s="95"/>
      <c r="N14" s="95"/>
      <c r="O14" s="95"/>
      <c r="P14" s="95"/>
      <c r="Q14" s="95"/>
      <c r="R14" s="95"/>
      <c r="S14" s="95"/>
      <c r="T14" s="95"/>
      <c r="U14" s="95"/>
      <c r="V14" s="95"/>
      <c r="W14" s="95"/>
      <c r="X14" s="95"/>
      <c r="Y14" s="95"/>
      <c r="Z14" s="95"/>
      <c r="AA14" s="95"/>
      <c r="AB14" s="95"/>
      <c r="AC14" s="96"/>
      <c r="AD14" s="93"/>
      <c r="AE14" s="137"/>
      <c r="AF14" s="138"/>
      <c r="AG14" s="138"/>
      <c r="AH14" s="138"/>
      <c r="AI14" s="138"/>
      <c r="AJ14" s="138"/>
      <c r="AK14" s="139"/>
    </row>
    <row r="15" spans="4:37" x14ac:dyDescent="0.35">
      <c r="D15" s="94"/>
      <c r="E15" s="95"/>
      <c r="F15" s="95"/>
      <c r="G15" s="95"/>
      <c r="H15" s="95"/>
      <c r="I15" s="95"/>
      <c r="J15" s="95"/>
      <c r="K15" s="95"/>
      <c r="L15" s="95"/>
      <c r="M15" s="95"/>
      <c r="N15" s="95"/>
      <c r="O15" s="95"/>
      <c r="P15" s="95"/>
      <c r="Q15" s="95"/>
      <c r="R15" s="95"/>
      <c r="S15" s="95"/>
      <c r="T15" s="95"/>
      <c r="U15" s="95"/>
      <c r="V15" s="95"/>
      <c r="W15" s="95"/>
      <c r="X15" s="95"/>
      <c r="Y15" s="95"/>
      <c r="Z15" s="95"/>
      <c r="AA15" s="95"/>
      <c r="AB15" s="95"/>
      <c r="AC15" s="96"/>
      <c r="AD15" s="93"/>
      <c r="AE15" s="137"/>
      <c r="AF15" s="138"/>
      <c r="AG15" s="138"/>
      <c r="AH15" s="138"/>
      <c r="AI15" s="138"/>
      <c r="AJ15" s="138"/>
      <c r="AK15" s="139"/>
    </row>
    <row r="16" spans="4:37" x14ac:dyDescent="0.35">
      <c r="D16" s="94"/>
      <c r="E16" s="95"/>
      <c r="F16" s="95"/>
      <c r="G16" s="95"/>
      <c r="H16" s="95"/>
      <c r="I16" s="95"/>
      <c r="J16" s="95"/>
      <c r="K16" s="95"/>
      <c r="L16" s="95"/>
      <c r="M16" s="95"/>
      <c r="N16" s="95"/>
      <c r="O16" s="95"/>
      <c r="P16" s="95"/>
      <c r="Q16" s="95"/>
      <c r="R16" s="95"/>
      <c r="S16" s="95"/>
      <c r="T16" s="95"/>
      <c r="U16" s="95"/>
      <c r="V16" s="95"/>
      <c r="W16" s="95"/>
      <c r="X16" s="95"/>
      <c r="Y16" s="95"/>
      <c r="Z16" s="95"/>
      <c r="AA16" s="95"/>
      <c r="AB16" s="95"/>
      <c r="AC16" s="96"/>
      <c r="AD16" s="93"/>
      <c r="AE16" s="137"/>
      <c r="AF16" s="138"/>
      <c r="AG16" s="138"/>
      <c r="AH16" s="138"/>
      <c r="AI16" s="138"/>
      <c r="AJ16" s="138"/>
      <c r="AK16" s="139"/>
    </row>
    <row r="17" spans="4:37" x14ac:dyDescent="0.35">
      <c r="D17" s="94"/>
      <c r="E17" s="95"/>
      <c r="F17" s="95"/>
      <c r="G17" s="95"/>
      <c r="H17" s="95"/>
      <c r="I17" s="95"/>
      <c r="J17" s="95"/>
      <c r="K17" s="95"/>
      <c r="L17" s="95"/>
      <c r="M17" s="95"/>
      <c r="N17" s="95"/>
      <c r="O17" s="95"/>
      <c r="P17" s="95"/>
      <c r="Q17" s="95"/>
      <c r="R17" s="95"/>
      <c r="S17" s="95"/>
      <c r="T17" s="95"/>
      <c r="U17" s="95"/>
      <c r="V17" s="95"/>
      <c r="W17" s="95"/>
      <c r="X17" s="95"/>
      <c r="Y17" s="95"/>
      <c r="Z17" s="95"/>
      <c r="AA17" s="95"/>
      <c r="AB17" s="95"/>
      <c r="AC17" s="96"/>
      <c r="AD17" s="93"/>
      <c r="AE17" s="137"/>
      <c r="AF17" s="138"/>
      <c r="AG17" s="138"/>
      <c r="AH17" s="138"/>
      <c r="AI17" s="138"/>
      <c r="AJ17" s="138"/>
      <c r="AK17" s="139"/>
    </row>
    <row r="18" spans="4:37" x14ac:dyDescent="0.35">
      <c r="D18" s="94"/>
      <c r="E18" s="95"/>
      <c r="F18" s="95"/>
      <c r="G18" s="95"/>
      <c r="H18" s="95"/>
      <c r="I18" s="95"/>
      <c r="J18" s="95"/>
      <c r="K18" s="95"/>
      <c r="L18" s="95"/>
      <c r="M18" s="95"/>
      <c r="N18" s="95"/>
      <c r="O18" s="95"/>
      <c r="P18" s="95"/>
      <c r="Q18" s="95"/>
      <c r="R18" s="95"/>
      <c r="S18" s="95"/>
      <c r="T18" s="95"/>
      <c r="U18" s="95"/>
      <c r="V18" s="95"/>
      <c r="W18" s="95"/>
      <c r="X18" s="95"/>
      <c r="Y18" s="95"/>
      <c r="Z18" s="95"/>
      <c r="AA18" s="95"/>
      <c r="AB18" s="95"/>
      <c r="AC18" s="96"/>
      <c r="AD18" s="93"/>
      <c r="AE18" s="137"/>
      <c r="AF18" s="138"/>
      <c r="AG18" s="138"/>
      <c r="AH18" s="138"/>
      <c r="AI18" s="138"/>
      <c r="AJ18" s="138"/>
      <c r="AK18" s="139"/>
    </row>
    <row r="19" spans="4:37" x14ac:dyDescent="0.35">
      <c r="D19" s="94"/>
      <c r="E19" s="95"/>
      <c r="F19" s="95"/>
      <c r="G19" s="95"/>
      <c r="H19" s="95"/>
      <c r="I19" s="95"/>
      <c r="J19" s="95"/>
      <c r="K19" s="95"/>
      <c r="L19" s="95"/>
      <c r="M19" s="95"/>
      <c r="N19" s="95"/>
      <c r="O19" s="95"/>
      <c r="P19" s="95"/>
      <c r="Q19" s="95"/>
      <c r="R19" s="95"/>
      <c r="S19" s="95"/>
      <c r="T19" s="95"/>
      <c r="U19" s="95"/>
      <c r="V19" s="95"/>
      <c r="W19" s="95"/>
      <c r="X19" s="95"/>
      <c r="Y19" s="95"/>
      <c r="Z19" s="95"/>
      <c r="AA19" s="95"/>
      <c r="AB19" s="95"/>
      <c r="AC19" s="96"/>
      <c r="AD19" s="93"/>
      <c r="AE19" s="137"/>
      <c r="AF19" s="138"/>
      <c r="AG19" s="138"/>
      <c r="AH19" s="138"/>
      <c r="AI19" s="138"/>
      <c r="AJ19" s="138"/>
      <c r="AK19" s="139"/>
    </row>
    <row r="20" spans="4:37" x14ac:dyDescent="0.35">
      <c r="D20" s="94"/>
      <c r="E20" s="95"/>
      <c r="F20" s="95"/>
      <c r="G20" s="95"/>
      <c r="H20" s="95"/>
      <c r="I20" s="95"/>
      <c r="J20" s="95"/>
      <c r="K20" s="95"/>
      <c r="L20" s="95"/>
      <c r="M20" s="95"/>
      <c r="N20" s="95"/>
      <c r="O20" s="95"/>
      <c r="P20" s="95"/>
      <c r="Q20" s="95"/>
      <c r="R20" s="95"/>
      <c r="S20" s="95"/>
      <c r="T20" s="95"/>
      <c r="U20" s="95"/>
      <c r="V20" s="95"/>
      <c r="W20" s="95"/>
      <c r="X20" s="95"/>
      <c r="Y20" s="95"/>
      <c r="Z20" s="95"/>
      <c r="AA20" s="95"/>
      <c r="AB20" s="95"/>
      <c r="AC20" s="96"/>
      <c r="AD20" s="93"/>
      <c r="AE20" s="137"/>
      <c r="AF20" s="138"/>
      <c r="AG20" s="138"/>
      <c r="AH20" s="138"/>
      <c r="AI20" s="138"/>
      <c r="AJ20" s="138"/>
      <c r="AK20" s="139"/>
    </row>
    <row r="21" spans="4:37" x14ac:dyDescent="0.35">
      <c r="D21" s="94"/>
      <c r="E21" s="95"/>
      <c r="F21" s="95"/>
      <c r="G21" s="95"/>
      <c r="H21" s="95"/>
      <c r="I21" s="95"/>
      <c r="J21" s="95"/>
      <c r="K21" s="95"/>
      <c r="L21" s="95"/>
      <c r="M21" s="95"/>
      <c r="N21" s="95"/>
      <c r="O21" s="95"/>
      <c r="P21" s="95"/>
      <c r="Q21" s="95"/>
      <c r="R21" s="95"/>
      <c r="S21" s="95"/>
      <c r="T21" s="95"/>
      <c r="U21" s="95"/>
      <c r="V21" s="95"/>
      <c r="W21" s="95"/>
      <c r="X21" s="95"/>
      <c r="Y21" s="95"/>
      <c r="Z21" s="95"/>
      <c r="AA21" s="95"/>
      <c r="AB21" s="95"/>
      <c r="AC21" s="96"/>
      <c r="AD21" s="93"/>
      <c r="AE21" s="137"/>
      <c r="AF21" s="138"/>
      <c r="AG21" s="138"/>
      <c r="AH21" s="138"/>
      <c r="AI21" s="138"/>
      <c r="AJ21" s="138"/>
      <c r="AK21" s="139"/>
    </row>
    <row r="22" spans="4:37" x14ac:dyDescent="0.35">
      <c r="D22" s="94"/>
      <c r="E22" s="95"/>
      <c r="F22" s="95"/>
      <c r="G22" s="95"/>
      <c r="H22" s="95"/>
      <c r="I22" s="95"/>
      <c r="J22" s="95"/>
      <c r="K22" s="95"/>
      <c r="L22" s="95"/>
      <c r="M22" s="95"/>
      <c r="N22" s="95"/>
      <c r="O22" s="95"/>
      <c r="P22" s="95"/>
      <c r="Q22" s="95"/>
      <c r="R22" s="95"/>
      <c r="S22" s="95"/>
      <c r="T22" s="95"/>
      <c r="U22" s="95"/>
      <c r="V22" s="95"/>
      <c r="W22" s="95"/>
      <c r="X22" s="95"/>
      <c r="Y22" s="95"/>
      <c r="Z22" s="95"/>
      <c r="AA22" s="95"/>
      <c r="AB22" s="95"/>
      <c r="AC22" s="96"/>
      <c r="AD22" s="93"/>
      <c r="AE22" s="137"/>
      <c r="AF22" s="138"/>
      <c r="AG22" s="138"/>
      <c r="AH22" s="138"/>
      <c r="AI22" s="138"/>
      <c r="AJ22" s="138"/>
      <c r="AK22" s="139"/>
    </row>
    <row r="23" spans="4:37" x14ac:dyDescent="0.35">
      <c r="D23" s="94"/>
      <c r="E23" s="95"/>
      <c r="F23" s="95"/>
      <c r="G23" s="95"/>
      <c r="H23" s="95"/>
      <c r="I23" s="95"/>
      <c r="J23" s="95"/>
      <c r="K23" s="95"/>
      <c r="L23" s="95"/>
      <c r="M23" s="95"/>
      <c r="N23" s="95"/>
      <c r="O23" s="95"/>
      <c r="P23" s="95"/>
      <c r="Q23" s="95"/>
      <c r="R23" s="95"/>
      <c r="S23" s="95"/>
      <c r="T23" s="95"/>
      <c r="U23" s="95"/>
      <c r="V23" s="95"/>
      <c r="W23" s="95"/>
      <c r="X23" s="95"/>
      <c r="Y23" s="95"/>
      <c r="Z23" s="95"/>
      <c r="AA23" s="95"/>
      <c r="AB23" s="95"/>
      <c r="AC23" s="96"/>
      <c r="AD23" s="93"/>
      <c r="AE23" s="137"/>
      <c r="AF23" s="138"/>
      <c r="AG23" s="138"/>
      <c r="AH23" s="138"/>
      <c r="AI23" s="138"/>
      <c r="AJ23" s="138"/>
      <c r="AK23" s="139"/>
    </row>
    <row r="24" spans="4:37" x14ac:dyDescent="0.35">
      <c r="D24" s="94"/>
      <c r="E24" s="95"/>
      <c r="F24" s="95"/>
      <c r="G24" s="95"/>
      <c r="H24" s="95"/>
      <c r="I24" s="95"/>
      <c r="J24" s="95"/>
      <c r="K24" s="95"/>
      <c r="L24" s="95"/>
      <c r="M24" s="95"/>
      <c r="N24" s="95"/>
      <c r="O24" s="95"/>
      <c r="P24" s="95"/>
      <c r="Q24" s="95"/>
      <c r="R24" s="95"/>
      <c r="S24" s="95"/>
      <c r="T24" s="95"/>
      <c r="U24" s="95"/>
      <c r="V24" s="95"/>
      <c r="W24" s="95"/>
      <c r="X24" s="95"/>
      <c r="Y24" s="95"/>
      <c r="Z24" s="95"/>
      <c r="AA24" s="95"/>
      <c r="AB24" s="95"/>
      <c r="AC24" s="96"/>
      <c r="AD24" s="93"/>
      <c r="AE24" s="137"/>
      <c r="AF24" s="138"/>
      <c r="AG24" s="138"/>
      <c r="AH24" s="138"/>
      <c r="AI24" s="138"/>
      <c r="AJ24" s="138"/>
      <c r="AK24" s="139"/>
    </row>
    <row r="25" spans="4:37" x14ac:dyDescent="0.35">
      <c r="D25" s="94"/>
      <c r="E25" s="95"/>
      <c r="F25" s="95"/>
      <c r="G25" s="95"/>
      <c r="H25" s="95"/>
      <c r="I25" s="95"/>
      <c r="J25" s="95"/>
      <c r="K25" s="95"/>
      <c r="L25" s="95"/>
      <c r="M25" s="95"/>
      <c r="N25" s="95"/>
      <c r="O25" s="95"/>
      <c r="P25" s="95"/>
      <c r="Q25" s="95"/>
      <c r="R25" s="95"/>
      <c r="S25" s="95"/>
      <c r="T25" s="95"/>
      <c r="U25" s="95"/>
      <c r="V25" s="95"/>
      <c r="W25" s="95"/>
      <c r="X25" s="95"/>
      <c r="Y25" s="95"/>
      <c r="Z25" s="95"/>
      <c r="AA25" s="95"/>
      <c r="AB25" s="95"/>
      <c r="AC25" s="96"/>
      <c r="AD25" s="93"/>
      <c r="AE25" s="137"/>
      <c r="AF25" s="138"/>
      <c r="AG25" s="138"/>
      <c r="AH25" s="138"/>
      <c r="AI25" s="138"/>
      <c r="AJ25" s="138"/>
      <c r="AK25" s="139"/>
    </row>
    <row r="26" spans="4:37" x14ac:dyDescent="0.35">
      <c r="D26" s="94"/>
      <c r="E26" s="95"/>
      <c r="F26" s="95"/>
      <c r="G26" s="95"/>
      <c r="H26" s="95"/>
      <c r="I26" s="95"/>
      <c r="J26" s="95"/>
      <c r="K26" s="95"/>
      <c r="L26" s="95"/>
      <c r="M26" s="95"/>
      <c r="N26" s="95"/>
      <c r="O26" s="95"/>
      <c r="P26" s="95"/>
      <c r="Q26" s="95"/>
      <c r="R26" s="95"/>
      <c r="S26" s="95"/>
      <c r="T26" s="95"/>
      <c r="U26" s="95"/>
      <c r="V26" s="95"/>
      <c r="W26" s="95"/>
      <c r="X26" s="95"/>
      <c r="Y26" s="95"/>
      <c r="Z26" s="95"/>
      <c r="AA26" s="95"/>
      <c r="AB26" s="95"/>
      <c r="AC26" s="96"/>
      <c r="AD26" s="93"/>
      <c r="AE26" s="137"/>
      <c r="AF26" s="138"/>
      <c r="AG26" s="138"/>
      <c r="AH26" s="138"/>
      <c r="AI26" s="138"/>
      <c r="AJ26" s="138"/>
      <c r="AK26" s="139"/>
    </row>
    <row r="27" spans="4:37" x14ac:dyDescent="0.35">
      <c r="D27" s="94"/>
      <c r="E27" s="95"/>
      <c r="F27" s="95"/>
      <c r="G27" s="95"/>
      <c r="H27" s="95"/>
      <c r="I27" s="95"/>
      <c r="J27" s="95"/>
      <c r="K27" s="95"/>
      <c r="L27" s="95"/>
      <c r="M27" s="95"/>
      <c r="N27" s="95"/>
      <c r="O27" s="95"/>
      <c r="P27" s="95"/>
      <c r="Q27" s="95"/>
      <c r="R27" s="95"/>
      <c r="S27" s="95"/>
      <c r="T27" s="95"/>
      <c r="U27" s="95"/>
      <c r="V27" s="95"/>
      <c r="W27" s="95"/>
      <c r="X27" s="95"/>
      <c r="Y27" s="95"/>
      <c r="Z27" s="95"/>
      <c r="AA27" s="95"/>
      <c r="AB27" s="95"/>
      <c r="AC27" s="96"/>
      <c r="AD27" s="93"/>
      <c r="AE27" s="137"/>
      <c r="AF27" s="138"/>
      <c r="AG27" s="138"/>
      <c r="AH27" s="138"/>
      <c r="AI27" s="138"/>
      <c r="AJ27" s="138"/>
      <c r="AK27" s="139"/>
    </row>
    <row r="28" spans="4:37" x14ac:dyDescent="0.35">
      <c r="D28" s="94"/>
      <c r="E28" s="95"/>
      <c r="F28" s="95"/>
      <c r="G28" s="95"/>
      <c r="H28" s="95"/>
      <c r="I28" s="95"/>
      <c r="J28" s="95"/>
      <c r="K28" s="95"/>
      <c r="L28" s="95"/>
      <c r="M28" s="95"/>
      <c r="N28" s="95"/>
      <c r="O28" s="95"/>
      <c r="P28" s="95"/>
      <c r="Q28" s="95"/>
      <c r="R28" s="95"/>
      <c r="S28" s="95"/>
      <c r="T28" s="95"/>
      <c r="U28" s="95"/>
      <c r="V28" s="95"/>
      <c r="W28" s="95"/>
      <c r="X28" s="95"/>
      <c r="Y28" s="95"/>
      <c r="Z28" s="95"/>
      <c r="AA28" s="95"/>
      <c r="AB28" s="95"/>
      <c r="AC28" s="96"/>
      <c r="AD28" s="93"/>
      <c r="AE28" s="137"/>
      <c r="AF28" s="138"/>
      <c r="AG28" s="138"/>
      <c r="AH28" s="138"/>
      <c r="AI28" s="138"/>
      <c r="AJ28" s="138"/>
      <c r="AK28" s="139"/>
    </row>
    <row r="29" spans="4:37" x14ac:dyDescent="0.35">
      <c r="D29" s="94"/>
      <c r="E29" s="95"/>
      <c r="F29" s="95"/>
      <c r="G29" s="95"/>
      <c r="H29" s="95"/>
      <c r="I29" s="95"/>
      <c r="J29" s="95"/>
      <c r="K29" s="95"/>
      <c r="L29" s="95"/>
      <c r="M29" s="95"/>
      <c r="N29" s="95"/>
      <c r="O29" s="95"/>
      <c r="P29" s="95"/>
      <c r="Q29" s="95"/>
      <c r="R29" s="95"/>
      <c r="S29" s="95"/>
      <c r="T29" s="95"/>
      <c r="U29" s="95"/>
      <c r="V29" s="95"/>
      <c r="W29" s="95"/>
      <c r="X29" s="95"/>
      <c r="Y29" s="95"/>
      <c r="Z29" s="95"/>
      <c r="AA29" s="95"/>
      <c r="AB29" s="95"/>
      <c r="AC29" s="96"/>
      <c r="AD29" s="93"/>
      <c r="AE29" s="137"/>
      <c r="AF29" s="138"/>
      <c r="AG29" s="138"/>
      <c r="AH29" s="138"/>
      <c r="AI29" s="138"/>
      <c r="AJ29" s="138"/>
      <c r="AK29" s="139"/>
    </row>
    <row r="30" spans="4:37" x14ac:dyDescent="0.35">
      <c r="D30" s="94"/>
      <c r="E30" s="95"/>
      <c r="F30" s="95"/>
      <c r="G30" s="95"/>
      <c r="H30" s="95"/>
      <c r="I30" s="95"/>
      <c r="J30" s="95"/>
      <c r="K30" s="95"/>
      <c r="L30" s="95"/>
      <c r="M30" s="95"/>
      <c r="N30" s="95"/>
      <c r="O30" s="95"/>
      <c r="P30" s="95"/>
      <c r="Q30" s="95"/>
      <c r="R30" s="95"/>
      <c r="S30" s="95"/>
      <c r="T30" s="95"/>
      <c r="U30" s="95"/>
      <c r="V30" s="95"/>
      <c r="W30" s="95"/>
      <c r="X30" s="95"/>
      <c r="Y30" s="95"/>
      <c r="Z30" s="95"/>
      <c r="AA30" s="95"/>
      <c r="AB30" s="95"/>
      <c r="AC30" s="96"/>
      <c r="AD30" s="93"/>
      <c r="AE30" s="137"/>
      <c r="AF30" s="138"/>
      <c r="AG30" s="138"/>
      <c r="AH30" s="138"/>
      <c r="AI30" s="138"/>
      <c r="AJ30" s="138"/>
      <c r="AK30" s="139"/>
    </row>
    <row r="31" spans="4:37" x14ac:dyDescent="0.35">
      <c r="D31" s="94"/>
      <c r="E31" s="95"/>
      <c r="F31" s="95"/>
      <c r="G31" s="95"/>
      <c r="H31" s="95"/>
      <c r="I31" s="95"/>
      <c r="J31" s="95"/>
      <c r="K31" s="95"/>
      <c r="L31" s="95"/>
      <c r="M31" s="95"/>
      <c r="N31" s="95"/>
      <c r="O31" s="95"/>
      <c r="P31" s="95"/>
      <c r="Q31" s="95"/>
      <c r="R31" s="95"/>
      <c r="S31" s="95"/>
      <c r="T31" s="95"/>
      <c r="U31" s="95"/>
      <c r="V31" s="95"/>
      <c r="W31" s="95"/>
      <c r="X31" s="95"/>
      <c r="Y31" s="95"/>
      <c r="Z31" s="95"/>
      <c r="AA31" s="95"/>
      <c r="AB31" s="95"/>
      <c r="AC31" s="96"/>
      <c r="AD31" s="93"/>
      <c r="AE31" s="137"/>
      <c r="AF31" s="138"/>
      <c r="AG31" s="138"/>
      <c r="AH31" s="138"/>
      <c r="AI31" s="138"/>
      <c r="AJ31" s="138"/>
      <c r="AK31" s="139"/>
    </row>
    <row r="32" spans="4:37" x14ac:dyDescent="0.35">
      <c r="D32" s="94"/>
      <c r="E32" s="95"/>
      <c r="F32" s="95"/>
      <c r="G32" s="95"/>
      <c r="H32" s="95"/>
      <c r="I32" s="95"/>
      <c r="J32" s="95"/>
      <c r="K32" s="95"/>
      <c r="L32" s="95"/>
      <c r="M32" s="95"/>
      <c r="N32" s="95"/>
      <c r="O32" s="95"/>
      <c r="P32" s="95"/>
      <c r="Q32" s="95"/>
      <c r="R32" s="95"/>
      <c r="S32" s="95"/>
      <c r="T32" s="95"/>
      <c r="U32" s="95"/>
      <c r="V32" s="95"/>
      <c r="W32" s="95"/>
      <c r="X32" s="95"/>
      <c r="Y32" s="95"/>
      <c r="Z32" s="95"/>
      <c r="AA32" s="95"/>
      <c r="AB32" s="95"/>
      <c r="AC32" s="96"/>
      <c r="AD32" s="93"/>
      <c r="AE32" s="137"/>
      <c r="AF32" s="138"/>
      <c r="AG32" s="138"/>
      <c r="AH32" s="138"/>
      <c r="AI32" s="138"/>
      <c r="AJ32" s="138"/>
      <c r="AK32" s="139"/>
    </row>
    <row r="33" spans="4:37" x14ac:dyDescent="0.35">
      <c r="D33" s="94"/>
      <c r="E33" s="95"/>
      <c r="F33" s="95"/>
      <c r="G33" s="95"/>
      <c r="H33" s="95"/>
      <c r="I33" s="95"/>
      <c r="J33" s="95"/>
      <c r="K33" s="95"/>
      <c r="L33" s="95"/>
      <c r="M33" s="95"/>
      <c r="N33" s="95"/>
      <c r="O33" s="95"/>
      <c r="P33" s="95"/>
      <c r="Q33" s="95"/>
      <c r="R33" s="95"/>
      <c r="S33" s="95"/>
      <c r="T33" s="95"/>
      <c r="U33" s="95"/>
      <c r="V33" s="95"/>
      <c r="W33" s="95"/>
      <c r="X33" s="95"/>
      <c r="Y33" s="95"/>
      <c r="Z33" s="95"/>
      <c r="AA33" s="95"/>
      <c r="AB33" s="95"/>
      <c r="AC33" s="96"/>
      <c r="AD33" s="93"/>
      <c r="AE33" s="137"/>
      <c r="AF33" s="138"/>
      <c r="AG33" s="138"/>
      <c r="AH33" s="138"/>
      <c r="AI33" s="138"/>
      <c r="AJ33" s="138"/>
      <c r="AK33" s="139"/>
    </row>
    <row r="34" spans="4:37" x14ac:dyDescent="0.35">
      <c r="D34" s="94"/>
      <c r="E34" s="95"/>
      <c r="F34" s="95"/>
      <c r="G34" s="95"/>
      <c r="H34" s="95"/>
      <c r="I34" s="95"/>
      <c r="J34" s="95"/>
      <c r="K34" s="95"/>
      <c r="L34" s="95"/>
      <c r="M34" s="95"/>
      <c r="N34" s="95"/>
      <c r="O34" s="95"/>
      <c r="P34" s="95"/>
      <c r="Q34" s="95"/>
      <c r="R34" s="95"/>
      <c r="S34" s="95"/>
      <c r="T34" s="95"/>
      <c r="U34" s="95"/>
      <c r="V34" s="95"/>
      <c r="W34" s="95"/>
      <c r="X34" s="95"/>
      <c r="Y34" s="95"/>
      <c r="Z34" s="95"/>
      <c r="AA34" s="95"/>
      <c r="AB34" s="95"/>
      <c r="AC34" s="96"/>
      <c r="AD34" s="93"/>
      <c r="AE34" s="137"/>
      <c r="AF34" s="138"/>
      <c r="AG34" s="138"/>
      <c r="AH34" s="138"/>
      <c r="AI34" s="138"/>
      <c r="AJ34" s="138"/>
      <c r="AK34" s="139"/>
    </row>
    <row r="35" spans="4:37" x14ac:dyDescent="0.35">
      <c r="D35" s="94"/>
      <c r="E35" s="95"/>
      <c r="F35" s="95"/>
      <c r="G35" s="95"/>
      <c r="H35" s="95"/>
      <c r="I35" s="95"/>
      <c r="J35" s="95"/>
      <c r="K35" s="95"/>
      <c r="L35" s="95"/>
      <c r="M35" s="95"/>
      <c r="N35" s="95"/>
      <c r="O35" s="95"/>
      <c r="P35" s="95"/>
      <c r="Q35" s="95"/>
      <c r="R35" s="95"/>
      <c r="S35" s="95"/>
      <c r="T35" s="95"/>
      <c r="U35" s="95"/>
      <c r="V35" s="95"/>
      <c r="W35" s="95"/>
      <c r="X35" s="95"/>
      <c r="Y35" s="95"/>
      <c r="Z35" s="95"/>
      <c r="AA35" s="95"/>
      <c r="AB35" s="95"/>
      <c r="AC35" s="96"/>
      <c r="AD35" s="93"/>
      <c r="AE35" s="137"/>
      <c r="AF35" s="138"/>
      <c r="AG35" s="138"/>
      <c r="AH35" s="138"/>
      <c r="AI35" s="138"/>
      <c r="AJ35" s="138"/>
      <c r="AK35" s="139"/>
    </row>
    <row r="36" spans="4:37" x14ac:dyDescent="0.35">
      <c r="D36" s="94"/>
      <c r="E36" s="95"/>
      <c r="F36" s="95"/>
      <c r="G36" s="95"/>
      <c r="H36" s="95"/>
      <c r="I36" s="95"/>
      <c r="J36" s="95"/>
      <c r="K36" s="95"/>
      <c r="L36" s="95"/>
      <c r="M36" s="95"/>
      <c r="N36" s="95"/>
      <c r="O36" s="95"/>
      <c r="P36" s="95"/>
      <c r="Q36" s="95"/>
      <c r="R36" s="95"/>
      <c r="S36" s="95"/>
      <c r="T36" s="95"/>
      <c r="U36" s="95"/>
      <c r="V36" s="95"/>
      <c r="W36" s="95"/>
      <c r="X36" s="95"/>
      <c r="Y36" s="95"/>
      <c r="Z36" s="95"/>
      <c r="AA36" s="95"/>
      <c r="AB36" s="95"/>
      <c r="AC36" s="96"/>
      <c r="AD36" s="93"/>
      <c r="AE36" s="137"/>
      <c r="AF36" s="138"/>
      <c r="AG36" s="138"/>
      <c r="AH36" s="138"/>
      <c r="AI36" s="138"/>
      <c r="AJ36" s="138"/>
      <c r="AK36" s="139"/>
    </row>
    <row r="37" spans="4:37" x14ac:dyDescent="0.35">
      <c r="D37" s="94"/>
      <c r="E37" s="95"/>
      <c r="F37" s="95"/>
      <c r="G37" s="95"/>
      <c r="H37" s="95"/>
      <c r="I37" s="95"/>
      <c r="J37" s="95"/>
      <c r="K37" s="95"/>
      <c r="L37" s="95"/>
      <c r="M37" s="95"/>
      <c r="N37" s="95"/>
      <c r="O37" s="95"/>
      <c r="P37" s="95"/>
      <c r="Q37" s="95"/>
      <c r="R37" s="95"/>
      <c r="S37" s="95"/>
      <c r="T37" s="95"/>
      <c r="U37" s="95"/>
      <c r="V37" s="95"/>
      <c r="W37" s="95"/>
      <c r="X37" s="95"/>
      <c r="Y37" s="95"/>
      <c r="Z37" s="95"/>
      <c r="AA37" s="95"/>
      <c r="AB37" s="95"/>
      <c r="AC37" s="96"/>
      <c r="AD37" s="93"/>
      <c r="AE37" s="137"/>
      <c r="AF37" s="138"/>
      <c r="AG37" s="138"/>
      <c r="AH37" s="138"/>
      <c r="AI37" s="138"/>
      <c r="AJ37" s="138"/>
      <c r="AK37" s="139"/>
    </row>
    <row r="38" spans="4:37" x14ac:dyDescent="0.35">
      <c r="D38" s="94"/>
      <c r="E38" s="95"/>
      <c r="F38" s="95"/>
      <c r="G38" s="95"/>
      <c r="H38" s="95"/>
      <c r="I38" s="95"/>
      <c r="J38" s="95"/>
      <c r="K38" s="95"/>
      <c r="L38" s="95"/>
      <c r="M38" s="95"/>
      <c r="N38" s="95"/>
      <c r="O38" s="95"/>
      <c r="P38" s="95"/>
      <c r="Q38" s="95"/>
      <c r="R38" s="95"/>
      <c r="S38" s="95"/>
      <c r="T38" s="95"/>
      <c r="U38" s="95"/>
      <c r="V38" s="95"/>
      <c r="W38" s="95"/>
      <c r="X38" s="95"/>
      <c r="Y38" s="95"/>
      <c r="Z38" s="95"/>
      <c r="AA38" s="95"/>
      <c r="AB38" s="95"/>
      <c r="AC38" s="96"/>
      <c r="AD38" s="93"/>
      <c r="AE38" s="137"/>
      <c r="AF38" s="138"/>
      <c r="AG38" s="138"/>
      <c r="AH38" s="138"/>
      <c r="AI38" s="138"/>
      <c r="AJ38" s="138"/>
      <c r="AK38" s="139"/>
    </row>
    <row r="39" spans="4:37" x14ac:dyDescent="0.35">
      <c r="D39" s="94"/>
      <c r="E39" s="95"/>
      <c r="F39" s="95"/>
      <c r="G39" s="95"/>
      <c r="H39" s="95"/>
      <c r="I39" s="95"/>
      <c r="J39" s="95"/>
      <c r="K39" s="95"/>
      <c r="L39" s="95"/>
      <c r="M39" s="95"/>
      <c r="N39" s="95"/>
      <c r="O39" s="95"/>
      <c r="P39" s="95"/>
      <c r="Q39" s="95"/>
      <c r="R39" s="95"/>
      <c r="S39" s="95"/>
      <c r="T39" s="95"/>
      <c r="U39" s="95"/>
      <c r="V39" s="95"/>
      <c r="W39" s="95"/>
      <c r="X39" s="95"/>
      <c r="Y39" s="95"/>
      <c r="Z39" s="95"/>
      <c r="AA39" s="95"/>
      <c r="AB39" s="95"/>
      <c r="AC39" s="96"/>
      <c r="AD39" s="93"/>
      <c r="AE39" s="137"/>
      <c r="AF39" s="138"/>
      <c r="AG39" s="138"/>
      <c r="AH39" s="138"/>
      <c r="AI39" s="138"/>
      <c r="AJ39" s="138"/>
      <c r="AK39" s="139"/>
    </row>
    <row r="40" spans="4:37" x14ac:dyDescent="0.35">
      <c r="D40" s="94"/>
      <c r="E40" s="95"/>
      <c r="F40" s="95"/>
      <c r="G40" s="95"/>
      <c r="H40" s="95"/>
      <c r="I40" s="95"/>
      <c r="J40" s="95"/>
      <c r="K40" s="95"/>
      <c r="L40" s="95"/>
      <c r="M40" s="95"/>
      <c r="N40" s="95"/>
      <c r="O40" s="95"/>
      <c r="P40" s="95"/>
      <c r="Q40" s="95"/>
      <c r="R40" s="95"/>
      <c r="S40" s="95"/>
      <c r="T40" s="95"/>
      <c r="U40" s="95"/>
      <c r="V40" s="95"/>
      <c r="W40" s="95"/>
      <c r="X40" s="95"/>
      <c r="Y40" s="95"/>
      <c r="Z40" s="95"/>
      <c r="AA40" s="95"/>
      <c r="AB40" s="95"/>
      <c r="AC40" s="96"/>
      <c r="AD40" s="93"/>
      <c r="AE40" s="137"/>
      <c r="AF40" s="138"/>
      <c r="AG40" s="138"/>
      <c r="AH40" s="138"/>
      <c r="AI40" s="138"/>
      <c r="AJ40" s="138"/>
      <c r="AK40" s="139"/>
    </row>
    <row r="41" spans="4:37" x14ac:dyDescent="0.35">
      <c r="D41" s="94"/>
      <c r="E41" s="95"/>
      <c r="F41" s="95"/>
      <c r="G41" s="95"/>
      <c r="H41" s="95"/>
      <c r="I41" s="95"/>
      <c r="J41" s="95"/>
      <c r="K41" s="95"/>
      <c r="L41" s="95"/>
      <c r="M41" s="95"/>
      <c r="N41" s="95"/>
      <c r="O41" s="95"/>
      <c r="P41" s="95"/>
      <c r="Q41" s="95"/>
      <c r="R41" s="95"/>
      <c r="S41" s="95"/>
      <c r="T41" s="95"/>
      <c r="U41" s="95"/>
      <c r="V41" s="95"/>
      <c r="W41" s="95"/>
      <c r="X41" s="95"/>
      <c r="Y41" s="95"/>
      <c r="Z41" s="95"/>
      <c r="AA41" s="95"/>
      <c r="AB41" s="95"/>
      <c r="AC41" s="96"/>
      <c r="AD41" s="93"/>
      <c r="AE41" s="137"/>
      <c r="AF41" s="138"/>
      <c r="AG41" s="138"/>
      <c r="AH41" s="138"/>
      <c r="AI41" s="138"/>
      <c r="AJ41" s="138"/>
      <c r="AK41" s="139"/>
    </row>
    <row r="42" spans="4:37" x14ac:dyDescent="0.35">
      <c r="D42" s="94"/>
      <c r="E42" s="95"/>
      <c r="F42" s="95"/>
      <c r="G42" s="95"/>
      <c r="H42" s="95"/>
      <c r="I42" s="95"/>
      <c r="J42" s="95"/>
      <c r="K42" s="95"/>
      <c r="L42" s="95"/>
      <c r="M42" s="95"/>
      <c r="N42" s="95"/>
      <c r="O42" s="95"/>
      <c r="P42" s="95"/>
      <c r="Q42" s="95"/>
      <c r="R42" s="95"/>
      <c r="S42" s="95"/>
      <c r="T42" s="95"/>
      <c r="U42" s="95"/>
      <c r="V42" s="95"/>
      <c r="W42" s="95"/>
      <c r="X42" s="95"/>
      <c r="Y42" s="95"/>
      <c r="Z42" s="95"/>
      <c r="AA42" s="95"/>
      <c r="AB42" s="95"/>
      <c r="AC42" s="96"/>
      <c r="AD42" s="93"/>
      <c r="AE42" s="137"/>
      <c r="AF42" s="138"/>
      <c r="AG42" s="138"/>
      <c r="AH42" s="138"/>
      <c r="AI42" s="138"/>
      <c r="AJ42" s="138"/>
      <c r="AK42" s="139"/>
    </row>
    <row r="43" spans="4:37" x14ac:dyDescent="0.35">
      <c r="D43" s="94"/>
      <c r="E43" s="95"/>
      <c r="F43" s="95"/>
      <c r="G43" s="95"/>
      <c r="H43" s="95"/>
      <c r="I43" s="95"/>
      <c r="J43" s="95"/>
      <c r="K43" s="95"/>
      <c r="L43" s="95"/>
      <c r="M43" s="95"/>
      <c r="N43" s="95"/>
      <c r="O43" s="95"/>
      <c r="P43" s="95"/>
      <c r="Q43" s="95"/>
      <c r="R43" s="95"/>
      <c r="S43" s="95"/>
      <c r="T43" s="95"/>
      <c r="U43" s="95"/>
      <c r="V43" s="95"/>
      <c r="W43" s="95"/>
      <c r="X43" s="95"/>
      <c r="Y43" s="95"/>
      <c r="Z43" s="95"/>
      <c r="AA43" s="95"/>
      <c r="AB43" s="95"/>
      <c r="AC43" s="96"/>
      <c r="AD43" s="93"/>
      <c r="AE43" s="137"/>
      <c r="AF43" s="138"/>
      <c r="AG43" s="138"/>
      <c r="AH43" s="138"/>
      <c r="AI43" s="138"/>
      <c r="AJ43" s="138"/>
      <c r="AK43" s="139"/>
    </row>
    <row r="44" spans="4:37" x14ac:dyDescent="0.35">
      <c r="D44" s="94"/>
      <c r="E44" s="95"/>
      <c r="F44" s="95"/>
      <c r="G44" s="95"/>
      <c r="H44" s="95"/>
      <c r="I44" s="95"/>
      <c r="J44" s="95"/>
      <c r="K44" s="95"/>
      <c r="L44" s="95"/>
      <c r="M44" s="95"/>
      <c r="N44" s="95"/>
      <c r="O44" s="95"/>
      <c r="P44" s="95"/>
      <c r="Q44" s="95"/>
      <c r="R44" s="95"/>
      <c r="S44" s="95"/>
      <c r="T44" s="95"/>
      <c r="U44" s="95"/>
      <c r="V44" s="95"/>
      <c r="W44" s="95"/>
      <c r="X44" s="95"/>
      <c r="Y44" s="95"/>
      <c r="Z44" s="95"/>
      <c r="AA44" s="95"/>
      <c r="AB44" s="95"/>
      <c r="AC44" s="96"/>
      <c r="AD44" s="93"/>
      <c r="AE44" s="137"/>
      <c r="AF44" s="138"/>
      <c r="AG44" s="138"/>
      <c r="AH44" s="138"/>
      <c r="AI44" s="138"/>
      <c r="AJ44" s="138"/>
      <c r="AK44" s="139"/>
    </row>
    <row r="45" spans="4:37" x14ac:dyDescent="0.35">
      <c r="D45" s="94"/>
      <c r="E45" s="95"/>
      <c r="F45" s="95"/>
      <c r="G45" s="95"/>
      <c r="H45" s="95"/>
      <c r="I45" s="95"/>
      <c r="J45" s="95"/>
      <c r="K45" s="95"/>
      <c r="L45" s="95"/>
      <c r="M45" s="95"/>
      <c r="N45" s="95"/>
      <c r="O45" s="95"/>
      <c r="P45" s="95"/>
      <c r="Q45" s="95"/>
      <c r="R45" s="95"/>
      <c r="S45" s="95"/>
      <c r="T45" s="95"/>
      <c r="U45" s="95"/>
      <c r="V45" s="95"/>
      <c r="W45" s="95"/>
      <c r="X45" s="95"/>
      <c r="Y45" s="95"/>
      <c r="Z45" s="95"/>
      <c r="AA45" s="95"/>
      <c r="AB45" s="95"/>
      <c r="AC45" s="96"/>
      <c r="AD45" s="93"/>
      <c r="AE45" s="137"/>
      <c r="AF45" s="138"/>
      <c r="AG45" s="138"/>
      <c r="AH45" s="138"/>
      <c r="AI45" s="138"/>
      <c r="AJ45" s="138"/>
      <c r="AK45" s="139"/>
    </row>
    <row r="46" spans="4:37" x14ac:dyDescent="0.35">
      <c r="D46" s="94"/>
      <c r="E46" s="95"/>
      <c r="F46" s="95"/>
      <c r="G46" s="95"/>
      <c r="H46" s="95"/>
      <c r="I46" s="95"/>
      <c r="J46" s="95"/>
      <c r="K46" s="95"/>
      <c r="L46" s="95"/>
      <c r="M46" s="95"/>
      <c r="N46" s="95"/>
      <c r="O46" s="95"/>
      <c r="P46" s="95"/>
      <c r="Q46" s="95"/>
      <c r="R46" s="95"/>
      <c r="S46" s="95"/>
      <c r="T46" s="95"/>
      <c r="U46" s="95"/>
      <c r="V46" s="95"/>
      <c r="W46" s="95"/>
      <c r="X46" s="95"/>
      <c r="Y46" s="95"/>
      <c r="Z46" s="95"/>
      <c r="AA46" s="95"/>
      <c r="AB46" s="95"/>
      <c r="AC46" s="96"/>
      <c r="AD46" s="93"/>
      <c r="AE46" s="137"/>
      <c r="AF46" s="138"/>
      <c r="AG46" s="138"/>
      <c r="AH46" s="138"/>
      <c r="AI46" s="138"/>
      <c r="AJ46" s="138"/>
      <c r="AK46" s="139"/>
    </row>
    <row r="47" spans="4:37" x14ac:dyDescent="0.35">
      <c r="D47" s="94"/>
      <c r="E47" s="95"/>
      <c r="F47" s="95"/>
      <c r="G47" s="95"/>
      <c r="H47" s="95"/>
      <c r="I47" s="95"/>
      <c r="J47" s="95"/>
      <c r="K47" s="95"/>
      <c r="L47" s="95"/>
      <c r="M47" s="95"/>
      <c r="N47" s="95"/>
      <c r="O47" s="95"/>
      <c r="P47" s="95"/>
      <c r="Q47" s="95"/>
      <c r="R47" s="95"/>
      <c r="S47" s="95"/>
      <c r="T47" s="95"/>
      <c r="U47" s="95"/>
      <c r="V47" s="95"/>
      <c r="W47" s="95"/>
      <c r="X47" s="95"/>
      <c r="Y47" s="95"/>
      <c r="Z47" s="95"/>
      <c r="AA47" s="95"/>
      <c r="AB47" s="95"/>
      <c r="AC47" s="96"/>
      <c r="AD47" s="93"/>
      <c r="AE47" s="137"/>
      <c r="AF47" s="138"/>
      <c r="AG47" s="138"/>
      <c r="AH47" s="138"/>
      <c r="AI47" s="138"/>
      <c r="AJ47" s="138"/>
      <c r="AK47" s="139"/>
    </row>
    <row r="48" spans="4:37" x14ac:dyDescent="0.35">
      <c r="D48" s="94"/>
      <c r="E48" s="95"/>
      <c r="F48" s="95"/>
      <c r="G48" s="95"/>
      <c r="H48" s="95"/>
      <c r="I48" s="95"/>
      <c r="J48" s="95"/>
      <c r="K48" s="95"/>
      <c r="L48" s="95"/>
      <c r="M48" s="95"/>
      <c r="N48" s="95"/>
      <c r="O48" s="95"/>
      <c r="P48" s="95"/>
      <c r="Q48" s="95"/>
      <c r="R48" s="95"/>
      <c r="S48" s="95"/>
      <c r="T48" s="95"/>
      <c r="U48" s="95"/>
      <c r="V48" s="95"/>
      <c r="W48" s="95"/>
      <c r="X48" s="95"/>
      <c r="Y48" s="95"/>
      <c r="Z48" s="95"/>
      <c r="AA48" s="95"/>
      <c r="AB48" s="95"/>
      <c r="AC48" s="96"/>
      <c r="AD48" s="93"/>
      <c r="AE48" s="137"/>
      <c r="AF48" s="138"/>
      <c r="AG48" s="138"/>
      <c r="AH48" s="138"/>
      <c r="AI48" s="138"/>
      <c r="AJ48" s="138"/>
      <c r="AK48" s="139"/>
    </row>
    <row r="49" spans="4:37" x14ac:dyDescent="0.35">
      <c r="D49" s="94"/>
      <c r="E49" s="95"/>
      <c r="F49" s="95"/>
      <c r="G49" s="95"/>
      <c r="H49" s="95"/>
      <c r="I49" s="95"/>
      <c r="J49" s="95"/>
      <c r="K49" s="95"/>
      <c r="L49" s="95"/>
      <c r="M49" s="95"/>
      <c r="N49" s="95"/>
      <c r="O49" s="95"/>
      <c r="P49" s="95"/>
      <c r="Q49" s="95"/>
      <c r="R49" s="95"/>
      <c r="S49" s="95"/>
      <c r="T49" s="95"/>
      <c r="U49" s="95"/>
      <c r="V49" s="95"/>
      <c r="W49" s="95"/>
      <c r="X49" s="95"/>
      <c r="Y49" s="95"/>
      <c r="Z49" s="95"/>
      <c r="AA49" s="95"/>
      <c r="AB49" s="95"/>
      <c r="AC49" s="96"/>
      <c r="AD49" s="93"/>
      <c r="AE49" s="137"/>
      <c r="AF49" s="138"/>
      <c r="AG49" s="138"/>
      <c r="AH49" s="138"/>
      <c r="AI49" s="138"/>
      <c r="AJ49" s="138"/>
      <c r="AK49" s="139"/>
    </row>
    <row r="50" spans="4:37" x14ac:dyDescent="0.35">
      <c r="D50" s="94"/>
      <c r="E50" s="95"/>
      <c r="F50" s="95"/>
      <c r="G50" s="95"/>
      <c r="H50" s="95"/>
      <c r="I50" s="95"/>
      <c r="J50" s="95"/>
      <c r="K50" s="95"/>
      <c r="L50" s="95"/>
      <c r="M50" s="95"/>
      <c r="N50" s="95"/>
      <c r="O50" s="95"/>
      <c r="P50" s="95"/>
      <c r="Q50" s="95"/>
      <c r="R50" s="95"/>
      <c r="S50" s="95"/>
      <c r="T50" s="95"/>
      <c r="U50" s="95"/>
      <c r="V50" s="95"/>
      <c r="W50" s="95"/>
      <c r="X50" s="95"/>
      <c r="Y50" s="95"/>
      <c r="Z50" s="95"/>
      <c r="AA50" s="95"/>
      <c r="AB50" s="95"/>
      <c r="AC50" s="96"/>
      <c r="AD50" s="93"/>
      <c r="AE50" s="137"/>
      <c r="AF50" s="138"/>
      <c r="AG50" s="138"/>
      <c r="AH50" s="138"/>
      <c r="AI50" s="138"/>
      <c r="AJ50" s="138"/>
      <c r="AK50" s="139"/>
    </row>
    <row r="51" spans="4:37" x14ac:dyDescent="0.35">
      <c r="D51" s="94"/>
      <c r="E51" s="95"/>
      <c r="F51" s="95"/>
      <c r="G51" s="95"/>
      <c r="H51" s="95"/>
      <c r="I51" s="95"/>
      <c r="J51" s="95"/>
      <c r="K51" s="95"/>
      <c r="L51" s="95"/>
      <c r="M51" s="95"/>
      <c r="N51" s="95"/>
      <c r="O51" s="95"/>
      <c r="P51" s="95"/>
      <c r="Q51" s="95"/>
      <c r="R51" s="95"/>
      <c r="S51" s="95"/>
      <c r="T51" s="95"/>
      <c r="U51" s="95"/>
      <c r="V51" s="95"/>
      <c r="W51" s="95"/>
      <c r="X51" s="95"/>
      <c r="Y51" s="95"/>
      <c r="Z51" s="95"/>
      <c r="AA51" s="95"/>
      <c r="AB51" s="95"/>
      <c r="AC51" s="96"/>
      <c r="AD51" s="93"/>
      <c r="AE51" s="137"/>
      <c r="AF51" s="138"/>
      <c r="AG51" s="138"/>
      <c r="AH51" s="138"/>
      <c r="AI51" s="138"/>
      <c r="AJ51" s="138"/>
      <c r="AK51" s="139"/>
    </row>
    <row r="52" spans="4:37" x14ac:dyDescent="0.35">
      <c r="D52" s="94"/>
      <c r="E52" s="95"/>
      <c r="F52" s="95"/>
      <c r="G52" s="95"/>
      <c r="H52" s="95"/>
      <c r="I52" s="95"/>
      <c r="J52" s="95"/>
      <c r="K52" s="95"/>
      <c r="L52" s="95"/>
      <c r="M52" s="95"/>
      <c r="N52" s="95"/>
      <c r="O52" s="95"/>
      <c r="P52" s="95"/>
      <c r="Q52" s="95"/>
      <c r="R52" s="95"/>
      <c r="S52" s="95"/>
      <c r="T52" s="95"/>
      <c r="U52" s="95"/>
      <c r="V52" s="95"/>
      <c r="W52" s="95"/>
      <c r="X52" s="95"/>
      <c r="Y52" s="95"/>
      <c r="Z52" s="95"/>
      <c r="AA52" s="95"/>
      <c r="AB52" s="95"/>
      <c r="AC52" s="96"/>
      <c r="AD52" s="93"/>
      <c r="AE52" s="137"/>
      <c r="AF52" s="138"/>
      <c r="AG52" s="138"/>
      <c r="AH52" s="138"/>
      <c r="AI52" s="138"/>
      <c r="AJ52" s="138"/>
      <c r="AK52" s="139"/>
    </row>
    <row r="53" spans="4:37" x14ac:dyDescent="0.35">
      <c r="D53" s="94"/>
      <c r="E53" s="95"/>
      <c r="F53" s="95"/>
      <c r="G53" s="95"/>
      <c r="H53" s="95"/>
      <c r="I53" s="95"/>
      <c r="J53" s="95"/>
      <c r="K53" s="95"/>
      <c r="L53" s="95"/>
      <c r="M53" s="95"/>
      <c r="N53" s="95"/>
      <c r="O53" s="95"/>
      <c r="P53" s="95"/>
      <c r="Q53" s="95"/>
      <c r="R53" s="95"/>
      <c r="S53" s="95"/>
      <c r="T53" s="95"/>
      <c r="U53" s="95"/>
      <c r="V53" s="95"/>
      <c r="W53" s="95"/>
      <c r="X53" s="95"/>
      <c r="Y53" s="95"/>
      <c r="Z53" s="95"/>
      <c r="AA53" s="95"/>
      <c r="AB53" s="95"/>
      <c r="AC53" s="96"/>
      <c r="AD53" s="93"/>
      <c r="AE53" s="137"/>
      <c r="AF53" s="138"/>
      <c r="AG53" s="138"/>
      <c r="AH53" s="138"/>
      <c r="AI53" s="138"/>
      <c r="AJ53" s="138"/>
      <c r="AK53" s="139"/>
    </row>
    <row r="54" spans="4:37" x14ac:dyDescent="0.35">
      <c r="D54" s="94"/>
      <c r="E54" s="95"/>
      <c r="F54" s="95"/>
      <c r="G54" s="95"/>
      <c r="H54" s="95"/>
      <c r="I54" s="95"/>
      <c r="J54" s="95"/>
      <c r="K54" s="95"/>
      <c r="L54" s="95"/>
      <c r="M54" s="95"/>
      <c r="N54" s="95"/>
      <c r="O54" s="95"/>
      <c r="P54" s="95"/>
      <c r="Q54" s="95"/>
      <c r="R54" s="95"/>
      <c r="S54" s="95"/>
      <c r="T54" s="95"/>
      <c r="U54" s="95"/>
      <c r="V54" s="95"/>
      <c r="W54" s="95"/>
      <c r="X54" s="95"/>
      <c r="Y54" s="95"/>
      <c r="Z54" s="95"/>
      <c r="AA54" s="95"/>
      <c r="AB54" s="95"/>
      <c r="AC54" s="96"/>
      <c r="AD54" s="93"/>
      <c r="AE54" s="137"/>
      <c r="AF54" s="138"/>
      <c r="AG54" s="138"/>
      <c r="AH54" s="138"/>
      <c r="AI54" s="138"/>
      <c r="AJ54" s="138"/>
      <c r="AK54" s="139"/>
    </row>
    <row r="55" spans="4:37" x14ac:dyDescent="0.35">
      <c r="D55" s="94"/>
      <c r="E55" s="95"/>
      <c r="F55" s="95"/>
      <c r="G55" s="95"/>
      <c r="H55" s="95"/>
      <c r="I55" s="95"/>
      <c r="J55" s="95"/>
      <c r="K55" s="95"/>
      <c r="L55" s="95"/>
      <c r="M55" s="95"/>
      <c r="N55" s="95"/>
      <c r="O55" s="95"/>
      <c r="P55" s="95"/>
      <c r="Q55" s="95"/>
      <c r="R55" s="95"/>
      <c r="S55" s="95"/>
      <c r="T55" s="95"/>
      <c r="U55" s="95"/>
      <c r="V55" s="95"/>
      <c r="W55" s="95"/>
      <c r="X55" s="95"/>
      <c r="Y55" s="95"/>
      <c r="Z55" s="95"/>
      <c r="AA55" s="95"/>
      <c r="AB55" s="95"/>
      <c r="AC55" s="96"/>
      <c r="AD55" s="93"/>
      <c r="AE55" s="137"/>
      <c r="AF55" s="138"/>
      <c r="AG55" s="138"/>
      <c r="AH55" s="138"/>
      <c r="AI55" s="138"/>
      <c r="AJ55" s="138"/>
      <c r="AK55" s="139"/>
    </row>
    <row r="56" spans="4:37" x14ac:dyDescent="0.35">
      <c r="D56" s="94"/>
      <c r="E56" s="95"/>
      <c r="F56" s="95"/>
      <c r="G56" s="95"/>
      <c r="H56" s="95"/>
      <c r="I56" s="95"/>
      <c r="J56" s="95"/>
      <c r="K56" s="95"/>
      <c r="L56" s="95"/>
      <c r="M56" s="95"/>
      <c r="N56" s="95"/>
      <c r="O56" s="95"/>
      <c r="P56" s="95"/>
      <c r="Q56" s="95"/>
      <c r="R56" s="95"/>
      <c r="S56" s="95"/>
      <c r="T56" s="95"/>
      <c r="U56" s="95"/>
      <c r="V56" s="95"/>
      <c r="W56" s="95"/>
      <c r="X56" s="95"/>
      <c r="Y56" s="95"/>
      <c r="Z56" s="95"/>
      <c r="AA56" s="95"/>
      <c r="AB56" s="95"/>
      <c r="AC56" s="96"/>
      <c r="AD56" s="93"/>
      <c r="AE56" s="137"/>
      <c r="AF56" s="138"/>
      <c r="AG56" s="138"/>
      <c r="AH56" s="138"/>
      <c r="AI56" s="138"/>
      <c r="AJ56" s="138"/>
      <c r="AK56" s="139"/>
    </row>
    <row r="57" spans="4:37" x14ac:dyDescent="0.35">
      <c r="D57" s="94"/>
      <c r="E57" s="95"/>
      <c r="F57" s="95"/>
      <c r="G57" s="95"/>
      <c r="H57" s="95"/>
      <c r="I57" s="95"/>
      <c r="J57" s="95"/>
      <c r="K57" s="95"/>
      <c r="L57" s="95"/>
      <c r="M57" s="95"/>
      <c r="N57" s="95"/>
      <c r="O57" s="95"/>
      <c r="P57" s="95"/>
      <c r="Q57" s="95"/>
      <c r="R57" s="95"/>
      <c r="S57" s="95"/>
      <c r="T57" s="95"/>
      <c r="U57" s="95"/>
      <c r="V57" s="95"/>
      <c r="W57" s="95"/>
      <c r="X57" s="95"/>
      <c r="Y57" s="95"/>
      <c r="Z57" s="95"/>
      <c r="AA57" s="95"/>
      <c r="AB57" s="95"/>
      <c r="AC57" s="96"/>
      <c r="AD57" s="93"/>
      <c r="AE57" s="137"/>
      <c r="AF57" s="138"/>
      <c r="AG57" s="138"/>
      <c r="AH57" s="138"/>
      <c r="AI57" s="138"/>
      <c r="AJ57" s="138"/>
      <c r="AK57" s="139"/>
    </row>
    <row r="58" spans="4:37" x14ac:dyDescent="0.35">
      <c r="D58" s="94"/>
      <c r="E58" s="95"/>
      <c r="F58" s="95"/>
      <c r="G58" s="95"/>
      <c r="H58" s="95"/>
      <c r="I58" s="95"/>
      <c r="J58" s="95"/>
      <c r="K58" s="95"/>
      <c r="L58" s="95"/>
      <c r="M58" s="95"/>
      <c r="N58" s="95"/>
      <c r="O58" s="95"/>
      <c r="P58" s="95"/>
      <c r="Q58" s="95"/>
      <c r="R58" s="95"/>
      <c r="S58" s="95"/>
      <c r="T58" s="95"/>
      <c r="U58" s="95"/>
      <c r="V58" s="95"/>
      <c r="W58" s="95"/>
      <c r="X58" s="95"/>
      <c r="Y58" s="95"/>
      <c r="Z58" s="95"/>
      <c r="AA58" s="95"/>
      <c r="AB58" s="95"/>
      <c r="AC58" s="96"/>
      <c r="AD58" s="93"/>
      <c r="AE58" s="137"/>
      <c r="AF58" s="138"/>
      <c r="AG58" s="138"/>
      <c r="AH58" s="138"/>
      <c r="AI58" s="138"/>
      <c r="AJ58" s="138"/>
      <c r="AK58" s="139"/>
    </row>
    <row r="59" spans="4:37" x14ac:dyDescent="0.35">
      <c r="D59" s="94"/>
      <c r="E59" s="95"/>
      <c r="F59" s="95"/>
      <c r="G59" s="95"/>
      <c r="H59" s="95"/>
      <c r="I59" s="95"/>
      <c r="J59" s="95"/>
      <c r="K59" s="95"/>
      <c r="L59" s="95"/>
      <c r="M59" s="95"/>
      <c r="N59" s="95"/>
      <c r="O59" s="95"/>
      <c r="P59" s="95"/>
      <c r="Q59" s="95"/>
      <c r="R59" s="95"/>
      <c r="S59" s="95"/>
      <c r="T59" s="95"/>
      <c r="U59" s="95"/>
      <c r="V59" s="95"/>
      <c r="W59" s="95"/>
      <c r="X59" s="95"/>
      <c r="Y59" s="95"/>
      <c r="Z59" s="95"/>
      <c r="AA59" s="95"/>
      <c r="AB59" s="95"/>
      <c r="AC59" s="96"/>
      <c r="AD59" s="93"/>
      <c r="AE59" s="137"/>
      <c r="AF59" s="138"/>
      <c r="AG59" s="138"/>
      <c r="AH59" s="138"/>
      <c r="AI59" s="138"/>
      <c r="AJ59" s="138"/>
      <c r="AK59" s="139"/>
    </row>
    <row r="60" spans="4:37" x14ac:dyDescent="0.35">
      <c r="D60" s="94"/>
      <c r="E60" s="95"/>
      <c r="F60" s="95"/>
      <c r="G60" s="95"/>
      <c r="H60" s="95"/>
      <c r="I60" s="95"/>
      <c r="J60" s="95"/>
      <c r="K60" s="95"/>
      <c r="L60" s="95"/>
      <c r="M60" s="95"/>
      <c r="N60" s="95"/>
      <c r="O60" s="95"/>
      <c r="P60" s="95"/>
      <c r="Q60" s="95"/>
      <c r="R60" s="95"/>
      <c r="S60" s="95"/>
      <c r="T60" s="95"/>
      <c r="U60" s="95"/>
      <c r="V60" s="95"/>
      <c r="W60" s="95"/>
      <c r="X60" s="95"/>
      <c r="Y60" s="95"/>
      <c r="Z60" s="95"/>
      <c r="AA60" s="95"/>
      <c r="AB60" s="95"/>
      <c r="AC60" s="96"/>
      <c r="AD60" s="93"/>
      <c r="AE60" s="137"/>
      <c r="AF60" s="138"/>
      <c r="AG60" s="138"/>
      <c r="AH60" s="138"/>
      <c r="AI60" s="138"/>
      <c r="AJ60" s="138"/>
      <c r="AK60" s="139"/>
    </row>
    <row r="61" spans="4:37" x14ac:dyDescent="0.35">
      <c r="D61" s="94"/>
      <c r="E61" s="95"/>
      <c r="F61" s="95"/>
      <c r="G61" s="95"/>
      <c r="H61" s="95"/>
      <c r="I61" s="95"/>
      <c r="J61" s="95"/>
      <c r="K61" s="95"/>
      <c r="L61" s="95"/>
      <c r="M61" s="95"/>
      <c r="N61" s="95"/>
      <c r="O61" s="95"/>
      <c r="P61" s="95"/>
      <c r="Q61" s="95"/>
      <c r="R61" s="95"/>
      <c r="S61" s="95"/>
      <c r="T61" s="95"/>
      <c r="U61" s="95"/>
      <c r="V61" s="95"/>
      <c r="W61" s="95"/>
      <c r="X61" s="95"/>
      <c r="Y61" s="95"/>
      <c r="Z61" s="95"/>
      <c r="AA61" s="95"/>
      <c r="AB61" s="95"/>
      <c r="AC61" s="96"/>
      <c r="AD61" s="93"/>
      <c r="AE61" s="137"/>
      <c r="AF61" s="138"/>
      <c r="AG61" s="138"/>
      <c r="AH61" s="138"/>
      <c r="AI61" s="138"/>
      <c r="AJ61" s="138"/>
      <c r="AK61" s="139"/>
    </row>
    <row r="62" spans="4:37" x14ac:dyDescent="0.35">
      <c r="D62" s="94"/>
      <c r="E62" s="95"/>
      <c r="F62" s="95"/>
      <c r="G62" s="95"/>
      <c r="H62" s="95"/>
      <c r="I62" s="95"/>
      <c r="J62" s="95"/>
      <c r="K62" s="95"/>
      <c r="L62" s="95"/>
      <c r="M62" s="95"/>
      <c r="N62" s="95"/>
      <c r="O62" s="95"/>
      <c r="P62" s="95"/>
      <c r="Q62" s="95"/>
      <c r="R62" s="95"/>
      <c r="S62" s="95"/>
      <c r="T62" s="95"/>
      <c r="U62" s="95"/>
      <c r="V62" s="95"/>
      <c r="W62" s="95"/>
      <c r="X62" s="95"/>
      <c r="Y62" s="95"/>
      <c r="Z62" s="95"/>
      <c r="AA62" s="95"/>
      <c r="AB62" s="95"/>
      <c r="AC62" s="96"/>
      <c r="AD62" s="93"/>
      <c r="AE62" s="137"/>
      <c r="AF62" s="138"/>
      <c r="AG62" s="138"/>
      <c r="AH62" s="138"/>
      <c r="AI62" s="138"/>
      <c r="AJ62" s="138"/>
      <c r="AK62" s="139"/>
    </row>
    <row r="63" spans="4:37" ht="15" thickBot="1" x14ac:dyDescent="0.4">
      <c r="D63" s="183"/>
      <c r="E63" s="184"/>
      <c r="F63" s="184"/>
      <c r="G63" s="184"/>
      <c r="H63" s="184"/>
      <c r="I63" s="184"/>
      <c r="J63" s="184"/>
      <c r="K63" s="184"/>
      <c r="L63" s="184"/>
      <c r="M63" s="184"/>
      <c r="N63" s="184"/>
      <c r="O63" s="184"/>
      <c r="P63" s="184"/>
      <c r="Q63" s="184"/>
      <c r="R63" s="184"/>
      <c r="S63" s="184"/>
      <c r="T63" s="184"/>
      <c r="U63" s="184"/>
      <c r="V63" s="184"/>
      <c r="W63" s="184"/>
      <c r="X63" s="184"/>
      <c r="Y63" s="184"/>
      <c r="Z63" s="184"/>
      <c r="AA63" s="184"/>
      <c r="AB63" s="184"/>
      <c r="AC63" s="185"/>
      <c r="AD63" s="93"/>
      <c r="AE63" s="140"/>
      <c r="AF63" s="141"/>
      <c r="AG63" s="141"/>
      <c r="AH63" s="141"/>
      <c r="AI63" s="141"/>
      <c r="AJ63" s="141"/>
      <c r="AK63" s="142"/>
    </row>
    <row r="64" spans="4:37" ht="15" thickBot="1" x14ac:dyDescent="0.4">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row>
    <row r="65" spans="4:37" ht="24.5" x14ac:dyDescent="0.45">
      <c r="D65" s="89"/>
      <c r="E65" s="90"/>
      <c r="F65" s="91"/>
      <c r="G65" s="91"/>
      <c r="H65" s="91"/>
      <c r="I65" s="91"/>
      <c r="J65" s="91"/>
      <c r="K65" s="91"/>
      <c r="L65" s="91"/>
      <c r="M65" s="91"/>
      <c r="N65" s="91"/>
      <c r="O65" s="91"/>
      <c r="P65" s="91"/>
      <c r="Q65" s="91"/>
      <c r="R65" s="91"/>
      <c r="S65" s="91"/>
      <c r="T65" s="91"/>
      <c r="U65" s="91"/>
      <c r="V65" s="91"/>
      <c r="W65" s="91"/>
      <c r="X65" s="91"/>
      <c r="Y65" s="91"/>
      <c r="Z65" s="91"/>
      <c r="AA65" s="91"/>
      <c r="AB65" s="91"/>
      <c r="AC65" s="92"/>
      <c r="AD65" s="93"/>
      <c r="AE65" s="134"/>
      <c r="AF65" s="135"/>
      <c r="AG65" s="135"/>
      <c r="AH65" s="135"/>
      <c r="AI65" s="135"/>
      <c r="AJ65" s="135"/>
      <c r="AK65" s="136"/>
    </row>
    <row r="66" spans="4:37" ht="24.5" x14ac:dyDescent="0.45">
      <c r="D66" s="94"/>
      <c r="E66" s="114" t="s">
        <v>165</v>
      </c>
      <c r="F66" s="95"/>
      <c r="G66" s="95"/>
      <c r="H66" s="95"/>
      <c r="I66" s="95"/>
      <c r="J66" s="95"/>
      <c r="K66" s="95"/>
      <c r="L66" s="95"/>
      <c r="M66" s="95"/>
      <c r="N66" s="95"/>
      <c r="O66" s="95"/>
      <c r="P66" s="95"/>
      <c r="Q66" s="95"/>
      <c r="R66" s="95"/>
      <c r="S66" s="95"/>
      <c r="T66" s="95"/>
      <c r="U66" s="95"/>
      <c r="V66" s="95"/>
      <c r="W66" s="95"/>
      <c r="X66" s="95"/>
      <c r="Y66" s="95"/>
      <c r="Z66" s="95"/>
      <c r="AA66" s="95"/>
      <c r="AB66" s="95"/>
      <c r="AC66" s="96"/>
      <c r="AD66" s="93"/>
      <c r="AE66" s="137"/>
      <c r="AF66" s="138"/>
      <c r="AG66" s="138"/>
      <c r="AH66" s="138"/>
      <c r="AI66" s="138"/>
      <c r="AJ66" s="138"/>
      <c r="AK66" s="139"/>
    </row>
    <row r="67" spans="4:37" x14ac:dyDescent="0.35">
      <c r="D67" s="94"/>
      <c r="E67" s="95"/>
      <c r="F67" s="95"/>
      <c r="G67" s="95"/>
      <c r="H67" s="95"/>
      <c r="I67" s="95"/>
      <c r="J67" s="95"/>
      <c r="K67" s="95"/>
      <c r="L67" s="95"/>
      <c r="M67" s="95"/>
      <c r="N67" s="95"/>
      <c r="O67" s="95"/>
      <c r="P67" s="95"/>
      <c r="Q67" s="95"/>
      <c r="R67" s="95"/>
      <c r="S67" s="95"/>
      <c r="T67" s="95"/>
      <c r="U67" s="95"/>
      <c r="V67" s="95"/>
      <c r="W67" s="95"/>
      <c r="X67" s="95"/>
      <c r="Y67" s="95"/>
      <c r="Z67" s="95"/>
      <c r="AA67" s="95"/>
      <c r="AB67" s="95"/>
      <c r="AC67" s="96"/>
      <c r="AD67" s="93"/>
      <c r="AE67" s="137"/>
      <c r="AF67" s="138"/>
      <c r="AG67" s="138"/>
      <c r="AH67" s="138"/>
      <c r="AI67" s="138"/>
      <c r="AJ67" s="138"/>
      <c r="AK67" s="139"/>
    </row>
    <row r="68" spans="4:37" x14ac:dyDescent="0.35">
      <c r="D68" s="94"/>
      <c r="E68" s="95"/>
      <c r="F68" s="95"/>
      <c r="G68" s="95"/>
      <c r="H68" s="95"/>
      <c r="I68" s="95"/>
      <c r="J68" s="95"/>
      <c r="K68" s="95"/>
      <c r="L68" s="95"/>
      <c r="M68" s="95"/>
      <c r="N68" s="95"/>
      <c r="O68" s="95"/>
      <c r="P68" s="95"/>
      <c r="Q68" s="95"/>
      <c r="R68" s="95"/>
      <c r="S68" s="95"/>
      <c r="T68" s="95"/>
      <c r="U68" s="95"/>
      <c r="V68" s="95"/>
      <c r="W68" s="95"/>
      <c r="X68" s="95"/>
      <c r="Y68" s="95"/>
      <c r="Z68" s="95"/>
      <c r="AA68" s="95"/>
      <c r="AB68" s="95"/>
      <c r="AC68" s="96"/>
      <c r="AD68" s="93"/>
      <c r="AE68" s="137"/>
      <c r="AF68" s="138"/>
      <c r="AG68" s="138"/>
      <c r="AH68" s="138"/>
      <c r="AI68" s="138"/>
      <c r="AJ68" s="138"/>
      <c r="AK68" s="139"/>
    </row>
    <row r="69" spans="4:37" x14ac:dyDescent="0.35">
      <c r="D69" s="94"/>
      <c r="E69" s="95"/>
      <c r="F69" s="95"/>
      <c r="G69" s="95"/>
      <c r="H69" s="95"/>
      <c r="I69" s="95"/>
      <c r="J69" s="95"/>
      <c r="K69" s="95"/>
      <c r="L69" s="95"/>
      <c r="M69" s="95"/>
      <c r="N69" s="95"/>
      <c r="O69" s="95"/>
      <c r="P69" s="95"/>
      <c r="Q69" s="95"/>
      <c r="R69" s="95"/>
      <c r="S69" s="95"/>
      <c r="T69" s="95"/>
      <c r="U69" s="95"/>
      <c r="V69" s="95"/>
      <c r="W69" s="95"/>
      <c r="X69" s="95"/>
      <c r="Y69" s="95"/>
      <c r="Z69" s="95"/>
      <c r="AA69" s="95"/>
      <c r="AB69" s="95"/>
      <c r="AC69" s="96"/>
      <c r="AD69" s="93"/>
      <c r="AE69" s="137"/>
      <c r="AF69" s="138"/>
      <c r="AG69" s="138"/>
      <c r="AH69" s="138"/>
      <c r="AI69" s="138"/>
      <c r="AJ69" s="138"/>
      <c r="AK69" s="139"/>
    </row>
    <row r="70" spans="4:37" x14ac:dyDescent="0.35">
      <c r="D70" s="94"/>
      <c r="E70" s="95"/>
      <c r="F70" s="95"/>
      <c r="G70" s="95"/>
      <c r="H70" s="95"/>
      <c r="I70" s="95"/>
      <c r="J70" s="95"/>
      <c r="K70" s="95"/>
      <c r="L70" s="95"/>
      <c r="M70" s="95"/>
      <c r="N70" s="95"/>
      <c r="O70" s="95"/>
      <c r="P70" s="95"/>
      <c r="Q70" s="95"/>
      <c r="R70" s="95"/>
      <c r="S70" s="95"/>
      <c r="T70" s="95"/>
      <c r="U70" s="95"/>
      <c r="V70" s="95"/>
      <c r="W70" s="95"/>
      <c r="X70" s="95"/>
      <c r="Y70" s="95"/>
      <c r="Z70" s="95"/>
      <c r="AA70" s="95"/>
      <c r="AB70" s="95"/>
      <c r="AC70" s="96"/>
      <c r="AD70" s="93"/>
      <c r="AE70" s="137"/>
      <c r="AF70" s="138"/>
      <c r="AG70" s="138"/>
      <c r="AH70" s="138"/>
      <c r="AI70" s="138"/>
      <c r="AJ70" s="138"/>
      <c r="AK70" s="139"/>
    </row>
    <row r="71" spans="4:37" x14ac:dyDescent="0.35">
      <c r="D71" s="94"/>
      <c r="E71" s="95"/>
      <c r="F71" s="95"/>
      <c r="G71" s="95"/>
      <c r="H71" s="95"/>
      <c r="I71" s="95"/>
      <c r="J71" s="95"/>
      <c r="K71" s="95"/>
      <c r="L71" s="95"/>
      <c r="M71" s="95"/>
      <c r="N71" s="95"/>
      <c r="O71" s="95"/>
      <c r="P71" s="95"/>
      <c r="Q71" s="95"/>
      <c r="R71" s="95"/>
      <c r="S71" s="95"/>
      <c r="T71" s="95"/>
      <c r="U71" s="95"/>
      <c r="V71" s="95"/>
      <c r="W71" s="95"/>
      <c r="X71" s="95"/>
      <c r="Y71" s="95"/>
      <c r="Z71" s="95"/>
      <c r="AA71" s="95"/>
      <c r="AB71" s="95"/>
      <c r="AC71" s="96"/>
      <c r="AD71" s="93"/>
      <c r="AE71" s="137"/>
      <c r="AF71" s="138"/>
      <c r="AG71" s="138"/>
      <c r="AH71" s="138"/>
      <c r="AI71" s="138"/>
      <c r="AJ71" s="138"/>
      <c r="AK71" s="139"/>
    </row>
    <row r="72" spans="4:37" x14ac:dyDescent="0.35">
      <c r="D72" s="94"/>
      <c r="E72" s="95"/>
      <c r="F72" s="95"/>
      <c r="G72" s="95"/>
      <c r="H72" s="95"/>
      <c r="I72" s="95"/>
      <c r="J72" s="95"/>
      <c r="K72" s="95"/>
      <c r="L72" s="95"/>
      <c r="M72" s="95"/>
      <c r="N72" s="95"/>
      <c r="O72" s="95"/>
      <c r="P72" s="95"/>
      <c r="Q72" s="95"/>
      <c r="R72" s="95"/>
      <c r="S72" s="95"/>
      <c r="T72" s="95"/>
      <c r="U72" s="95"/>
      <c r="V72" s="95"/>
      <c r="W72" s="95"/>
      <c r="X72" s="95"/>
      <c r="Y72" s="95"/>
      <c r="Z72" s="95"/>
      <c r="AA72" s="95"/>
      <c r="AB72" s="95"/>
      <c r="AC72" s="96"/>
      <c r="AD72" s="93"/>
      <c r="AE72" s="137"/>
      <c r="AF72" s="138"/>
      <c r="AG72" s="138"/>
      <c r="AH72" s="138"/>
      <c r="AI72" s="138"/>
      <c r="AJ72" s="138"/>
      <c r="AK72" s="139"/>
    </row>
    <row r="73" spans="4:37" x14ac:dyDescent="0.35">
      <c r="D73" s="94"/>
      <c r="E73" s="95"/>
      <c r="F73" s="95"/>
      <c r="G73" s="95"/>
      <c r="H73" s="95"/>
      <c r="I73" s="95"/>
      <c r="J73" s="95"/>
      <c r="K73" s="95"/>
      <c r="L73" s="95"/>
      <c r="M73" s="95"/>
      <c r="N73" s="95"/>
      <c r="O73" s="95"/>
      <c r="P73" s="95"/>
      <c r="Q73" s="95"/>
      <c r="R73" s="95"/>
      <c r="S73" s="95"/>
      <c r="T73" s="95"/>
      <c r="U73" s="95"/>
      <c r="V73" s="95"/>
      <c r="W73" s="95"/>
      <c r="X73" s="95"/>
      <c r="Y73" s="95"/>
      <c r="Z73" s="95"/>
      <c r="AA73" s="95"/>
      <c r="AB73" s="95"/>
      <c r="AC73" s="96"/>
      <c r="AD73" s="93"/>
      <c r="AE73" s="137"/>
      <c r="AF73" s="138"/>
      <c r="AG73" s="138"/>
      <c r="AH73" s="138"/>
      <c r="AI73" s="138"/>
      <c r="AJ73" s="138"/>
      <c r="AK73" s="139"/>
    </row>
    <row r="74" spans="4:37" x14ac:dyDescent="0.35">
      <c r="D74" s="94"/>
      <c r="E74" s="95"/>
      <c r="F74" s="95"/>
      <c r="G74" s="95"/>
      <c r="H74" s="95"/>
      <c r="I74" s="95"/>
      <c r="J74" s="95"/>
      <c r="K74" s="95"/>
      <c r="L74" s="95"/>
      <c r="M74" s="95"/>
      <c r="N74" s="95"/>
      <c r="O74" s="95"/>
      <c r="P74" s="95"/>
      <c r="Q74" s="95"/>
      <c r="R74" s="95"/>
      <c r="S74" s="95"/>
      <c r="T74" s="95"/>
      <c r="U74" s="95"/>
      <c r="V74" s="95"/>
      <c r="W74" s="95"/>
      <c r="X74" s="95"/>
      <c r="Y74" s="95"/>
      <c r="Z74" s="95"/>
      <c r="AA74" s="95"/>
      <c r="AB74" s="95"/>
      <c r="AC74" s="96"/>
      <c r="AD74" s="93"/>
      <c r="AE74" s="137"/>
      <c r="AF74" s="138"/>
      <c r="AG74" s="138"/>
      <c r="AH74" s="138"/>
      <c r="AI74" s="138"/>
      <c r="AJ74" s="138"/>
      <c r="AK74" s="139"/>
    </row>
    <row r="75" spans="4:37" x14ac:dyDescent="0.35">
      <c r="D75" s="94"/>
      <c r="E75" s="95"/>
      <c r="F75" s="95"/>
      <c r="G75" s="95"/>
      <c r="H75" s="95"/>
      <c r="I75" s="95"/>
      <c r="J75" s="95"/>
      <c r="K75" s="95"/>
      <c r="L75" s="95"/>
      <c r="M75" s="95"/>
      <c r="N75" s="95"/>
      <c r="O75" s="95"/>
      <c r="P75" s="95"/>
      <c r="Q75" s="95"/>
      <c r="R75" s="95"/>
      <c r="S75" s="95"/>
      <c r="T75" s="95"/>
      <c r="U75" s="95"/>
      <c r="V75" s="95"/>
      <c r="W75" s="95"/>
      <c r="X75" s="95"/>
      <c r="Y75" s="95"/>
      <c r="Z75" s="95"/>
      <c r="AA75" s="95"/>
      <c r="AB75" s="95"/>
      <c r="AC75" s="96"/>
      <c r="AD75" s="93"/>
      <c r="AE75" s="137"/>
      <c r="AF75" s="138"/>
      <c r="AG75" s="138"/>
      <c r="AH75" s="138"/>
      <c r="AI75" s="138"/>
      <c r="AJ75" s="138"/>
      <c r="AK75" s="139"/>
    </row>
    <row r="76" spans="4:37" x14ac:dyDescent="0.35">
      <c r="D76" s="94"/>
      <c r="E76" s="95"/>
      <c r="F76" s="95"/>
      <c r="G76" s="95"/>
      <c r="H76" s="95"/>
      <c r="I76" s="95"/>
      <c r="J76" s="95"/>
      <c r="K76" s="95"/>
      <c r="L76" s="95"/>
      <c r="M76" s="95"/>
      <c r="N76" s="95"/>
      <c r="O76" s="95"/>
      <c r="P76" s="95"/>
      <c r="Q76" s="95"/>
      <c r="R76" s="95"/>
      <c r="S76" s="95"/>
      <c r="T76" s="95"/>
      <c r="U76" s="95"/>
      <c r="V76" s="95"/>
      <c r="W76" s="95"/>
      <c r="X76" s="95"/>
      <c r="Y76" s="95"/>
      <c r="Z76" s="95"/>
      <c r="AA76" s="95"/>
      <c r="AB76" s="95"/>
      <c r="AC76" s="96"/>
      <c r="AD76" s="93"/>
      <c r="AE76" s="137"/>
      <c r="AF76" s="138"/>
      <c r="AG76" s="138"/>
      <c r="AH76" s="138"/>
      <c r="AI76" s="138"/>
      <c r="AJ76" s="138"/>
      <c r="AK76" s="139"/>
    </row>
    <row r="77" spans="4:37" x14ac:dyDescent="0.35">
      <c r="D77" s="94"/>
      <c r="E77" s="95"/>
      <c r="F77" s="95"/>
      <c r="G77" s="95"/>
      <c r="H77" s="95"/>
      <c r="I77" s="95"/>
      <c r="J77" s="95"/>
      <c r="K77" s="95"/>
      <c r="L77" s="95"/>
      <c r="M77" s="95"/>
      <c r="N77" s="95"/>
      <c r="O77" s="95"/>
      <c r="P77" s="95"/>
      <c r="Q77" s="95"/>
      <c r="R77" s="95"/>
      <c r="S77" s="95"/>
      <c r="T77" s="95"/>
      <c r="U77" s="95"/>
      <c r="V77" s="95"/>
      <c r="W77" s="95"/>
      <c r="X77" s="95"/>
      <c r="Y77" s="95"/>
      <c r="Z77" s="95"/>
      <c r="AA77" s="95"/>
      <c r="AB77" s="95"/>
      <c r="AC77" s="96"/>
      <c r="AD77" s="93"/>
      <c r="AE77" s="137"/>
      <c r="AF77" s="138"/>
      <c r="AG77" s="138"/>
      <c r="AH77" s="138"/>
      <c r="AI77" s="138"/>
      <c r="AJ77" s="138"/>
      <c r="AK77" s="139"/>
    </row>
    <row r="78" spans="4:37" x14ac:dyDescent="0.35">
      <c r="D78" s="94"/>
      <c r="E78" s="95"/>
      <c r="F78" s="95"/>
      <c r="G78" s="95"/>
      <c r="H78" s="95"/>
      <c r="I78" s="95"/>
      <c r="J78" s="95"/>
      <c r="K78" s="95"/>
      <c r="L78" s="95"/>
      <c r="M78" s="95"/>
      <c r="N78" s="95"/>
      <c r="O78" s="95"/>
      <c r="P78" s="95"/>
      <c r="Q78" s="95"/>
      <c r="R78" s="95"/>
      <c r="S78" s="95"/>
      <c r="T78" s="95"/>
      <c r="U78" s="95"/>
      <c r="V78" s="95"/>
      <c r="W78" s="95"/>
      <c r="X78" s="95"/>
      <c r="Y78" s="95"/>
      <c r="Z78" s="95"/>
      <c r="AA78" s="95"/>
      <c r="AB78" s="95"/>
      <c r="AC78" s="96"/>
      <c r="AD78" s="93"/>
      <c r="AE78" s="137"/>
      <c r="AF78" s="138"/>
      <c r="AG78" s="138"/>
      <c r="AH78" s="138"/>
      <c r="AI78" s="138"/>
      <c r="AJ78" s="138"/>
      <c r="AK78" s="139"/>
    </row>
    <row r="79" spans="4:37" x14ac:dyDescent="0.35">
      <c r="D79" s="94"/>
      <c r="E79" s="95"/>
      <c r="F79" s="95"/>
      <c r="G79" s="95"/>
      <c r="H79" s="95"/>
      <c r="I79" s="95"/>
      <c r="J79" s="95"/>
      <c r="K79" s="95"/>
      <c r="L79" s="95"/>
      <c r="M79" s="95"/>
      <c r="N79" s="95"/>
      <c r="O79" s="95"/>
      <c r="P79" s="95"/>
      <c r="Q79" s="95"/>
      <c r="R79" s="95"/>
      <c r="S79" s="95"/>
      <c r="T79" s="95"/>
      <c r="U79" s="95"/>
      <c r="V79" s="95"/>
      <c r="W79" s="95"/>
      <c r="X79" s="95"/>
      <c r="Y79" s="95"/>
      <c r="Z79" s="95"/>
      <c r="AA79" s="95"/>
      <c r="AB79" s="95"/>
      <c r="AC79" s="96"/>
      <c r="AD79" s="93"/>
      <c r="AE79" s="137"/>
      <c r="AF79" s="138"/>
      <c r="AG79" s="138"/>
      <c r="AH79" s="138"/>
      <c r="AI79" s="138"/>
      <c r="AJ79" s="138"/>
      <c r="AK79" s="139"/>
    </row>
    <row r="80" spans="4:37" x14ac:dyDescent="0.35">
      <c r="D80" s="94"/>
      <c r="E80" s="95"/>
      <c r="F80" s="95"/>
      <c r="G80" s="95"/>
      <c r="H80" s="95"/>
      <c r="I80" s="95"/>
      <c r="J80" s="95"/>
      <c r="K80" s="95"/>
      <c r="L80" s="95"/>
      <c r="M80" s="95"/>
      <c r="N80" s="95"/>
      <c r="O80" s="95"/>
      <c r="P80" s="95"/>
      <c r="Q80" s="95"/>
      <c r="R80" s="95"/>
      <c r="S80" s="95"/>
      <c r="T80" s="95"/>
      <c r="U80" s="95"/>
      <c r="V80" s="95"/>
      <c r="W80" s="95"/>
      <c r="X80" s="95"/>
      <c r="Y80" s="95"/>
      <c r="Z80" s="95"/>
      <c r="AA80" s="95"/>
      <c r="AB80" s="95"/>
      <c r="AC80" s="96"/>
      <c r="AD80" s="93"/>
      <c r="AE80" s="137"/>
      <c r="AF80" s="138"/>
      <c r="AG80" s="138"/>
      <c r="AH80" s="138"/>
      <c r="AI80" s="138"/>
      <c r="AJ80" s="138"/>
      <c r="AK80" s="139"/>
    </row>
    <row r="81" spans="4:37" x14ac:dyDescent="0.35">
      <c r="D81" s="94"/>
      <c r="E81" s="95"/>
      <c r="F81" s="95"/>
      <c r="G81" s="95"/>
      <c r="H81" s="95"/>
      <c r="I81" s="95"/>
      <c r="J81" s="95"/>
      <c r="K81" s="95"/>
      <c r="L81" s="95"/>
      <c r="M81" s="95"/>
      <c r="N81" s="95"/>
      <c r="O81" s="95"/>
      <c r="P81" s="95"/>
      <c r="Q81" s="95"/>
      <c r="R81" s="95"/>
      <c r="S81" s="95"/>
      <c r="T81" s="95"/>
      <c r="U81" s="95"/>
      <c r="V81" s="95"/>
      <c r="W81" s="95"/>
      <c r="X81" s="95"/>
      <c r="Y81" s="95"/>
      <c r="Z81" s="95"/>
      <c r="AA81" s="95"/>
      <c r="AB81" s="95"/>
      <c r="AC81" s="96"/>
      <c r="AD81" s="93"/>
      <c r="AE81" s="137"/>
      <c r="AF81" s="138"/>
      <c r="AG81" s="138"/>
      <c r="AH81" s="138"/>
      <c r="AI81" s="138"/>
      <c r="AJ81" s="138"/>
      <c r="AK81" s="139"/>
    </row>
    <row r="82" spans="4:37" x14ac:dyDescent="0.35">
      <c r="D82" s="94"/>
      <c r="E82" s="95"/>
      <c r="F82" s="95"/>
      <c r="G82" s="95"/>
      <c r="H82" s="95"/>
      <c r="I82" s="95"/>
      <c r="J82" s="95"/>
      <c r="K82" s="95"/>
      <c r="L82" s="95"/>
      <c r="M82" s="95"/>
      <c r="N82" s="95"/>
      <c r="O82" s="95"/>
      <c r="P82" s="95"/>
      <c r="Q82" s="95"/>
      <c r="R82" s="95"/>
      <c r="S82" s="95"/>
      <c r="T82" s="95"/>
      <c r="U82" s="95"/>
      <c r="V82" s="95"/>
      <c r="W82" s="95"/>
      <c r="X82" s="95"/>
      <c r="Y82" s="95"/>
      <c r="Z82" s="95"/>
      <c r="AA82" s="95"/>
      <c r="AB82" s="95"/>
      <c r="AC82" s="96"/>
      <c r="AD82" s="93"/>
      <c r="AE82" s="137"/>
      <c r="AF82" s="138"/>
      <c r="AG82" s="138"/>
      <c r="AH82" s="138"/>
      <c r="AI82" s="138"/>
      <c r="AJ82" s="138"/>
      <c r="AK82" s="139"/>
    </row>
    <row r="83" spans="4:37" x14ac:dyDescent="0.35">
      <c r="D83" s="94"/>
      <c r="E83" s="95"/>
      <c r="F83" s="95"/>
      <c r="G83" s="95"/>
      <c r="H83" s="95"/>
      <c r="I83" s="95"/>
      <c r="J83" s="95"/>
      <c r="K83" s="95"/>
      <c r="L83" s="95"/>
      <c r="M83" s="95"/>
      <c r="N83" s="95"/>
      <c r="O83" s="95"/>
      <c r="P83" s="95"/>
      <c r="Q83" s="95"/>
      <c r="R83" s="95"/>
      <c r="S83" s="95"/>
      <c r="T83" s="95"/>
      <c r="U83" s="95"/>
      <c r="V83" s="95"/>
      <c r="W83" s="95"/>
      <c r="X83" s="95"/>
      <c r="Y83" s="95"/>
      <c r="Z83" s="95"/>
      <c r="AA83" s="95"/>
      <c r="AB83" s="95"/>
      <c r="AC83" s="96"/>
      <c r="AD83" s="93"/>
      <c r="AE83" s="137"/>
      <c r="AF83" s="138"/>
      <c r="AG83" s="138"/>
      <c r="AH83" s="138"/>
      <c r="AI83" s="138"/>
      <c r="AJ83" s="138"/>
      <c r="AK83" s="139"/>
    </row>
    <row r="84" spans="4:37" x14ac:dyDescent="0.35">
      <c r="D84" s="94"/>
      <c r="E84" s="95"/>
      <c r="F84" s="95"/>
      <c r="G84" s="95"/>
      <c r="H84" s="95"/>
      <c r="I84" s="95"/>
      <c r="J84" s="95"/>
      <c r="K84" s="95"/>
      <c r="L84" s="95"/>
      <c r="M84" s="95"/>
      <c r="N84" s="95"/>
      <c r="O84" s="95"/>
      <c r="P84" s="95"/>
      <c r="Q84" s="95"/>
      <c r="R84" s="95"/>
      <c r="S84" s="95"/>
      <c r="T84" s="95"/>
      <c r="U84" s="95"/>
      <c r="V84" s="95"/>
      <c r="W84" s="95"/>
      <c r="X84" s="95"/>
      <c r="Y84" s="95"/>
      <c r="Z84" s="95"/>
      <c r="AA84" s="95"/>
      <c r="AB84" s="95"/>
      <c r="AC84" s="96"/>
      <c r="AD84" s="93"/>
      <c r="AE84" s="137"/>
      <c r="AF84" s="138"/>
      <c r="AG84" s="138"/>
      <c r="AH84" s="138"/>
      <c r="AI84" s="138"/>
      <c r="AJ84" s="138"/>
      <c r="AK84" s="139"/>
    </row>
    <row r="85" spans="4:37" x14ac:dyDescent="0.35">
      <c r="D85" s="94"/>
      <c r="E85" s="95"/>
      <c r="F85" s="95"/>
      <c r="G85" s="95"/>
      <c r="H85" s="95"/>
      <c r="I85" s="95"/>
      <c r="J85" s="95"/>
      <c r="K85" s="95"/>
      <c r="L85" s="95"/>
      <c r="M85" s="95"/>
      <c r="N85" s="95"/>
      <c r="O85" s="95"/>
      <c r="P85" s="95"/>
      <c r="Q85" s="95"/>
      <c r="R85" s="95"/>
      <c r="S85" s="95"/>
      <c r="T85" s="95"/>
      <c r="U85" s="95"/>
      <c r="V85" s="95"/>
      <c r="W85" s="95"/>
      <c r="X85" s="95"/>
      <c r="Y85" s="95"/>
      <c r="Z85" s="95"/>
      <c r="AA85" s="95"/>
      <c r="AB85" s="95"/>
      <c r="AC85" s="96"/>
      <c r="AD85" s="93"/>
      <c r="AE85" s="137"/>
      <c r="AF85" s="138"/>
      <c r="AG85" s="138"/>
      <c r="AH85" s="138"/>
      <c r="AI85" s="138"/>
      <c r="AJ85" s="138"/>
      <c r="AK85" s="139"/>
    </row>
    <row r="86" spans="4:37" x14ac:dyDescent="0.35">
      <c r="D86" s="94"/>
      <c r="E86" s="95"/>
      <c r="F86" s="95"/>
      <c r="G86" s="95"/>
      <c r="H86" s="95"/>
      <c r="I86" s="95"/>
      <c r="J86" s="95"/>
      <c r="K86" s="95"/>
      <c r="L86" s="95"/>
      <c r="M86" s="95"/>
      <c r="N86" s="95"/>
      <c r="O86" s="95"/>
      <c r="P86" s="95"/>
      <c r="Q86" s="95"/>
      <c r="R86" s="95"/>
      <c r="S86" s="95"/>
      <c r="T86" s="95"/>
      <c r="U86" s="95"/>
      <c r="V86" s="95"/>
      <c r="W86" s="95"/>
      <c r="X86" s="95"/>
      <c r="Y86" s="95"/>
      <c r="Z86" s="95"/>
      <c r="AA86" s="95"/>
      <c r="AB86" s="95"/>
      <c r="AC86" s="96"/>
      <c r="AD86" s="93"/>
      <c r="AE86" s="137"/>
      <c r="AF86" s="138"/>
      <c r="AG86" s="138"/>
      <c r="AH86" s="138"/>
      <c r="AI86" s="138"/>
      <c r="AJ86" s="138"/>
      <c r="AK86" s="139"/>
    </row>
    <row r="87" spans="4:37" x14ac:dyDescent="0.35">
      <c r="D87" s="94"/>
      <c r="E87" s="95"/>
      <c r="F87" s="95"/>
      <c r="G87" s="95"/>
      <c r="H87" s="95"/>
      <c r="I87" s="95"/>
      <c r="J87" s="95"/>
      <c r="K87" s="95"/>
      <c r="L87" s="95"/>
      <c r="M87" s="95"/>
      <c r="N87" s="95"/>
      <c r="O87" s="95"/>
      <c r="P87" s="95"/>
      <c r="Q87" s="95"/>
      <c r="R87" s="95"/>
      <c r="S87" s="95"/>
      <c r="T87" s="95"/>
      <c r="U87" s="95"/>
      <c r="V87" s="95"/>
      <c r="W87" s="95"/>
      <c r="X87" s="95"/>
      <c r="Y87" s="95"/>
      <c r="Z87" s="95"/>
      <c r="AA87" s="95"/>
      <c r="AB87" s="95"/>
      <c r="AC87" s="96"/>
      <c r="AD87" s="93"/>
      <c r="AE87" s="137"/>
      <c r="AF87" s="138"/>
      <c r="AG87" s="138"/>
      <c r="AH87" s="138"/>
      <c r="AI87" s="138"/>
      <c r="AJ87" s="138"/>
      <c r="AK87" s="139"/>
    </row>
    <row r="88" spans="4:37" x14ac:dyDescent="0.35">
      <c r="D88" s="94"/>
      <c r="E88" s="95"/>
      <c r="F88" s="95"/>
      <c r="G88" s="95"/>
      <c r="H88" s="95"/>
      <c r="I88" s="95"/>
      <c r="J88" s="95"/>
      <c r="K88" s="95"/>
      <c r="L88" s="95"/>
      <c r="M88" s="95"/>
      <c r="N88" s="95"/>
      <c r="O88" s="95"/>
      <c r="P88" s="95"/>
      <c r="Q88" s="95"/>
      <c r="R88" s="95"/>
      <c r="S88" s="95"/>
      <c r="T88" s="95"/>
      <c r="U88" s="95"/>
      <c r="V88" s="95"/>
      <c r="W88" s="95"/>
      <c r="X88" s="95"/>
      <c r="Y88" s="95"/>
      <c r="Z88" s="95"/>
      <c r="AA88" s="95"/>
      <c r="AB88" s="95"/>
      <c r="AC88" s="96"/>
      <c r="AD88" s="93"/>
      <c r="AE88" s="137"/>
      <c r="AF88" s="138"/>
      <c r="AG88" s="138"/>
      <c r="AH88" s="138"/>
      <c r="AI88" s="138"/>
      <c r="AJ88" s="138"/>
      <c r="AK88" s="139"/>
    </row>
    <row r="89" spans="4:37" x14ac:dyDescent="0.35">
      <c r="D89" s="94"/>
      <c r="E89" s="95"/>
      <c r="F89" s="95"/>
      <c r="G89" s="95"/>
      <c r="H89" s="95"/>
      <c r="I89" s="95"/>
      <c r="J89" s="95"/>
      <c r="K89" s="95"/>
      <c r="L89" s="95"/>
      <c r="M89" s="95"/>
      <c r="N89" s="95"/>
      <c r="O89" s="95"/>
      <c r="P89" s="95"/>
      <c r="Q89" s="95"/>
      <c r="R89" s="95"/>
      <c r="S89" s="95"/>
      <c r="T89" s="95"/>
      <c r="U89" s="95"/>
      <c r="V89" s="95"/>
      <c r="W89" s="95"/>
      <c r="X89" s="95"/>
      <c r="Y89" s="95"/>
      <c r="Z89" s="95"/>
      <c r="AA89" s="95"/>
      <c r="AB89" s="95"/>
      <c r="AC89" s="96"/>
      <c r="AD89" s="93"/>
      <c r="AE89" s="137"/>
      <c r="AF89" s="138"/>
      <c r="AG89" s="138"/>
      <c r="AH89" s="138"/>
      <c r="AI89" s="138"/>
      <c r="AJ89" s="138"/>
      <c r="AK89" s="139"/>
    </row>
    <row r="90" spans="4:37" x14ac:dyDescent="0.35">
      <c r="D90" s="94"/>
      <c r="E90" s="95"/>
      <c r="F90" s="95"/>
      <c r="G90" s="95"/>
      <c r="H90" s="95"/>
      <c r="I90" s="95"/>
      <c r="J90" s="95"/>
      <c r="K90" s="95"/>
      <c r="L90" s="95"/>
      <c r="M90" s="95"/>
      <c r="N90" s="95"/>
      <c r="O90" s="95"/>
      <c r="P90" s="95"/>
      <c r="Q90" s="95"/>
      <c r="R90" s="95"/>
      <c r="S90" s="95"/>
      <c r="T90" s="95"/>
      <c r="U90" s="95"/>
      <c r="V90" s="95"/>
      <c r="W90" s="95"/>
      <c r="X90" s="95"/>
      <c r="Y90" s="95"/>
      <c r="Z90" s="95"/>
      <c r="AA90" s="95"/>
      <c r="AB90" s="95"/>
      <c r="AC90" s="96"/>
      <c r="AD90" s="93"/>
      <c r="AE90" s="137"/>
      <c r="AF90" s="138"/>
      <c r="AG90" s="138"/>
      <c r="AH90" s="138"/>
      <c r="AI90" s="138"/>
      <c r="AJ90" s="138"/>
      <c r="AK90" s="139"/>
    </row>
    <row r="91" spans="4:37" x14ac:dyDescent="0.35">
      <c r="D91" s="94"/>
      <c r="E91" s="95"/>
      <c r="F91" s="95"/>
      <c r="G91" s="95"/>
      <c r="H91" s="95"/>
      <c r="I91" s="95"/>
      <c r="J91" s="95"/>
      <c r="K91" s="95"/>
      <c r="L91" s="95"/>
      <c r="M91" s="95"/>
      <c r="N91" s="95"/>
      <c r="O91" s="95"/>
      <c r="P91" s="95"/>
      <c r="Q91" s="95"/>
      <c r="R91" s="95"/>
      <c r="S91" s="95"/>
      <c r="T91" s="95"/>
      <c r="U91" s="95"/>
      <c r="V91" s="95"/>
      <c r="W91" s="95"/>
      <c r="X91" s="95"/>
      <c r="Y91" s="95"/>
      <c r="Z91" s="95"/>
      <c r="AA91" s="95"/>
      <c r="AB91" s="95"/>
      <c r="AC91" s="96"/>
      <c r="AD91" s="93"/>
      <c r="AE91" s="137"/>
      <c r="AF91" s="138"/>
      <c r="AG91" s="138"/>
      <c r="AH91" s="138"/>
      <c r="AI91" s="138"/>
      <c r="AJ91" s="138"/>
      <c r="AK91" s="139"/>
    </row>
    <row r="92" spans="4:37" x14ac:dyDescent="0.35">
      <c r="D92" s="94"/>
      <c r="E92" s="95"/>
      <c r="F92" s="95"/>
      <c r="G92" s="95"/>
      <c r="H92" s="95"/>
      <c r="I92" s="95"/>
      <c r="J92" s="95"/>
      <c r="K92" s="95"/>
      <c r="L92" s="95"/>
      <c r="M92" s="95"/>
      <c r="N92" s="95"/>
      <c r="O92" s="95"/>
      <c r="P92" s="95"/>
      <c r="Q92" s="95"/>
      <c r="R92" s="95"/>
      <c r="S92" s="95"/>
      <c r="T92" s="95"/>
      <c r="U92" s="95"/>
      <c r="V92" s="95"/>
      <c r="W92" s="95"/>
      <c r="X92" s="95"/>
      <c r="Y92" s="95"/>
      <c r="Z92" s="95"/>
      <c r="AA92" s="95"/>
      <c r="AB92" s="95"/>
      <c r="AC92" s="96"/>
      <c r="AD92" s="93"/>
      <c r="AE92" s="137"/>
      <c r="AF92" s="138"/>
      <c r="AG92" s="138"/>
      <c r="AH92" s="138"/>
      <c r="AI92" s="138"/>
      <c r="AJ92" s="138"/>
      <c r="AK92" s="139"/>
    </row>
    <row r="93" spans="4:37" x14ac:dyDescent="0.35">
      <c r="D93" s="94"/>
      <c r="E93" s="95"/>
      <c r="F93" s="95"/>
      <c r="G93" s="95"/>
      <c r="H93" s="95"/>
      <c r="I93" s="95"/>
      <c r="J93" s="95"/>
      <c r="K93" s="95"/>
      <c r="L93" s="95"/>
      <c r="M93" s="95"/>
      <c r="N93" s="95"/>
      <c r="O93" s="95"/>
      <c r="P93" s="95"/>
      <c r="Q93" s="95"/>
      <c r="R93" s="95"/>
      <c r="S93" s="95"/>
      <c r="T93" s="95"/>
      <c r="U93" s="95"/>
      <c r="V93" s="95"/>
      <c r="W93" s="95"/>
      <c r="X93" s="95"/>
      <c r="Y93" s="95"/>
      <c r="Z93" s="95"/>
      <c r="AA93" s="95"/>
      <c r="AB93" s="95"/>
      <c r="AC93" s="96"/>
      <c r="AD93" s="93"/>
      <c r="AE93" s="137"/>
      <c r="AF93" s="138"/>
      <c r="AG93" s="138"/>
      <c r="AH93" s="138"/>
      <c r="AI93" s="138"/>
      <c r="AJ93" s="138"/>
      <c r="AK93" s="139"/>
    </row>
    <row r="94" spans="4:37" x14ac:dyDescent="0.35">
      <c r="D94" s="94"/>
      <c r="E94" s="95"/>
      <c r="F94" s="95"/>
      <c r="G94" s="95"/>
      <c r="H94" s="95"/>
      <c r="I94" s="95"/>
      <c r="J94" s="95"/>
      <c r="K94" s="95"/>
      <c r="L94" s="95"/>
      <c r="M94" s="95"/>
      <c r="N94" s="95"/>
      <c r="O94" s="95"/>
      <c r="P94" s="95"/>
      <c r="Q94" s="95"/>
      <c r="R94" s="95"/>
      <c r="S94" s="95"/>
      <c r="T94" s="95"/>
      <c r="U94" s="95"/>
      <c r="V94" s="95"/>
      <c r="W94" s="95"/>
      <c r="X94" s="95"/>
      <c r="Y94" s="95"/>
      <c r="Z94" s="95"/>
      <c r="AA94" s="95"/>
      <c r="AB94" s="95"/>
      <c r="AC94" s="96"/>
      <c r="AD94" s="93"/>
      <c r="AE94" s="137"/>
      <c r="AF94" s="138"/>
      <c r="AG94" s="138"/>
      <c r="AH94" s="138"/>
      <c r="AI94" s="138"/>
      <c r="AJ94" s="138"/>
      <c r="AK94" s="139"/>
    </row>
    <row r="95" spans="4:37" x14ac:dyDescent="0.35">
      <c r="D95" s="94"/>
      <c r="E95" s="95"/>
      <c r="F95" s="95"/>
      <c r="G95" s="95"/>
      <c r="H95" s="95"/>
      <c r="I95" s="95"/>
      <c r="J95" s="95"/>
      <c r="K95" s="95"/>
      <c r="L95" s="95"/>
      <c r="M95" s="95"/>
      <c r="N95" s="95"/>
      <c r="O95" s="95"/>
      <c r="P95" s="95"/>
      <c r="Q95" s="95"/>
      <c r="R95" s="95"/>
      <c r="S95" s="95"/>
      <c r="T95" s="95"/>
      <c r="U95" s="95"/>
      <c r="V95" s="95"/>
      <c r="W95" s="95"/>
      <c r="X95" s="95"/>
      <c r="Y95" s="95"/>
      <c r="Z95" s="95"/>
      <c r="AA95" s="95"/>
      <c r="AB95" s="95"/>
      <c r="AC95" s="96"/>
      <c r="AD95" s="93"/>
      <c r="AE95" s="137"/>
      <c r="AF95" s="138"/>
      <c r="AG95" s="138"/>
      <c r="AH95" s="138"/>
      <c r="AI95" s="138"/>
      <c r="AJ95" s="138"/>
      <c r="AK95" s="139"/>
    </row>
    <row r="96" spans="4:37" x14ac:dyDescent="0.35">
      <c r="D96" s="94"/>
      <c r="E96" s="95"/>
      <c r="F96" s="95"/>
      <c r="G96" s="95"/>
      <c r="H96" s="95"/>
      <c r="I96" s="95"/>
      <c r="J96" s="95"/>
      <c r="K96" s="95"/>
      <c r="L96" s="95"/>
      <c r="M96" s="95"/>
      <c r="N96" s="95"/>
      <c r="O96" s="95"/>
      <c r="P96" s="95"/>
      <c r="Q96" s="95"/>
      <c r="R96" s="95"/>
      <c r="S96" s="95"/>
      <c r="T96" s="95"/>
      <c r="U96" s="95"/>
      <c r="V96" s="95"/>
      <c r="W96" s="95"/>
      <c r="X96" s="95"/>
      <c r="Y96" s="95"/>
      <c r="Z96" s="95"/>
      <c r="AA96" s="95"/>
      <c r="AB96" s="95"/>
      <c r="AC96" s="96"/>
      <c r="AD96" s="93"/>
      <c r="AE96" s="137"/>
      <c r="AF96" s="138"/>
      <c r="AG96" s="138"/>
      <c r="AH96" s="138"/>
      <c r="AI96" s="138"/>
      <c r="AJ96" s="138"/>
      <c r="AK96" s="139"/>
    </row>
    <row r="97" spans="4:37" x14ac:dyDescent="0.35">
      <c r="D97" s="94"/>
      <c r="E97" s="95"/>
      <c r="F97" s="95"/>
      <c r="G97" s="95"/>
      <c r="H97" s="95"/>
      <c r="I97" s="95"/>
      <c r="J97" s="95"/>
      <c r="K97" s="95"/>
      <c r="L97" s="95"/>
      <c r="M97" s="95"/>
      <c r="N97" s="95"/>
      <c r="O97" s="95"/>
      <c r="P97" s="95"/>
      <c r="Q97" s="95"/>
      <c r="R97" s="95"/>
      <c r="S97" s="95"/>
      <c r="T97" s="95"/>
      <c r="U97" s="95"/>
      <c r="V97" s="95"/>
      <c r="W97" s="95"/>
      <c r="X97" s="95"/>
      <c r="Y97" s="95"/>
      <c r="Z97" s="95"/>
      <c r="AA97" s="95"/>
      <c r="AB97" s="95"/>
      <c r="AC97" s="96"/>
      <c r="AD97" s="93"/>
      <c r="AE97" s="137"/>
      <c r="AF97" s="138"/>
      <c r="AG97" s="138"/>
      <c r="AH97" s="138"/>
      <c r="AI97" s="138"/>
      <c r="AJ97" s="138"/>
      <c r="AK97" s="139"/>
    </row>
    <row r="98" spans="4:37" x14ac:dyDescent="0.35">
      <c r="D98" s="94"/>
      <c r="E98" s="95"/>
      <c r="F98" s="95"/>
      <c r="G98" s="95"/>
      <c r="H98" s="95"/>
      <c r="I98" s="95"/>
      <c r="J98" s="95"/>
      <c r="K98" s="95"/>
      <c r="L98" s="95"/>
      <c r="M98" s="95"/>
      <c r="N98" s="95"/>
      <c r="O98" s="95"/>
      <c r="P98" s="95"/>
      <c r="Q98" s="95"/>
      <c r="R98" s="95"/>
      <c r="S98" s="95"/>
      <c r="T98" s="95"/>
      <c r="U98" s="95"/>
      <c r="V98" s="95"/>
      <c r="W98" s="95"/>
      <c r="X98" s="95"/>
      <c r="Y98" s="95"/>
      <c r="Z98" s="95"/>
      <c r="AA98" s="95"/>
      <c r="AB98" s="95"/>
      <c r="AC98" s="96"/>
      <c r="AD98" s="93"/>
      <c r="AE98" s="137"/>
      <c r="AF98" s="138"/>
      <c r="AG98" s="138"/>
      <c r="AH98" s="138"/>
      <c r="AI98" s="138"/>
      <c r="AJ98" s="138"/>
      <c r="AK98" s="139"/>
    </row>
    <row r="99" spans="4:37" x14ac:dyDescent="0.35">
      <c r="D99" s="94"/>
      <c r="E99" s="95"/>
      <c r="F99" s="95"/>
      <c r="G99" s="95"/>
      <c r="H99" s="95"/>
      <c r="I99" s="95"/>
      <c r="J99" s="95"/>
      <c r="K99" s="95"/>
      <c r="L99" s="95"/>
      <c r="M99" s="95"/>
      <c r="N99" s="95"/>
      <c r="O99" s="95"/>
      <c r="P99" s="95"/>
      <c r="Q99" s="95"/>
      <c r="R99" s="95"/>
      <c r="S99" s="95"/>
      <c r="T99" s="95"/>
      <c r="U99" s="95"/>
      <c r="V99" s="95"/>
      <c r="W99" s="95"/>
      <c r="X99" s="95"/>
      <c r="Y99" s="95"/>
      <c r="Z99" s="95"/>
      <c r="AA99" s="95"/>
      <c r="AB99" s="95"/>
      <c r="AC99" s="96"/>
      <c r="AD99" s="93"/>
      <c r="AE99" s="137"/>
      <c r="AF99" s="138"/>
      <c r="AG99" s="138"/>
      <c r="AH99" s="138"/>
      <c r="AI99" s="138"/>
      <c r="AJ99" s="138"/>
      <c r="AK99" s="139"/>
    </row>
    <row r="100" spans="4:37" x14ac:dyDescent="0.35">
      <c r="D100" s="94"/>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6"/>
      <c r="AD100" s="93"/>
      <c r="AE100" s="137"/>
      <c r="AF100" s="138"/>
      <c r="AG100" s="138"/>
      <c r="AH100" s="138"/>
      <c r="AI100" s="138"/>
      <c r="AJ100" s="138"/>
      <c r="AK100" s="139"/>
    </row>
    <row r="101" spans="4:37" x14ac:dyDescent="0.35">
      <c r="D101" s="94"/>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6"/>
      <c r="AD101" s="93"/>
      <c r="AE101" s="137"/>
      <c r="AF101" s="138"/>
      <c r="AG101" s="138"/>
      <c r="AH101" s="138"/>
      <c r="AI101" s="138"/>
      <c r="AJ101" s="138"/>
      <c r="AK101" s="139"/>
    </row>
    <row r="102" spans="4:37" x14ac:dyDescent="0.35">
      <c r="D102" s="94"/>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6"/>
      <c r="AD102" s="93"/>
      <c r="AE102" s="137"/>
      <c r="AF102" s="138"/>
      <c r="AG102" s="138"/>
      <c r="AH102" s="138"/>
      <c r="AI102" s="138"/>
      <c r="AJ102" s="138"/>
      <c r="AK102" s="139"/>
    </row>
    <row r="103" spans="4:37" x14ac:dyDescent="0.35">
      <c r="D103" s="94"/>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6"/>
      <c r="AD103" s="93"/>
      <c r="AE103" s="137"/>
      <c r="AF103" s="138"/>
      <c r="AG103" s="138"/>
      <c r="AH103" s="138"/>
      <c r="AI103" s="138"/>
      <c r="AJ103" s="138"/>
      <c r="AK103" s="139"/>
    </row>
    <row r="104" spans="4:37" x14ac:dyDescent="0.35">
      <c r="D104" s="94"/>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6"/>
      <c r="AD104" s="93"/>
      <c r="AE104" s="137"/>
      <c r="AF104" s="138"/>
      <c r="AG104" s="138"/>
      <c r="AH104" s="138"/>
      <c r="AI104" s="138"/>
      <c r="AJ104" s="138"/>
      <c r="AK104" s="139"/>
    </row>
    <row r="105" spans="4:37" x14ac:dyDescent="0.35">
      <c r="D105" s="94"/>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6"/>
      <c r="AD105" s="93"/>
      <c r="AE105" s="137"/>
      <c r="AF105" s="138"/>
      <c r="AG105" s="138"/>
      <c r="AH105" s="138"/>
      <c r="AI105" s="138"/>
      <c r="AJ105" s="138"/>
      <c r="AK105" s="139"/>
    </row>
    <row r="106" spans="4:37" x14ac:dyDescent="0.35">
      <c r="D106" s="94"/>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6"/>
      <c r="AD106" s="93"/>
      <c r="AE106" s="137"/>
      <c r="AF106" s="138"/>
      <c r="AG106" s="138"/>
      <c r="AH106" s="138"/>
      <c r="AI106" s="138"/>
      <c r="AJ106" s="138"/>
      <c r="AK106" s="139"/>
    </row>
    <row r="107" spans="4:37" x14ac:dyDescent="0.35">
      <c r="D107" s="94"/>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6"/>
      <c r="AD107" s="93"/>
      <c r="AE107" s="137"/>
      <c r="AF107" s="138"/>
      <c r="AG107" s="138"/>
      <c r="AH107" s="138"/>
      <c r="AI107" s="138"/>
      <c r="AJ107" s="138"/>
      <c r="AK107" s="139"/>
    </row>
    <row r="108" spans="4:37" x14ac:dyDescent="0.35">
      <c r="D108" s="94"/>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6"/>
      <c r="AD108" s="93"/>
      <c r="AE108" s="137"/>
      <c r="AF108" s="138"/>
      <c r="AG108" s="138"/>
      <c r="AH108" s="138"/>
      <c r="AI108" s="138"/>
      <c r="AJ108" s="138"/>
      <c r="AK108" s="139"/>
    </row>
    <row r="109" spans="4:37" x14ac:dyDescent="0.35">
      <c r="D109" s="94"/>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6"/>
      <c r="AD109" s="93"/>
      <c r="AE109" s="137"/>
      <c r="AF109" s="138"/>
      <c r="AG109" s="138"/>
      <c r="AH109" s="138"/>
      <c r="AI109" s="138"/>
      <c r="AJ109" s="138"/>
      <c r="AK109" s="139"/>
    </row>
    <row r="110" spans="4:37" x14ac:dyDescent="0.35">
      <c r="D110" s="94"/>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6"/>
      <c r="AD110" s="93"/>
      <c r="AE110" s="137"/>
      <c r="AF110" s="138"/>
      <c r="AG110" s="138"/>
      <c r="AH110" s="138"/>
      <c r="AI110" s="138"/>
      <c r="AJ110" s="138"/>
      <c r="AK110" s="139"/>
    </row>
    <row r="111" spans="4:37" x14ac:dyDescent="0.35">
      <c r="D111" s="94"/>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6"/>
      <c r="AD111" s="93"/>
      <c r="AE111" s="137"/>
      <c r="AF111" s="138"/>
      <c r="AG111" s="138"/>
      <c r="AH111" s="138"/>
      <c r="AI111" s="138"/>
      <c r="AJ111" s="138"/>
      <c r="AK111" s="139"/>
    </row>
    <row r="112" spans="4:37" x14ac:dyDescent="0.35">
      <c r="D112" s="94"/>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6"/>
      <c r="AD112" s="93"/>
      <c r="AE112" s="137"/>
      <c r="AF112" s="138"/>
      <c r="AG112" s="138"/>
      <c r="AH112" s="138"/>
      <c r="AI112" s="138"/>
      <c r="AJ112" s="138"/>
      <c r="AK112" s="139"/>
    </row>
    <row r="113" spans="4:37" x14ac:dyDescent="0.35">
      <c r="D113" s="94"/>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6"/>
      <c r="AD113" s="93"/>
      <c r="AE113" s="137"/>
      <c r="AF113" s="138"/>
      <c r="AG113" s="138"/>
      <c r="AH113" s="138"/>
      <c r="AI113" s="138"/>
      <c r="AJ113" s="138"/>
      <c r="AK113" s="139"/>
    </row>
    <row r="114" spans="4:37" x14ac:dyDescent="0.35">
      <c r="D114" s="94"/>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6"/>
      <c r="AD114" s="93"/>
      <c r="AE114" s="137"/>
      <c r="AF114" s="138"/>
      <c r="AG114" s="138"/>
      <c r="AH114" s="138"/>
      <c r="AI114" s="138"/>
      <c r="AJ114" s="138"/>
      <c r="AK114" s="139"/>
    </row>
    <row r="115" spans="4:37" x14ac:dyDescent="0.35">
      <c r="D115" s="94"/>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6"/>
      <c r="AD115" s="93"/>
      <c r="AE115" s="137"/>
      <c r="AF115" s="138"/>
      <c r="AG115" s="138"/>
      <c r="AH115" s="138"/>
      <c r="AI115" s="138"/>
      <c r="AJ115" s="138"/>
      <c r="AK115" s="139"/>
    </row>
    <row r="116" spans="4:37" x14ac:dyDescent="0.35">
      <c r="D116" s="94"/>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6"/>
      <c r="AD116" s="93"/>
      <c r="AE116" s="137"/>
      <c r="AF116" s="138"/>
      <c r="AG116" s="138"/>
      <c r="AH116" s="138"/>
      <c r="AI116" s="138"/>
      <c r="AJ116" s="138"/>
      <c r="AK116" s="139"/>
    </row>
    <row r="117" spans="4:37" x14ac:dyDescent="0.35">
      <c r="D117" s="94"/>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6"/>
      <c r="AD117" s="93"/>
      <c r="AE117" s="137"/>
      <c r="AF117" s="138"/>
      <c r="AG117" s="138"/>
      <c r="AH117" s="138"/>
      <c r="AI117" s="138"/>
      <c r="AJ117" s="138"/>
      <c r="AK117" s="139"/>
    </row>
    <row r="118" spans="4:37" x14ac:dyDescent="0.35">
      <c r="D118" s="94"/>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6"/>
      <c r="AD118" s="93"/>
      <c r="AE118" s="137"/>
      <c r="AF118" s="138"/>
      <c r="AG118" s="138"/>
      <c r="AH118" s="138"/>
      <c r="AI118" s="138"/>
      <c r="AJ118" s="138"/>
      <c r="AK118" s="139"/>
    </row>
    <row r="119" spans="4:37" x14ac:dyDescent="0.35">
      <c r="D119" s="94"/>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6"/>
      <c r="AD119" s="93"/>
      <c r="AE119" s="137"/>
      <c r="AF119" s="138"/>
      <c r="AG119" s="138"/>
      <c r="AH119" s="138"/>
      <c r="AI119" s="138"/>
      <c r="AJ119" s="138"/>
      <c r="AK119" s="139"/>
    </row>
    <row r="120" spans="4:37" x14ac:dyDescent="0.35">
      <c r="D120" s="94"/>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6"/>
      <c r="AD120" s="93"/>
      <c r="AE120" s="137"/>
      <c r="AF120" s="138"/>
      <c r="AG120" s="138"/>
      <c r="AH120" s="138"/>
      <c r="AI120" s="138"/>
      <c r="AJ120" s="138"/>
      <c r="AK120" s="139"/>
    </row>
    <row r="121" spans="4:37" x14ac:dyDescent="0.35">
      <c r="D121" s="94"/>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6"/>
      <c r="AD121" s="93"/>
      <c r="AE121" s="137"/>
      <c r="AF121" s="138"/>
      <c r="AG121" s="138"/>
      <c r="AH121" s="138"/>
      <c r="AI121" s="138"/>
      <c r="AJ121" s="138"/>
      <c r="AK121" s="139"/>
    </row>
    <row r="122" spans="4:37" x14ac:dyDescent="0.35">
      <c r="D122" s="94"/>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6"/>
      <c r="AD122" s="93"/>
      <c r="AE122" s="137"/>
      <c r="AF122" s="138"/>
      <c r="AG122" s="138"/>
      <c r="AH122" s="138"/>
      <c r="AI122" s="138"/>
      <c r="AJ122" s="138"/>
      <c r="AK122" s="139"/>
    </row>
    <row r="123" spans="4:37" x14ac:dyDescent="0.35">
      <c r="D123" s="94"/>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6"/>
      <c r="AD123" s="93"/>
      <c r="AE123" s="137"/>
      <c r="AF123" s="138"/>
      <c r="AG123" s="138"/>
      <c r="AH123" s="138"/>
      <c r="AI123" s="138"/>
      <c r="AJ123" s="138"/>
      <c r="AK123" s="139"/>
    </row>
    <row r="124" spans="4:37" ht="15" thickBot="1" x14ac:dyDescent="0.4">
      <c r="D124" s="183"/>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c r="AA124" s="184"/>
      <c r="AB124" s="184"/>
      <c r="AC124" s="185"/>
      <c r="AD124" s="93"/>
      <c r="AE124" s="140"/>
      <c r="AF124" s="141"/>
      <c r="AG124" s="141"/>
      <c r="AH124" s="141"/>
      <c r="AI124" s="141"/>
      <c r="AJ124" s="141"/>
      <c r="AK124" s="142"/>
    </row>
    <row r="125" spans="4:37" ht="15" thickBot="1" x14ac:dyDescent="0.4">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93"/>
      <c r="AE125" s="93"/>
      <c r="AF125" s="93"/>
      <c r="AG125" s="93"/>
      <c r="AH125" s="93"/>
      <c r="AI125" s="93"/>
      <c r="AJ125" s="93"/>
      <c r="AK125" s="93"/>
    </row>
    <row r="126" spans="4:37" ht="24.5" x14ac:dyDescent="0.45">
      <c r="D126" s="89"/>
      <c r="E126" s="90"/>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2"/>
      <c r="AE126" s="134"/>
      <c r="AF126" s="135"/>
      <c r="AG126" s="135"/>
      <c r="AH126" s="135"/>
      <c r="AI126" s="135"/>
      <c r="AJ126" s="135"/>
      <c r="AK126" s="136"/>
    </row>
    <row r="127" spans="4:37" ht="24.5" x14ac:dyDescent="0.45">
      <c r="D127" s="94"/>
      <c r="E127" s="114" t="s">
        <v>140</v>
      </c>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6"/>
      <c r="AE127" s="137"/>
      <c r="AF127" s="138"/>
      <c r="AG127" s="138"/>
      <c r="AH127" s="138"/>
      <c r="AI127" s="138"/>
      <c r="AJ127" s="138"/>
      <c r="AK127" s="139"/>
    </row>
    <row r="128" spans="4:37" x14ac:dyDescent="0.35">
      <c r="D128" s="94"/>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6"/>
      <c r="AE128" s="137"/>
      <c r="AF128" s="138"/>
      <c r="AG128" s="138"/>
      <c r="AH128" s="138"/>
      <c r="AI128" s="138"/>
      <c r="AJ128" s="138"/>
      <c r="AK128" s="139"/>
    </row>
    <row r="129" spans="4:37" x14ac:dyDescent="0.35">
      <c r="D129" s="94"/>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6"/>
      <c r="AE129" s="137"/>
      <c r="AF129" s="138"/>
      <c r="AG129" s="138"/>
      <c r="AH129" s="138"/>
      <c r="AI129" s="138"/>
      <c r="AJ129" s="138"/>
      <c r="AK129" s="139"/>
    </row>
    <row r="130" spans="4:37" x14ac:dyDescent="0.35">
      <c r="D130" s="94"/>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6"/>
      <c r="AE130" s="137"/>
      <c r="AF130" s="138"/>
      <c r="AG130" s="138"/>
      <c r="AH130" s="138"/>
      <c r="AI130" s="138"/>
      <c r="AJ130" s="138"/>
      <c r="AK130" s="139"/>
    </row>
    <row r="131" spans="4:37" x14ac:dyDescent="0.35">
      <c r="D131" s="94"/>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6"/>
      <c r="AE131" s="137"/>
      <c r="AF131" s="138"/>
      <c r="AG131" s="138"/>
      <c r="AH131" s="138"/>
      <c r="AI131" s="138"/>
      <c r="AJ131" s="138"/>
      <c r="AK131" s="139"/>
    </row>
    <row r="132" spans="4:37" x14ac:dyDescent="0.35">
      <c r="D132" s="94"/>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6"/>
      <c r="AE132" s="137"/>
      <c r="AF132" s="138"/>
      <c r="AG132" s="138"/>
      <c r="AH132" s="138"/>
      <c r="AI132" s="138"/>
      <c r="AJ132" s="138"/>
      <c r="AK132" s="139"/>
    </row>
    <row r="133" spans="4:37" x14ac:dyDescent="0.35">
      <c r="D133" s="94"/>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6"/>
      <c r="AE133" s="137"/>
      <c r="AF133" s="138"/>
      <c r="AG133" s="138"/>
      <c r="AH133" s="138"/>
      <c r="AI133" s="138"/>
      <c r="AJ133" s="138"/>
      <c r="AK133" s="139"/>
    </row>
    <row r="134" spans="4:37" x14ac:dyDescent="0.35">
      <c r="D134" s="94"/>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6"/>
      <c r="AE134" s="137"/>
      <c r="AF134" s="138"/>
      <c r="AG134" s="138"/>
      <c r="AH134" s="138"/>
      <c r="AI134" s="138"/>
      <c r="AJ134" s="138"/>
      <c r="AK134" s="139"/>
    </row>
    <row r="135" spans="4:37" x14ac:dyDescent="0.35">
      <c r="D135" s="94"/>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6"/>
      <c r="AE135" s="137"/>
      <c r="AF135" s="138"/>
      <c r="AG135" s="138"/>
      <c r="AH135" s="138"/>
      <c r="AI135" s="138"/>
      <c r="AJ135" s="138"/>
      <c r="AK135" s="139"/>
    </row>
    <row r="136" spans="4:37" x14ac:dyDescent="0.35">
      <c r="D136" s="94"/>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6"/>
      <c r="AE136" s="137"/>
      <c r="AF136" s="138"/>
      <c r="AG136" s="138"/>
      <c r="AH136" s="138"/>
      <c r="AI136" s="138"/>
      <c r="AJ136" s="138"/>
      <c r="AK136" s="139"/>
    </row>
    <row r="137" spans="4:37" x14ac:dyDescent="0.35">
      <c r="D137" s="94"/>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6"/>
      <c r="AE137" s="137"/>
      <c r="AF137" s="138"/>
      <c r="AG137" s="138"/>
      <c r="AH137" s="138"/>
      <c r="AI137" s="138"/>
      <c r="AJ137" s="138"/>
      <c r="AK137" s="139"/>
    </row>
    <row r="138" spans="4:37" x14ac:dyDescent="0.35">
      <c r="D138" s="94"/>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6"/>
      <c r="AE138" s="137"/>
      <c r="AF138" s="138"/>
      <c r="AG138" s="138"/>
      <c r="AH138" s="138"/>
      <c r="AI138" s="138"/>
      <c r="AJ138" s="138"/>
      <c r="AK138" s="139"/>
    </row>
    <row r="139" spans="4:37" x14ac:dyDescent="0.35">
      <c r="D139" s="94"/>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6"/>
      <c r="AE139" s="137"/>
      <c r="AF139" s="138"/>
      <c r="AG139" s="138"/>
      <c r="AH139" s="138"/>
      <c r="AI139" s="138"/>
      <c r="AJ139" s="138"/>
      <c r="AK139" s="139"/>
    </row>
    <row r="140" spans="4:37" x14ac:dyDescent="0.35">
      <c r="D140" s="94"/>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6"/>
      <c r="AE140" s="137"/>
      <c r="AF140" s="138"/>
      <c r="AG140" s="138"/>
      <c r="AH140" s="138"/>
      <c r="AI140" s="138"/>
      <c r="AJ140" s="138"/>
      <c r="AK140" s="139"/>
    </row>
    <row r="141" spans="4:37" x14ac:dyDescent="0.35">
      <c r="D141" s="94"/>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6"/>
      <c r="AE141" s="137"/>
      <c r="AF141" s="138"/>
      <c r="AG141" s="138"/>
      <c r="AH141" s="138"/>
      <c r="AI141" s="138"/>
      <c r="AJ141" s="138"/>
      <c r="AK141" s="139"/>
    </row>
    <row r="142" spans="4:37" x14ac:dyDescent="0.35">
      <c r="D142" s="94"/>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6"/>
      <c r="AE142" s="137"/>
      <c r="AF142" s="138"/>
      <c r="AG142" s="138"/>
      <c r="AH142" s="138"/>
      <c r="AI142" s="138"/>
      <c r="AJ142" s="138"/>
      <c r="AK142" s="139"/>
    </row>
    <row r="143" spans="4:37" x14ac:dyDescent="0.35">
      <c r="D143" s="94"/>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6"/>
      <c r="AE143" s="137"/>
      <c r="AF143" s="138"/>
      <c r="AG143" s="138"/>
      <c r="AH143" s="138"/>
      <c r="AI143" s="138"/>
      <c r="AJ143" s="138"/>
      <c r="AK143" s="139"/>
    </row>
    <row r="144" spans="4:37" x14ac:dyDescent="0.35">
      <c r="D144" s="94"/>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6"/>
      <c r="AE144" s="137"/>
      <c r="AF144" s="138"/>
      <c r="AG144" s="138"/>
      <c r="AH144" s="138"/>
      <c r="AI144" s="138"/>
      <c r="AJ144" s="138"/>
      <c r="AK144" s="139"/>
    </row>
    <row r="145" spans="4:37" x14ac:dyDescent="0.35">
      <c r="D145" s="94"/>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6"/>
      <c r="AE145" s="137"/>
      <c r="AF145" s="138"/>
      <c r="AG145" s="138"/>
      <c r="AH145" s="138"/>
      <c r="AI145" s="138"/>
      <c r="AJ145" s="138"/>
      <c r="AK145" s="139"/>
    </row>
    <row r="146" spans="4:37" x14ac:dyDescent="0.35">
      <c r="D146" s="94"/>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6"/>
      <c r="AE146" s="137"/>
      <c r="AF146" s="138"/>
      <c r="AG146" s="138"/>
      <c r="AH146" s="138"/>
      <c r="AI146" s="138"/>
      <c r="AJ146" s="138"/>
      <c r="AK146" s="139"/>
    </row>
    <row r="147" spans="4:37" x14ac:dyDescent="0.35">
      <c r="D147" s="94"/>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6"/>
      <c r="AE147" s="137"/>
      <c r="AF147" s="138"/>
      <c r="AG147" s="138"/>
      <c r="AH147" s="138"/>
      <c r="AI147" s="138"/>
      <c r="AJ147" s="138"/>
      <c r="AK147" s="139"/>
    </row>
    <row r="148" spans="4:37" x14ac:dyDescent="0.35">
      <c r="D148" s="94"/>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6"/>
      <c r="AE148" s="137"/>
      <c r="AF148" s="138"/>
      <c r="AG148" s="138"/>
      <c r="AH148" s="138"/>
      <c r="AI148" s="138"/>
      <c r="AJ148" s="138"/>
      <c r="AK148" s="139"/>
    </row>
    <row r="149" spans="4:37" x14ac:dyDescent="0.35">
      <c r="D149" s="94"/>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6"/>
      <c r="AE149" s="137"/>
      <c r="AF149" s="138"/>
      <c r="AG149" s="138"/>
      <c r="AH149" s="138"/>
      <c r="AI149" s="138"/>
      <c r="AJ149" s="138"/>
      <c r="AK149" s="139"/>
    </row>
    <row r="150" spans="4:37" x14ac:dyDescent="0.35">
      <c r="D150" s="94"/>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6"/>
      <c r="AE150" s="137"/>
      <c r="AF150" s="138"/>
      <c r="AG150" s="138"/>
      <c r="AH150" s="138"/>
      <c r="AI150" s="138"/>
      <c r="AJ150" s="138"/>
      <c r="AK150" s="139"/>
    </row>
    <row r="151" spans="4:37" x14ac:dyDescent="0.35">
      <c r="D151" s="94"/>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6"/>
      <c r="AE151" s="137"/>
      <c r="AF151" s="138"/>
      <c r="AG151" s="138"/>
      <c r="AH151" s="138"/>
      <c r="AI151" s="138"/>
      <c r="AJ151" s="138"/>
      <c r="AK151" s="139"/>
    </row>
    <row r="152" spans="4:37" x14ac:dyDescent="0.35">
      <c r="D152" s="94"/>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6"/>
      <c r="AE152" s="137"/>
      <c r="AF152" s="138"/>
      <c r="AG152" s="138"/>
      <c r="AH152" s="138"/>
      <c r="AI152" s="138"/>
      <c r="AJ152" s="138"/>
      <c r="AK152" s="139"/>
    </row>
    <row r="153" spans="4:37" x14ac:dyDescent="0.35">
      <c r="D153" s="94"/>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6"/>
      <c r="AE153" s="137"/>
      <c r="AF153" s="138"/>
      <c r="AG153" s="138"/>
      <c r="AH153" s="138"/>
      <c r="AI153" s="138"/>
      <c r="AJ153" s="138"/>
      <c r="AK153" s="139"/>
    </row>
    <row r="154" spans="4:37" x14ac:dyDescent="0.35">
      <c r="D154" s="94"/>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6"/>
      <c r="AE154" s="137"/>
      <c r="AF154" s="138"/>
      <c r="AG154" s="138"/>
      <c r="AH154" s="138"/>
      <c r="AI154" s="138"/>
      <c r="AJ154" s="138"/>
      <c r="AK154" s="139"/>
    </row>
    <row r="155" spans="4:37" x14ac:dyDescent="0.35">
      <c r="D155" s="94"/>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6"/>
      <c r="AE155" s="137"/>
      <c r="AF155" s="138"/>
      <c r="AG155" s="138"/>
      <c r="AH155" s="138"/>
      <c r="AI155" s="138"/>
      <c r="AJ155" s="138"/>
      <c r="AK155" s="139"/>
    </row>
    <row r="156" spans="4:37" x14ac:dyDescent="0.35">
      <c r="D156" s="94"/>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6"/>
      <c r="AE156" s="137"/>
      <c r="AF156" s="138"/>
      <c r="AG156" s="138"/>
      <c r="AH156" s="138"/>
      <c r="AI156" s="138"/>
      <c r="AJ156" s="138"/>
      <c r="AK156" s="139"/>
    </row>
    <row r="157" spans="4:37" x14ac:dyDescent="0.35">
      <c r="D157" s="94"/>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6"/>
      <c r="AE157" s="137"/>
      <c r="AF157" s="138"/>
      <c r="AG157" s="138"/>
      <c r="AH157" s="138"/>
      <c r="AI157" s="138"/>
      <c r="AJ157" s="138"/>
      <c r="AK157" s="139"/>
    </row>
    <row r="158" spans="4:37" x14ac:dyDescent="0.35">
      <c r="D158" s="94"/>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6"/>
      <c r="AE158" s="137"/>
      <c r="AF158" s="138"/>
      <c r="AG158" s="138"/>
      <c r="AH158" s="138"/>
      <c r="AI158" s="138"/>
      <c r="AJ158" s="138"/>
      <c r="AK158" s="139"/>
    </row>
    <row r="159" spans="4:37" x14ac:dyDescent="0.35">
      <c r="D159" s="94"/>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6"/>
      <c r="AE159" s="137"/>
      <c r="AF159" s="138"/>
      <c r="AG159" s="138"/>
      <c r="AH159" s="138"/>
      <c r="AI159" s="138"/>
      <c r="AJ159" s="138"/>
      <c r="AK159" s="139"/>
    </row>
    <row r="160" spans="4:37" x14ac:dyDescent="0.35">
      <c r="D160" s="94"/>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6"/>
      <c r="AE160" s="137"/>
      <c r="AF160" s="138"/>
      <c r="AG160" s="138"/>
      <c r="AH160" s="138"/>
      <c r="AI160" s="138"/>
      <c r="AJ160" s="138"/>
      <c r="AK160" s="139"/>
    </row>
    <row r="161" spans="4:37" x14ac:dyDescent="0.35">
      <c r="D161" s="94"/>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6"/>
      <c r="AE161" s="137"/>
      <c r="AF161" s="138"/>
      <c r="AG161" s="138"/>
      <c r="AH161" s="138"/>
      <c r="AI161" s="138"/>
      <c r="AJ161" s="138"/>
      <c r="AK161" s="139"/>
    </row>
    <row r="162" spans="4:37" x14ac:dyDescent="0.35">
      <c r="D162" s="94"/>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6"/>
      <c r="AE162" s="137"/>
      <c r="AF162" s="138"/>
      <c r="AG162" s="138"/>
      <c r="AH162" s="138"/>
      <c r="AI162" s="138"/>
      <c r="AJ162" s="138"/>
      <c r="AK162" s="139"/>
    </row>
    <row r="163" spans="4:37" x14ac:dyDescent="0.35">
      <c r="D163" s="94"/>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6"/>
      <c r="AE163" s="137"/>
      <c r="AF163" s="138"/>
      <c r="AG163" s="138"/>
      <c r="AH163" s="138"/>
      <c r="AI163" s="138"/>
      <c r="AJ163" s="138"/>
      <c r="AK163" s="139"/>
    </row>
    <row r="164" spans="4:37" x14ac:dyDescent="0.35">
      <c r="D164" s="94"/>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6"/>
      <c r="AE164" s="137"/>
      <c r="AF164" s="138"/>
      <c r="AG164" s="138"/>
      <c r="AH164" s="138"/>
      <c r="AI164" s="138"/>
      <c r="AJ164" s="138"/>
      <c r="AK164" s="139"/>
    </row>
    <row r="165" spans="4:37" x14ac:dyDescent="0.35">
      <c r="D165" s="94"/>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6"/>
      <c r="AE165" s="137"/>
      <c r="AF165" s="138"/>
      <c r="AG165" s="138"/>
      <c r="AH165" s="138"/>
      <c r="AI165" s="138"/>
      <c r="AJ165" s="138"/>
      <c r="AK165" s="139"/>
    </row>
    <row r="166" spans="4:37" x14ac:dyDescent="0.35">
      <c r="D166" s="94"/>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6"/>
      <c r="AE166" s="137"/>
      <c r="AF166" s="138"/>
      <c r="AG166" s="138"/>
      <c r="AH166" s="138"/>
      <c r="AI166" s="138"/>
      <c r="AJ166" s="138"/>
      <c r="AK166" s="139"/>
    </row>
    <row r="167" spans="4:37" x14ac:dyDescent="0.35">
      <c r="D167" s="94"/>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6"/>
      <c r="AE167" s="137"/>
      <c r="AF167" s="138"/>
      <c r="AG167" s="138"/>
      <c r="AH167" s="138"/>
      <c r="AI167" s="138"/>
      <c r="AJ167" s="138"/>
      <c r="AK167" s="139"/>
    </row>
    <row r="168" spans="4:37" x14ac:dyDescent="0.35">
      <c r="D168" s="94"/>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6"/>
      <c r="AE168" s="137"/>
      <c r="AF168" s="138"/>
      <c r="AG168" s="138"/>
      <c r="AH168" s="138"/>
      <c r="AI168" s="138"/>
      <c r="AJ168" s="138"/>
      <c r="AK168" s="139"/>
    </row>
    <row r="169" spans="4:37" x14ac:dyDescent="0.35">
      <c r="D169" s="94"/>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6"/>
      <c r="AE169" s="137"/>
      <c r="AF169" s="138"/>
      <c r="AG169" s="138"/>
      <c r="AH169" s="138"/>
      <c r="AI169" s="138"/>
      <c r="AJ169" s="138"/>
      <c r="AK169" s="139"/>
    </row>
    <row r="170" spans="4:37" x14ac:dyDescent="0.35">
      <c r="D170" s="94"/>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6"/>
      <c r="AE170" s="137"/>
      <c r="AF170" s="138"/>
      <c r="AG170" s="138"/>
      <c r="AH170" s="138"/>
      <c r="AI170" s="138"/>
      <c r="AJ170" s="138"/>
      <c r="AK170" s="139"/>
    </row>
    <row r="171" spans="4:37" x14ac:dyDescent="0.35">
      <c r="D171" s="94"/>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6"/>
      <c r="AE171" s="137"/>
      <c r="AF171" s="138"/>
      <c r="AG171" s="138"/>
      <c r="AH171" s="138"/>
      <c r="AI171" s="138"/>
      <c r="AJ171" s="138"/>
      <c r="AK171" s="139"/>
    </row>
    <row r="172" spans="4:37" x14ac:dyDescent="0.35">
      <c r="D172" s="94"/>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6"/>
      <c r="AE172" s="137"/>
      <c r="AF172" s="138"/>
      <c r="AG172" s="138"/>
      <c r="AH172" s="138"/>
      <c r="AI172" s="138"/>
      <c r="AJ172" s="138"/>
      <c r="AK172" s="139"/>
    </row>
    <row r="173" spans="4:37" x14ac:dyDescent="0.35">
      <c r="D173" s="94"/>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6"/>
      <c r="AE173" s="137"/>
      <c r="AF173" s="138"/>
      <c r="AG173" s="138"/>
      <c r="AH173" s="138"/>
      <c r="AI173" s="138"/>
      <c r="AJ173" s="138"/>
      <c r="AK173" s="139"/>
    </row>
    <row r="174" spans="4:37" x14ac:dyDescent="0.35">
      <c r="D174" s="94"/>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6"/>
      <c r="AE174" s="137"/>
      <c r="AF174" s="138"/>
      <c r="AG174" s="138"/>
      <c r="AH174" s="138"/>
      <c r="AI174" s="138"/>
      <c r="AJ174" s="138"/>
      <c r="AK174" s="139"/>
    </row>
    <row r="175" spans="4:37" x14ac:dyDescent="0.35">
      <c r="D175" s="94"/>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6"/>
      <c r="AE175" s="137"/>
      <c r="AF175" s="138"/>
      <c r="AG175" s="138"/>
      <c r="AH175" s="138"/>
      <c r="AI175" s="138"/>
      <c r="AJ175" s="138"/>
      <c r="AK175" s="139"/>
    </row>
    <row r="176" spans="4:37" x14ac:dyDescent="0.35">
      <c r="D176" s="94"/>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6"/>
      <c r="AE176" s="137"/>
      <c r="AF176" s="138"/>
      <c r="AG176" s="138"/>
      <c r="AH176" s="138"/>
      <c r="AI176" s="138"/>
      <c r="AJ176" s="138"/>
      <c r="AK176" s="139"/>
    </row>
    <row r="177" spans="4:37" x14ac:dyDescent="0.35">
      <c r="D177" s="94"/>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6"/>
      <c r="AE177" s="137"/>
      <c r="AF177" s="138"/>
      <c r="AG177" s="138"/>
      <c r="AH177" s="138"/>
      <c r="AI177" s="138"/>
      <c r="AJ177" s="138"/>
      <c r="AK177" s="139"/>
    </row>
    <row r="178" spans="4:37" x14ac:dyDescent="0.35">
      <c r="D178" s="94"/>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6"/>
      <c r="AE178" s="137"/>
      <c r="AF178" s="138"/>
      <c r="AG178" s="138"/>
      <c r="AH178" s="138"/>
      <c r="AI178" s="138"/>
      <c r="AJ178" s="138"/>
      <c r="AK178" s="139"/>
    </row>
    <row r="179" spans="4:37" x14ac:dyDescent="0.35">
      <c r="D179" s="94"/>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6"/>
      <c r="AE179" s="137"/>
      <c r="AF179" s="138"/>
      <c r="AG179" s="138"/>
      <c r="AH179" s="138"/>
      <c r="AI179" s="138"/>
      <c r="AJ179" s="138"/>
      <c r="AK179" s="139"/>
    </row>
    <row r="180" spans="4:37" x14ac:dyDescent="0.35">
      <c r="D180" s="94"/>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6"/>
      <c r="AE180" s="137"/>
      <c r="AF180" s="138"/>
      <c r="AG180" s="138"/>
      <c r="AH180" s="138"/>
      <c r="AI180" s="138"/>
      <c r="AJ180" s="138"/>
      <c r="AK180" s="139"/>
    </row>
    <row r="181" spans="4:37" x14ac:dyDescent="0.35">
      <c r="D181" s="94"/>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6"/>
      <c r="AE181" s="137"/>
      <c r="AF181" s="138"/>
      <c r="AG181" s="138"/>
      <c r="AH181" s="138"/>
      <c r="AI181" s="138"/>
      <c r="AJ181" s="138"/>
      <c r="AK181" s="139"/>
    </row>
    <row r="182" spans="4:37" x14ac:dyDescent="0.35">
      <c r="D182" s="94"/>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6"/>
      <c r="AE182" s="137"/>
      <c r="AF182" s="138"/>
      <c r="AG182" s="138"/>
      <c r="AH182" s="138"/>
      <c r="AI182" s="138"/>
      <c r="AJ182" s="138"/>
      <c r="AK182" s="139"/>
    </row>
    <row r="183" spans="4:37" x14ac:dyDescent="0.35">
      <c r="D183" s="94"/>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6"/>
      <c r="AE183" s="137"/>
      <c r="AF183" s="138"/>
      <c r="AG183" s="138"/>
      <c r="AH183" s="138"/>
      <c r="AI183" s="138"/>
      <c r="AJ183" s="138"/>
      <c r="AK183" s="139"/>
    </row>
    <row r="184" spans="4:37" x14ac:dyDescent="0.35">
      <c r="D184" s="94"/>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6"/>
      <c r="AE184" s="137"/>
      <c r="AF184" s="138"/>
      <c r="AG184" s="138"/>
      <c r="AH184" s="138"/>
      <c r="AI184" s="138"/>
      <c r="AJ184" s="138"/>
      <c r="AK184" s="139"/>
    </row>
    <row r="185" spans="4:37" ht="15" thickBot="1" x14ac:dyDescent="0.4">
      <c r="D185" s="183"/>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c r="AA185" s="184"/>
      <c r="AB185" s="184"/>
      <c r="AC185" s="185"/>
      <c r="AE185" s="140"/>
      <c r="AF185" s="141"/>
      <c r="AG185" s="141"/>
      <c r="AH185" s="141"/>
      <c r="AI185" s="141"/>
      <c r="AJ185" s="141"/>
      <c r="AK185" s="142"/>
    </row>
  </sheetData>
  <pageMargins left="0" right="0" top="0" bottom="0" header="0" footer="0"/>
  <pageSetup paperSize="9" scale="65" orientation="landscape" horizontalDpi="0" verticalDpi="0" r:id="rId1"/>
  <rowBreaks count="2" manualBreakCount="2">
    <brk id="64" min="3" max="28" man="1"/>
    <brk id="125" min="3" max="28" man="1"/>
  </rowBreaks>
  <colBreaks count="1" manualBreakCount="1">
    <brk id="29" max="1048575" man="1"/>
  </col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98CF5-148A-4B9D-8919-07583D581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Activity Plan</vt:lpstr>
      <vt:lpstr>DATA</vt:lpstr>
      <vt:lpstr>PIVOT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Gusti Ady Wibawa</dc:creator>
  <cp:lastModifiedBy>Muhammad Nur Abdi</cp:lastModifiedBy>
  <cp:lastPrinted>2026-06-01T13:12:59Z</cp:lastPrinted>
  <dcterms:created xsi:type="dcterms:W3CDTF">2026-05-06T03:39:42Z</dcterms:created>
  <dcterms:modified xsi:type="dcterms:W3CDTF">2026-06-10T08:15:56Z</dcterms:modified>
</cp:coreProperties>
</file>